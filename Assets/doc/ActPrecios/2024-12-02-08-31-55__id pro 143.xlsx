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S:\Utilitarios\Contabilidad\"/>
    </mc:Choice>
  </mc:AlternateContent>
  <xr:revisionPtr revIDLastSave="0" documentId="13_ncr:1_{5EB86B84-A21E-4684-919F-219B27BE51E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Hoja1" sheetId="1" r:id="rId1"/>
  </sheets>
  <externalReferences>
    <externalReference r:id="rId2"/>
  </externalReferences>
  <definedNames>
    <definedName name="_xlnm._FilterDatabase" localSheetId="0" hidden="1">Hoja1!$A$2:$AC$3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" l="1"/>
  <c r="C1" i="1" s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L3" i="1"/>
  <c r="G3" i="1"/>
  <c r="K3" i="1" s="1"/>
  <c r="M3" i="1" l="1"/>
</calcChain>
</file>

<file path=xl/sharedStrings.xml><?xml version="1.0" encoding="utf-8"?>
<sst xmlns="http://schemas.openxmlformats.org/spreadsheetml/2006/main" count="36" uniqueCount="34">
  <si>
    <t>Id</t>
  </si>
  <si>
    <t>Código</t>
  </si>
  <si>
    <t>Código 2</t>
  </si>
  <si>
    <t>Descripción</t>
  </si>
  <si>
    <t>Referencia</t>
  </si>
  <si>
    <t>Marca</t>
  </si>
  <si>
    <t>Costo</t>
  </si>
  <si>
    <t>Flete</t>
  </si>
  <si>
    <t>Otros cargos</t>
  </si>
  <si>
    <t>Cargos Door to Door</t>
  </si>
  <si>
    <t>Costo 1</t>
  </si>
  <si>
    <t>% Utilidad</t>
  </si>
  <si>
    <t>Venta</t>
  </si>
  <si>
    <t>Bul.Emp</t>
  </si>
  <si>
    <t>Unidades</t>
  </si>
  <si>
    <t>Empaque</t>
  </si>
  <si>
    <t>Grupo</t>
  </si>
  <si>
    <t>Nombre Genérico</t>
  </si>
  <si>
    <t>Descripción del Producto</t>
  </si>
  <si>
    <t>Un.Compra</t>
  </si>
  <si>
    <t>Un.Venta</t>
  </si>
  <si>
    <t>Util.Consig</t>
  </si>
  <si>
    <t>Venta Consig</t>
  </si>
  <si>
    <t>IVA</t>
  </si>
  <si>
    <t>Lote</t>
  </si>
  <si>
    <t>Interno</t>
  </si>
  <si>
    <t>Door to Door</t>
  </si>
  <si>
    <t>% Utilidad Consig.</t>
  </si>
  <si>
    <t>Venta Consignación</t>
  </si>
  <si>
    <t>x Unidad</t>
  </si>
  <si>
    <t>ANTISEPTICOS</t>
  </si>
  <si>
    <t>ANTISEPTICO</t>
  </si>
  <si>
    <t>SANAVIT</t>
  </si>
  <si>
    <t>COLLARIN PHILADELPHIA PARA TRAQUEOTOMO TALLA "L" X 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</si>
</sst>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43" fontId="0" fillId="2" borderId="0" xfId="1" applyFont="1" applyFill="1"/>
    <xf numFmtId="0" fontId="1" fillId="2" borderId="0" xfId="0" applyFont="1" applyFill="1"/>
    <xf numFmtId="43" fontId="1" fillId="2" borderId="0" xfId="1" applyFont="1" applyFill="1"/>
    <xf numFmtId="43" fontId="0" fillId="2" borderId="0" xfId="0" applyNumberFormat="1" applyFill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oral_1sventas\master_prod_15todos(30-11-24)_ng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_prod_15todos(30-11-24)_n"/>
      <sheetName val="master_prod_15todos(30-11-2 (2)"/>
      <sheetName val="SIN EXISTENCIA NO LO CREE"/>
    </sheetNames>
    <sheetDataSet>
      <sheetData sheetId="0"/>
      <sheetData sheetId="1">
        <row r="2">
          <cell r="B2">
            <v>250210129</v>
          </cell>
          <cell r="C2" t="str">
            <v>110BLF</v>
          </cell>
          <cell r="D2" t="str">
            <v>ADHESIVO HY-TAPE 1" Marca Hy-Tape x Und</v>
          </cell>
          <cell r="E2" t="str">
            <v>HY-TAPE</v>
          </cell>
          <cell r="F2" t="str">
            <v>OXIDO DE ZINC</v>
          </cell>
          <cell r="G2" t="str">
            <v/>
          </cell>
          <cell r="H2" t="str">
            <v/>
          </cell>
          <cell r="I2" t="str">
            <v/>
          </cell>
          <cell r="J2">
            <v>1</v>
          </cell>
          <cell r="K2">
            <v>1</v>
          </cell>
          <cell r="L2" t="str">
            <v>C</v>
          </cell>
          <cell r="M2">
            <v>320</v>
          </cell>
          <cell r="N2" t="str">
            <v>C</v>
          </cell>
          <cell r="O2">
            <v>279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338</v>
          </cell>
          <cell r="U2">
            <v>18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168.75</v>
          </cell>
          <cell r="AB2">
            <v>281.25</v>
          </cell>
          <cell r="AC2">
            <v>0</v>
          </cell>
          <cell r="AD2">
            <v>281.25</v>
          </cell>
          <cell r="AE2">
            <v>0</v>
          </cell>
          <cell r="AF2">
            <v>3.75</v>
          </cell>
          <cell r="AG2">
            <v>0.6</v>
          </cell>
        </row>
        <row r="3">
          <cell r="B3">
            <v>251850415</v>
          </cell>
          <cell r="C3" t="str">
            <v>MODELO 333</v>
          </cell>
          <cell r="D3" t="str">
            <v>AGUJA ESPINAL 20G x 3 1/2 Marca BRAUN x Und</v>
          </cell>
          <cell r="E3" t="str">
            <v>BRAUN</v>
          </cell>
          <cell r="F3" t="str">
            <v/>
          </cell>
          <cell r="G3" t="str">
            <v/>
          </cell>
          <cell r="H3" t="str">
            <v/>
          </cell>
          <cell r="I3" t="str">
            <v>UND</v>
          </cell>
          <cell r="J3">
            <v>1</v>
          </cell>
          <cell r="K3">
            <v>1</v>
          </cell>
          <cell r="L3" t="str">
            <v>C</v>
          </cell>
          <cell r="M3">
            <v>314</v>
          </cell>
          <cell r="N3" t="str">
            <v>C</v>
          </cell>
          <cell r="O3">
            <v>250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5</v>
          </cell>
          <cell r="U3">
            <v>74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20</v>
          </cell>
          <cell r="AA3">
            <v>179.1</v>
          </cell>
          <cell r="AB3">
            <v>255.86</v>
          </cell>
          <cell r="AC3">
            <v>0</v>
          </cell>
          <cell r="AD3">
            <v>255.86</v>
          </cell>
          <cell r="AE3">
            <v>0</v>
          </cell>
          <cell r="AF3">
            <v>3.98</v>
          </cell>
          <cell r="AG3">
            <v>0.7</v>
          </cell>
        </row>
        <row r="4">
          <cell r="B4">
            <v>251850413</v>
          </cell>
          <cell r="C4" t="str">
            <v>N4629V2</v>
          </cell>
          <cell r="D4" t="str">
            <v>AGUJA ESPINAL 20G x 3 1/2 Marca MC KESSON x Und</v>
          </cell>
          <cell r="E4" t="str">
            <v>MC KESSON</v>
          </cell>
          <cell r="F4" t="str">
            <v/>
          </cell>
          <cell r="G4" t="str">
            <v/>
          </cell>
          <cell r="H4" t="str">
            <v/>
          </cell>
          <cell r="I4" t="str">
            <v>CJX25</v>
          </cell>
          <cell r="J4">
            <v>1</v>
          </cell>
          <cell r="K4">
            <v>1</v>
          </cell>
          <cell r="L4" t="str">
            <v>C</v>
          </cell>
          <cell r="M4">
            <v>243</v>
          </cell>
          <cell r="N4" t="str">
            <v>C</v>
          </cell>
          <cell r="O4">
            <v>216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5</v>
          </cell>
          <cell r="U4">
            <v>28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11</v>
          </cell>
          <cell r="AA4">
            <v>179.1</v>
          </cell>
          <cell r="AB4">
            <v>255.86</v>
          </cell>
          <cell r="AC4">
            <v>0</v>
          </cell>
          <cell r="AD4">
            <v>255.86</v>
          </cell>
          <cell r="AE4">
            <v>0</v>
          </cell>
          <cell r="AF4">
            <v>3.98</v>
          </cell>
          <cell r="AG4">
            <v>0.7</v>
          </cell>
        </row>
        <row r="5">
          <cell r="B5">
            <v>251850214</v>
          </cell>
          <cell r="C5" t="str">
            <v/>
          </cell>
          <cell r="D5" t="str">
            <v>AGUJA ESPINAL 25G x 3 1/2  Marca Insumedica x Und</v>
          </cell>
          <cell r="E5" t="str">
            <v>INSUMEDICA</v>
          </cell>
          <cell r="F5" t="str">
            <v/>
          </cell>
          <cell r="G5" t="str">
            <v/>
          </cell>
          <cell r="H5" t="str">
            <v/>
          </cell>
          <cell r="I5" t="str">
            <v>CJX50</v>
          </cell>
          <cell r="J5">
            <v>1</v>
          </cell>
          <cell r="K5">
            <v>1</v>
          </cell>
          <cell r="L5" t="str">
            <v>C</v>
          </cell>
          <cell r="M5">
            <v>269</v>
          </cell>
          <cell r="N5" t="str">
            <v>C</v>
          </cell>
          <cell r="O5">
            <v>235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5</v>
          </cell>
          <cell r="U5">
            <v>198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100</v>
          </cell>
          <cell r="AA5">
            <v>54</v>
          </cell>
          <cell r="AB5">
            <v>77.14</v>
          </cell>
          <cell r="AC5">
            <v>0</v>
          </cell>
          <cell r="AD5">
            <v>77.14</v>
          </cell>
          <cell r="AE5">
            <v>0</v>
          </cell>
          <cell r="AF5">
            <v>1.2</v>
          </cell>
          <cell r="AG5">
            <v>0.7</v>
          </cell>
        </row>
        <row r="6">
          <cell r="B6">
            <v>251850602</v>
          </cell>
          <cell r="C6" t="str">
            <v/>
          </cell>
          <cell r="D6" t="str">
            <v>AGUJA P/LOCALIZACION NERVIOS 50MM 21G x Und</v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>UND</v>
          </cell>
          <cell r="J6">
            <v>1</v>
          </cell>
          <cell r="K6">
            <v>1</v>
          </cell>
          <cell r="L6" t="str">
            <v>C</v>
          </cell>
          <cell r="M6">
            <v>72</v>
          </cell>
          <cell r="N6" t="str">
            <v>B</v>
          </cell>
          <cell r="O6">
            <v>12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129</v>
          </cell>
          <cell r="U6">
            <v>85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10</v>
          </cell>
          <cell r="AA6">
            <v>883.35</v>
          </cell>
          <cell r="AB6">
            <v>1261.93</v>
          </cell>
          <cell r="AC6">
            <v>0</v>
          </cell>
          <cell r="AD6">
            <v>1261.93</v>
          </cell>
          <cell r="AE6">
            <v>0</v>
          </cell>
          <cell r="AF6">
            <v>19.63</v>
          </cell>
          <cell r="AG6">
            <v>0.7</v>
          </cell>
        </row>
        <row r="7">
          <cell r="B7">
            <v>251850204</v>
          </cell>
          <cell r="C7" t="str">
            <v/>
          </cell>
          <cell r="D7" t="str">
            <v>ALAMBRE DE KIRSCHER 1.2 x 225 mm x Und</v>
          </cell>
          <cell r="E7" t="str">
            <v>WIRES KIRSCHER</v>
          </cell>
          <cell r="F7" t="str">
            <v/>
          </cell>
          <cell r="G7" t="str">
            <v>TRAUMATOLOGIA ALAMBRES</v>
          </cell>
          <cell r="H7" t="str">
            <v/>
          </cell>
          <cell r="I7" t="str">
            <v>UND</v>
          </cell>
          <cell r="J7">
            <v>1</v>
          </cell>
          <cell r="K7">
            <v>1</v>
          </cell>
          <cell r="L7" t="str">
            <v>C</v>
          </cell>
          <cell r="M7">
            <v>409</v>
          </cell>
          <cell r="N7" t="str">
            <v>C</v>
          </cell>
          <cell r="O7">
            <v>400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7</v>
          </cell>
          <cell r="U7">
            <v>1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5</v>
          </cell>
          <cell r="AA7">
            <v>138.18600000000001</v>
          </cell>
          <cell r="AB7">
            <v>153.54</v>
          </cell>
          <cell r="AC7">
            <v>0</v>
          </cell>
          <cell r="AD7">
            <v>153.54</v>
          </cell>
          <cell r="AE7">
            <v>0</v>
          </cell>
          <cell r="AF7">
            <v>3.0708000000000002</v>
          </cell>
          <cell r="AG7">
            <v>0.9</v>
          </cell>
        </row>
        <row r="8">
          <cell r="B8">
            <v>241020110</v>
          </cell>
          <cell r="C8" t="str">
            <v/>
          </cell>
          <cell r="D8" t="str">
            <v>ALCOHOL ANTISEPTICO Frasco x 120 Ml.  Marca El Guardian x Und.</v>
          </cell>
          <cell r="E8" t="str">
            <v>LABORATORIO FARMA QUIMICA</v>
          </cell>
          <cell r="F8" t="str">
            <v/>
          </cell>
          <cell r="G8" t="str">
            <v/>
          </cell>
          <cell r="H8" t="str">
            <v/>
          </cell>
          <cell r="I8" t="str">
            <v>CJX72</v>
          </cell>
          <cell r="J8">
            <v>1</v>
          </cell>
          <cell r="K8">
            <v>1</v>
          </cell>
          <cell r="L8" t="str">
            <v>C</v>
          </cell>
          <cell r="M8">
            <v>217</v>
          </cell>
          <cell r="N8" t="str">
            <v>C</v>
          </cell>
          <cell r="O8">
            <v>155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188</v>
          </cell>
          <cell r="U8">
            <v>84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276</v>
          </cell>
          <cell r="AA8">
            <v>23.742000000000001</v>
          </cell>
          <cell r="AB8">
            <v>29.68</v>
          </cell>
          <cell r="AC8">
            <v>0</v>
          </cell>
          <cell r="AD8">
            <v>29.68</v>
          </cell>
          <cell r="AE8">
            <v>0</v>
          </cell>
          <cell r="AF8">
            <v>0.52759999999999996</v>
          </cell>
          <cell r="AG8">
            <v>0.8</v>
          </cell>
        </row>
        <row r="9">
          <cell r="B9">
            <v>241020109</v>
          </cell>
          <cell r="C9" t="str">
            <v/>
          </cell>
          <cell r="D9" t="str">
            <v>ALCOHOL ANTISEPTICO Galón (3,785 L) Marca El Guardian x Und.</v>
          </cell>
          <cell r="E9" t="str">
            <v>LABORATORIO FARMA QUIMICA</v>
          </cell>
          <cell r="F9" t="str">
            <v/>
          </cell>
          <cell r="G9" t="str">
            <v>ALCOHOL</v>
          </cell>
          <cell r="H9" t="str">
            <v/>
          </cell>
          <cell r="I9" t="str">
            <v/>
          </cell>
          <cell r="J9">
            <v>1</v>
          </cell>
          <cell r="K9">
            <v>1</v>
          </cell>
          <cell r="L9" t="str">
            <v>C</v>
          </cell>
          <cell r="M9">
            <v>84</v>
          </cell>
          <cell r="N9" t="str">
            <v>C</v>
          </cell>
          <cell r="O9">
            <v>69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185</v>
          </cell>
          <cell r="U9">
            <v>20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496.35</v>
          </cell>
          <cell r="AB9">
            <v>620.44000000000005</v>
          </cell>
          <cell r="AC9">
            <v>0</v>
          </cell>
          <cell r="AD9">
            <v>620.44000000000005</v>
          </cell>
          <cell r="AE9">
            <v>0</v>
          </cell>
          <cell r="AF9">
            <v>11.03</v>
          </cell>
          <cell r="AG9">
            <v>0.8</v>
          </cell>
        </row>
        <row r="10">
          <cell r="B10">
            <v>240900102</v>
          </cell>
          <cell r="C10" t="str">
            <v>CPRM1126P</v>
          </cell>
          <cell r="D10" t="str">
            <v>AMBU (RESUCITADOR) ADULTO C/VALVULA PEEP MEDLINE x Und</v>
          </cell>
          <cell r="E10" t="str">
            <v>MEDLINE</v>
          </cell>
          <cell r="F10" t="str">
            <v/>
          </cell>
          <cell r="G10" t="str">
            <v>OTROS OTROS</v>
          </cell>
          <cell r="H10" t="str">
            <v/>
          </cell>
          <cell r="I10" t="str">
            <v>CJX6</v>
          </cell>
          <cell r="J10">
            <v>1</v>
          </cell>
          <cell r="K10">
            <v>1</v>
          </cell>
          <cell r="L10" t="str">
            <v>C</v>
          </cell>
          <cell r="M10">
            <v>83</v>
          </cell>
          <cell r="N10" t="str">
            <v>B</v>
          </cell>
          <cell r="O10">
            <v>16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76</v>
          </cell>
          <cell r="U10">
            <v>554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30</v>
          </cell>
          <cell r="AA10">
            <v>1195.2</v>
          </cell>
          <cell r="AB10">
            <v>1707.43</v>
          </cell>
          <cell r="AC10">
            <v>0</v>
          </cell>
          <cell r="AD10">
            <v>1707.43</v>
          </cell>
          <cell r="AE10">
            <v>0</v>
          </cell>
          <cell r="AF10">
            <v>26.56</v>
          </cell>
          <cell r="AG10">
            <v>0.7</v>
          </cell>
        </row>
        <row r="11">
          <cell r="B11">
            <v>240900101</v>
          </cell>
          <cell r="C11" t="str">
            <v>5367</v>
          </cell>
          <cell r="D11" t="str">
            <v>AMBU (RESUCITADOR) PEDIATRICO</v>
          </cell>
          <cell r="E11" t="str">
            <v>HUDDSON</v>
          </cell>
          <cell r="F11" t="str">
            <v/>
          </cell>
          <cell r="G11" t="str">
            <v>OTROS OTROS</v>
          </cell>
          <cell r="H11" t="str">
            <v/>
          </cell>
          <cell r="I11" t="str">
            <v>UND</v>
          </cell>
          <cell r="J11">
            <v>1</v>
          </cell>
          <cell r="K11">
            <v>1</v>
          </cell>
          <cell r="L11" t="str">
            <v/>
          </cell>
          <cell r="M11">
            <v>0</v>
          </cell>
          <cell r="N11" t="str">
            <v/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5</v>
          </cell>
          <cell r="U11">
            <v>12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1040.4000000000001</v>
          </cell>
          <cell r="AB11">
            <v>1300.5</v>
          </cell>
          <cell r="AC11">
            <v>0</v>
          </cell>
          <cell r="AD11">
            <v>1300.5</v>
          </cell>
          <cell r="AE11">
            <v>0</v>
          </cell>
          <cell r="AF11">
            <v>23.12</v>
          </cell>
          <cell r="AG11">
            <v>0.8</v>
          </cell>
        </row>
        <row r="12">
          <cell r="B12">
            <v>250210125</v>
          </cell>
          <cell r="C12" t="str">
            <v/>
          </cell>
          <cell r="D12" t="str">
            <v>APOSITO ADAPTIC 3" x 8" Ref. 2015 x Und</v>
          </cell>
          <cell r="E12" t="str">
            <v>ADAPTIC</v>
          </cell>
          <cell r="F12" t="str">
            <v/>
          </cell>
          <cell r="G12" t="str">
            <v>ADAPTIC</v>
          </cell>
          <cell r="H12" t="str">
            <v/>
          </cell>
          <cell r="I12" t="str">
            <v>CJX24</v>
          </cell>
          <cell r="J12">
            <v>1</v>
          </cell>
          <cell r="K12">
            <v>1</v>
          </cell>
          <cell r="L12" t="str">
            <v>C</v>
          </cell>
          <cell r="M12">
            <v>228</v>
          </cell>
          <cell r="N12" t="str">
            <v>C</v>
          </cell>
          <cell r="O12">
            <v>118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105</v>
          </cell>
          <cell r="U12">
            <v>157</v>
          </cell>
          <cell r="V12">
            <v>0</v>
          </cell>
          <cell r="W12">
            <v>0</v>
          </cell>
          <cell r="X12">
            <v>0</v>
          </cell>
          <cell r="Y12">
            <v>50</v>
          </cell>
          <cell r="Z12">
            <v>50</v>
          </cell>
          <cell r="AA12">
            <v>85.5</v>
          </cell>
          <cell r="AB12">
            <v>122.14</v>
          </cell>
          <cell r="AC12">
            <v>0</v>
          </cell>
          <cell r="AD12">
            <v>122.14</v>
          </cell>
          <cell r="AE12">
            <v>0</v>
          </cell>
          <cell r="AF12">
            <v>1.9</v>
          </cell>
          <cell r="AG12">
            <v>0.7</v>
          </cell>
        </row>
        <row r="13">
          <cell r="B13">
            <v>242400606</v>
          </cell>
          <cell r="C13" t="str">
            <v/>
          </cell>
          <cell r="D13" t="str">
            <v>BANDEJA DE PUNCION LUMBAR ADULTO MARCA BUSSE x Und</v>
          </cell>
          <cell r="E13" t="str">
            <v>BUSSE</v>
          </cell>
          <cell r="F13" t="str">
            <v/>
          </cell>
          <cell r="G13" t="str">
            <v/>
          </cell>
          <cell r="H13" t="str">
            <v/>
          </cell>
          <cell r="I13" t="str">
            <v>UND</v>
          </cell>
          <cell r="J13">
            <v>1</v>
          </cell>
          <cell r="K13">
            <v>1</v>
          </cell>
          <cell r="L13" t="str">
            <v>C</v>
          </cell>
          <cell r="M13">
            <v>134</v>
          </cell>
          <cell r="N13" t="str">
            <v>C</v>
          </cell>
          <cell r="O13">
            <v>160</v>
          </cell>
          <cell r="P13">
            <v>0</v>
          </cell>
          <cell r="Q13">
            <v>9</v>
          </cell>
          <cell r="R13">
            <v>9</v>
          </cell>
          <cell r="S13">
            <v>0</v>
          </cell>
          <cell r="T13">
            <v>5</v>
          </cell>
          <cell r="U13">
            <v>54</v>
          </cell>
          <cell r="V13">
            <v>0</v>
          </cell>
          <cell r="W13">
            <v>0</v>
          </cell>
          <cell r="X13">
            <v>0</v>
          </cell>
          <cell r="Y13">
            <v>9</v>
          </cell>
          <cell r="Z13">
            <v>14</v>
          </cell>
          <cell r="AA13">
            <v>1539</v>
          </cell>
          <cell r="AB13">
            <v>2565</v>
          </cell>
          <cell r="AC13">
            <v>0</v>
          </cell>
          <cell r="AD13">
            <v>2565</v>
          </cell>
          <cell r="AE13">
            <v>0</v>
          </cell>
          <cell r="AF13">
            <v>34.200000000000003</v>
          </cell>
          <cell r="AG13">
            <v>0.6</v>
          </cell>
        </row>
        <row r="14">
          <cell r="B14">
            <v>242400604</v>
          </cell>
          <cell r="C14" t="str">
            <v/>
          </cell>
          <cell r="D14" t="str">
            <v>BANDEJA DE PUNCION LUMBAR PEDIATRICA MARCA BUSSE x Und</v>
          </cell>
          <cell r="E14" t="str">
            <v>BUSSE</v>
          </cell>
          <cell r="F14" t="str">
            <v/>
          </cell>
          <cell r="G14" t="str">
            <v/>
          </cell>
          <cell r="H14" t="str">
            <v/>
          </cell>
          <cell r="I14" t="str">
            <v>UND</v>
          </cell>
          <cell r="J14">
            <v>1</v>
          </cell>
          <cell r="K14">
            <v>1</v>
          </cell>
          <cell r="L14" t="str">
            <v>C</v>
          </cell>
          <cell r="M14">
            <v>163</v>
          </cell>
          <cell r="N14" t="str">
            <v>C</v>
          </cell>
          <cell r="O14">
            <v>208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37</v>
          </cell>
          <cell r="U14">
            <v>7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15</v>
          </cell>
          <cell r="AA14">
            <v>1530</v>
          </cell>
          <cell r="AB14">
            <v>2550</v>
          </cell>
          <cell r="AC14">
            <v>0</v>
          </cell>
          <cell r="AD14">
            <v>2550</v>
          </cell>
          <cell r="AE14">
            <v>0</v>
          </cell>
          <cell r="AF14">
            <v>34</v>
          </cell>
          <cell r="AG14">
            <v>0.6</v>
          </cell>
        </row>
        <row r="15">
          <cell r="B15">
            <v>242350910</v>
          </cell>
          <cell r="C15" t="str">
            <v/>
          </cell>
          <cell r="D15" t="str">
            <v>BANDEJA INT P/TRAQUEOTOMIA G12513-SD x Und</v>
          </cell>
          <cell r="E15" t="str">
            <v>0</v>
          </cell>
          <cell r="F15" t="str">
            <v/>
          </cell>
          <cell r="G15" t="str">
            <v/>
          </cell>
          <cell r="H15" t="str">
            <v/>
          </cell>
          <cell r="I15" t="str">
            <v>UND</v>
          </cell>
          <cell r="J15">
            <v>1</v>
          </cell>
          <cell r="K15">
            <v>1</v>
          </cell>
          <cell r="L15" t="str">
            <v>C</v>
          </cell>
          <cell r="M15">
            <v>55</v>
          </cell>
          <cell r="N15" t="str">
            <v>C</v>
          </cell>
          <cell r="O15">
            <v>156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5</v>
          </cell>
          <cell r="U15">
            <v>2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28305</v>
          </cell>
          <cell r="AB15">
            <v>29794.74</v>
          </cell>
          <cell r="AC15">
            <v>0</v>
          </cell>
          <cell r="AD15">
            <v>29794.74</v>
          </cell>
          <cell r="AE15">
            <v>0</v>
          </cell>
          <cell r="AF15">
            <v>629</v>
          </cell>
          <cell r="AG15">
            <v>0.95</v>
          </cell>
        </row>
        <row r="16">
          <cell r="B16">
            <v>242400405</v>
          </cell>
          <cell r="C16" t="str">
            <v/>
          </cell>
          <cell r="D16" t="str">
            <v>BATA DE CIRUJANO L -  NO ESTERIL 50Grs. SSMMS (Protección) Marca MMQ x Und</v>
          </cell>
          <cell r="E16" t="str">
            <v>MMQ</v>
          </cell>
          <cell r="F16" t="str">
            <v/>
          </cell>
          <cell r="G16" t="str">
            <v>LENCERIA BATAS DE CIRUJANO</v>
          </cell>
          <cell r="H16" t="str">
            <v/>
          </cell>
          <cell r="I16" t="str">
            <v>CJX50</v>
          </cell>
          <cell r="J16">
            <v>1</v>
          </cell>
          <cell r="K16">
            <v>1</v>
          </cell>
          <cell r="L16" t="str">
            <v>C</v>
          </cell>
          <cell r="M16">
            <v>411</v>
          </cell>
          <cell r="N16" t="str">
            <v>C</v>
          </cell>
          <cell r="O16">
            <v>401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5</v>
          </cell>
          <cell r="U16">
            <v>296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49.5</v>
          </cell>
          <cell r="AB16">
            <v>52.11</v>
          </cell>
          <cell r="AC16">
            <v>0</v>
          </cell>
          <cell r="AD16">
            <v>52.11</v>
          </cell>
          <cell r="AE16">
            <v>0</v>
          </cell>
          <cell r="AF16">
            <v>1.1000000000000001</v>
          </cell>
          <cell r="AG16">
            <v>0.95</v>
          </cell>
        </row>
        <row r="17">
          <cell r="B17">
            <v>243300206</v>
          </cell>
          <cell r="C17" t="str">
            <v/>
          </cell>
          <cell r="D17" t="str">
            <v>BATA DE CIRUJANO L ESTERIL 40 Grs.  Marca Dexx Medical x Und./\Presentacion Bulto x 40 Unds.</v>
          </cell>
          <cell r="E17" t="str">
            <v>DEXX MEDICAL</v>
          </cell>
          <cell r="F17" t="str">
            <v/>
          </cell>
          <cell r="G17" t="str">
            <v>LENCERIA BATAS DE CIRUJANO</v>
          </cell>
          <cell r="H17" t="str">
            <v/>
          </cell>
          <cell r="I17" t="str">
            <v>UND</v>
          </cell>
          <cell r="J17">
            <v>1</v>
          </cell>
          <cell r="K17">
            <v>1</v>
          </cell>
          <cell r="L17" t="str">
            <v>C</v>
          </cell>
          <cell r="M17">
            <v>59</v>
          </cell>
          <cell r="N17" t="str">
            <v>C</v>
          </cell>
          <cell r="O17">
            <v>132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241</v>
          </cell>
          <cell r="U17">
            <v>47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120</v>
          </cell>
          <cell r="AA17">
            <v>62.9955</v>
          </cell>
          <cell r="AB17">
            <v>66.31</v>
          </cell>
          <cell r="AC17">
            <v>0</v>
          </cell>
          <cell r="AD17">
            <v>66.31</v>
          </cell>
          <cell r="AE17">
            <v>0</v>
          </cell>
          <cell r="AF17">
            <v>1.3998999999999999</v>
          </cell>
          <cell r="AG17">
            <v>0.95</v>
          </cell>
        </row>
        <row r="18">
          <cell r="B18">
            <v>242000602</v>
          </cell>
          <cell r="C18" t="str">
            <v/>
          </cell>
          <cell r="D18" t="str">
            <v>BATA DE CIRUJANO XL ESTERIL Marca Medic-Art x Und</v>
          </cell>
          <cell r="E18" t="str">
            <v>MEDIC-ART</v>
          </cell>
          <cell r="F18" t="str">
            <v/>
          </cell>
          <cell r="G18" t="str">
            <v>LENCERIA BATAS DE CIRUJANO</v>
          </cell>
          <cell r="H18" t="str">
            <v/>
          </cell>
          <cell r="I18" t="str">
            <v>CJX40</v>
          </cell>
          <cell r="J18">
            <v>1</v>
          </cell>
          <cell r="K18">
            <v>1</v>
          </cell>
          <cell r="L18" t="str">
            <v>C</v>
          </cell>
          <cell r="M18">
            <v>394</v>
          </cell>
          <cell r="N18" t="str">
            <v>C</v>
          </cell>
          <cell r="O18">
            <v>389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5</v>
          </cell>
          <cell r="U18">
            <v>17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2000</v>
          </cell>
          <cell r="AA18">
            <v>42.3</v>
          </cell>
          <cell r="AB18">
            <v>44.53</v>
          </cell>
          <cell r="AC18">
            <v>0</v>
          </cell>
          <cell r="AD18">
            <v>44.53</v>
          </cell>
          <cell r="AE18">
            <v>0</v>
          </cell>
          <cell r="AF18">
            <v>0.94</v>
          </cell>
          <cell r="AG18">
            <v>0.95</v>
          </cell>
        </row>
        <row r="19">
          <cell r="B19">
            <v>242460111</v>
          </cell>
          <cell r="C19" t="str">
            <v/>
          </cell>
          <cell r="D19" t="str">
            <v>BATA DE PACIENTE (Adulto) 40Grs. Marca Dexx Medical (SMS) x Und</v>
          </cell>
          <cell r="E19" t="str">
            <v>MMQ</v>
          </cell>
          <cell r="F19" t="str">
            <v/>
          </cell>
          <cell r="G19" t="str">
            <v>LENCERIA BATAS DE PACIENTE</v>
          </cell>
          <cell r="H19" t="str">
            <v/>
          </cell>
          <cell r="I19" t="str">
            <v>CJX50</v>
          </cell>
          <cell r="J19">
            <v>1</v>
          </cell>
          <cell r="K19">
            <v>1</v>
          </cell>
          <cell r="L19" t="str">
            <v>C</v>
          </cell>
          <cell r="M19">
            <v>233</v>
          </cell>
          <cell r="N19" t="str">
            <v>C</v>
          </cell>
          <cell r="O19">
            <v>153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232</v>
          </cell>
          <cell r="U19">
            <v>118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4375</v>
          </cell>
          <cell r="AA19">
            <v>17.9955</v>
          </cell>
          <cell r="AB19">
            <v>18.940000000000001</v>
          </cell>
          <cell r="AC19">
            <v>0</v>
          </cell>
          <cell r="AD19">
            <v>18.940000000000001</v>
          </cell>
          <cell r="AE19">
            <v>0</v>
          </cell>
          <cell r="AF19">
            <v>0.39989999999999998</v>
          </cell>
          <cell r="AG19">
            <v>0.95010000000000006</v>
          </cell>
        </row>
        <row r="20">
          <cell r="B20">
            <v>241250114</v>
          </cell>
          <cell r="C20" t="str">
            <v/>
          </cell>
          <cell r="D20" t="str">
            <v>BOLSA DE NUTRICION ENTERAL 500ml x Und</v>
          </cell>
          <cell r="E20" t="str">
            <v>BEXEN</v>
          </cell>
          <cell r="F20" t="str">
            <v/>
          </cell>
          <cell r="G20" t="str">
            <v>BOLSAS NUTRICION</v>
          </cell>
          <cell r="H20" t="str">
            <v/>
          </cell>
          <cell r="I20" t="str">
            <v>UND</v>
          </cell>
          <cell r="J20">
            <v>1</v>
          </cell>
          <cell r="K20">
            <v>1</v>
          </cell>
          <cell r="L20" t="str">
            <v>C</v>
          </cell>
          <cell r="M20">
            <v>387</v>
          </cell>
          <cell r="N20" t="str">
            <v>C</v>
          </cell>
          <cell r="O20">
            <v>387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5</v>
          </cell>
          <cell r="U20">
            <v>23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5</v>
          </cell>
          <cell r="AA20">
            <v>450</v>
          </cell>
          <cell r="AB20">
            <v>500</v>
          </cell>
          <cell r="AC20">
            <v>0</v>
          </cell>
          <cell r="AD20">
            <v>500</v>
          </cell>
          <cell r="AE20">
            <v>0</v>
          </cell>
          <cell r="AF20">
            <v>10</v>
          </cell>
          <cell r="AG20">
            <v>0.9</v>
          </cell>
        </row>
        <row r="21">
          <cell r="B21">
            <v>241270318</v>
          </cell>
          <cell r="C21" t="str">
            <v/>
          </cell>
          <cell r="D21" t="str">
            <v>BOLSA DE NUTRICION PARENTERAL 1000ml - Marca BRAUN REF 2112348 x Und</v>
          </cell>
          <cell r="E21" t="str">
            <v>BRAUN</v>
          </cell>
          <cell r="F21" t="str">
            <v/>
          </cell>
          <cell r="G21" t="str">
            <v/>
          </cell>
          <cell r="H21" t="str">
            <v/>
          </cell>
          <cell r="I21" t="str">
            <v>UND</v>
          </cell>
          <cell r="J21">
            <v>1</v>
          </cell>
          <cell r="K21">
            <v>1</v>
          </cell>
          <cell r="L21" t="str">
            <v>C</v>
          </cell>
          <cell r="M21">
            <v>192</v>
          </cell>
          <cell r="N21" t="str">
            <v>C</v>
          </cell>
          <cell r="O21">
            <v>230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5</v>
          </cell>
          <cell r="U21">
            <v>6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200</v>
          </cell>
          <cell r="AA21">
            <v>342</v>
          </cell>
          <cell r="AB21">
            <v>380</v>
          </cell>
          <cell r="AC21">
            <v>0</v>
          </cell>
          <cell r="AD21">
            <v>380</v>
          </cell>
          <cell r="AE21">
            <v>0</v>
          </cell>
          <cell r="AF21">
            <v>7.6</v>
          </cell>
          <cell r="AG21">
            <v>0.9</v>
          </cell>
        </row>
        <row r="22">
          <cell r="B22">
            <v>241250318</v>
          </cell>
          <cell r="C22" t="str">
            <v/>
          </cell>
          <cell r="D22" t="str">
            <v>BOLSA DE NUTRICION PARENTERAL 2000ml - Marca BRAUN REF 2112349 x Und</v>
          </cell>
          <cell r="E22" t="str">
            <v>BRAUN</v>
          </cell>
          <cell r="F22" t="str">
            <v/>
          </cell>
          <cell r="G22" t="str">
            <v/>
          </cell>
          <cell r="H22" t="str">
            <v/>
          </cell>
          <cell r="I22" t="str">
            <v>UND</v>
          </cell>
          <cell r="J22">
            <v>1</v>
          </cell>
          <cell r="K22">
            <v>1</v>
          </cell>
          <cell r="L22" t="str">
            <v>C</v>
          </cell>
          <cell r="M22">
            <v>193</v>
          </cell>
          <cell r="N22" t="str">
            <v>C</v>
          </cell>
          <cell r="O22">
            <v>142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5</v>
          </cell>
          <cell r="U22">
            <v>57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405</v>
          </cell>
          <cell r="AA22">
            <v>955.8</v>
          </cell>
          <cell r="AB22">
            <v>1062</v>
          </cell>
          <cell r="AC22">
            <v>0</v>
          </cell>
          <cell r="AD22">
            <v>1062</v>
          </cell>
          <cell r="AE22">
            <v>0</v>
          </cell>
          <cell r="AF22">
            <v>21.24</v>
          </cell>
          <cell r="AG22">
            <v>0.9</v>
          </cell>
        </row>
        <row r="23">
          <cell r="B23">
            <v>241250320</v>
          </cell>
          <cell r="C23" t="str">
            <v>4002782</v>
          </cell>
          <cell r="D23" t="str">
            <v>BOLSA DE NUTRICION PARENTERAL 2000ml - Marca Victus REF 4002782 x Und</v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>UND</v>
          </cell>
          <cell r="J23">
            <v>1</v>
          </cell>
          <cell r="K23">
            <v>1</v>
          </cell>
          <cell r="L23" t="str">
            <v>C</v>
          </cell>
          <cell r="M23">
            <v>119</v>
          </cell>
          <cell r="N23" t="str">
            <v>B</v>
          </cell>
          <cell r="O23">
            <v>32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5</v>
          </cell>
          <cell r="U23">
            <v>177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1</v>
          </cell>
          <cell r="AA23">
            <v>955.8</v>
          </cell>
          <cell r="AB23">
            <v>1062</v>
          </cell>
          <cell r="AC23">
            <v>0</v>
          </cell>
          <cell r="AD23">
            <v>1062</v>
          </cell>
          <cell r="AE23">
            <v>0</v>
          </cell>
          <cell r="AF23">
            <v>21.24</v>
          </cell>
          <cell r="AG23">
            <v>0.9</v>
          </cell>
        </row>
        <row r="24">
          <cell r="B24">
            <v>241250319</v>
          </cell>
          <cell r="C24" t="str">
            <v/>
          </cell>
          <cell r="D24" t="str">
            <v>BOLSA DE NUTRICION PARENTERAL 3000ml - Marca BRAUN REF 2112350 x Und</v>
          </cell>
          <cell r="E24" t="str">
            <v>BRAUN</v>
          </cell>
          <cell r="F24" t="str">
            <v/>
          </cell>
          <cell r="G24" t="str">
            <v/>
          </cell>
          <cell r="H24" t="str">
            <v/>
          </cell>
          <cell r="I24" t="str">
            <v>UND</v>
          </cell>
          <cell r="J24">
            <v>1</v>
          </cell>
          <cell r="K24">
            <v>1</v>
          </cell>
          <cell r="L24" t="str">
            <v>C</v>
          </cell>
          <cell r="M24">
            <v>189</v>
          </cell>
          <cell r="N24" t="str">
            <v>C</v>
          </cell>
          <cell r="O24">
            <v>248</v>
          </cell>
          <cell r="P24">
            <v>0</v>
          </cell>
          <cell r="Q24">
            <v>1</v>
          </cell>
          <cell r="R24">
            <v>1</v>
          </cell>
          <cell r="S24">
            <v>0</v>
          </cell>
          <cell r="T24">
            <v>5</v>
          </cell>
          <cell r="U24">
            <v>1</v>
          </cell>
          <cell r="V24">
            <v>0</v>
          </cell>
          <cell r="W24">
            <v>0</v>
          </cell>
          <cell r="X24">
            <v>0</v>
          </cell>
          <cell r="Y24">
            <v>1</v>
          </cell>
          <cell r="Z24">
            <v>40</v>
          </cell>
          <cell r="AA24">
            <v>921.375</v>
          </cell>
          <cell r="AB24">
            <v>1023.75</v>
          </cell>
          <cell r="AC24">
            <v>0</v>
          </cell>
          <cell r="AD24">
            <v>1023.75</v>
          </cell>
          <cell r="AE24">
            <v>0</v>
          </cell>
          <cell r="AF24">
            <v>20.475000000000001</v>
          </cell>
          <cell r="AG24">
            <v>0.9</v>
          </cell>
        </row>
        <row r="25">
          <cell r="B25">
            <v>241250219</v>
          </cell>
          <cell r="C25" t="str">
            <v/>
          </cell>
          <cell r="D25" t="str">
            <v>BOLSA DE NUTRICION PARENTERAL 3500ml - Marca Bexen x Und</v>
          </cell>
          <cell r="E25" t="str">
            <v>BEXEN</v>
          </cell>
          <cell r="F25" t="str">
            <v/>
          </cell>
          <cell r="G25" t="str">
            <v>BOLSAS NUTRICION</v>
          </cell>
          <cell r="H25" t="str">
            <v/>
          </cell>
          <cell r="I25" t="str">
            <v>CJX20</v>
          </cell>
          <cell r="J25">
            <v>1</v>
          </cell>
          <cell r="K25">
            <v>1</v>
          </cell>
          <cell r="L25" t="str">
            <v>C</v>
          </cell>
          <cell r="M25">
            <v>67</v>
          </cell>
          <cell r="N25" t="str">
            <v>C</v>
          </cell>
          <cell r="O25">
            <v>52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256</v>
          </cell>
          <cell r="U25">
            <v>20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100</v>
          </cell>
          <cell r="AA25">
            <v>763.2</v>
          </cell>
          <cell r="AB25">
            <v>848</v>
          </cell>
          <cell r="AC25">
            <v>0</v>
          </cell>
          <cell r="AD25">
            <v>848</v>
          </cell>
          <cell r="AE25">
            <v>0</v>
          </cell>
          <cell r="AF25">
            <v>16.96</v>
          </cell>
          <cell r="AG25">
            <v>0.9</v>
          </cell>
        </row>
        <row r="26">
          <cell r="B26">
            <v>242350811</v>
          </cell>
          <cell r="C26" t="str">
            <v>89811</v>
          </cell>
          <cell r="D26" t="str">
            <v>BOLSA DRENABLE COLOSTOMIA CON BASE x Und</v>
          </cell>
          <cell r="E26" t="str">
            <v>HOLISTER</v>
          </cell>
          <cell r="F26" t="str">
            <v/>
          </cell>
          <cell r="G26" t="str">
            <v/>
          </cell>
          <cell r="H26" t="str">
            <v/>
          </cell>
          <cell r="I26" t="str">
            <v>UND</v>
          </cell>
          <cell r="J26">
            <v>1</v>
          </cell>
          <cell r="K26">
            <v>1</v>
          </cell>
          <cell r="L26" t="str">
            <v>C</v>
          </cell>
          <cell r="M26">
            <v>182</v>
          </cell>
          <cell r="N26" t="str">
            <v>C</v>
          </cell>
          <cell r="O26">
            <v>181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29</v>
          </cell>
          <cell r="U26">
            <v>22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20</v>
          </cell>
          <cell r="AA26">
            <v>484.65</v>
          </cell>
          <cell r="AB26">
            <v>692.36</v>
          </cell>
          <cell r="AC26">
            <v>0</v>
          </cell>
          <cell r="AD26">
            <v>692.36</v>
          </cell>
          <cell r="AE26">
            <v>0</v>
          </cell>
          <cell r="AF26">
            <v>10.77</v>
          </cell>
          <cell r="AG26">
            <v>0.7</v>
          </cell>
        </row>
        <row r="27">
          <cell r="B27">
            <v>241250108</v>
          </cell>
          <cell r="C27" t="str">
            <v>65651-920</v>
          </cell>
          <cell r="D27" t="str">
            <v>BOLSA RECOLECTORA DE DESECHOS DE 1500 CC Medi-Vac Marca Cardinal Health x Und</v>
          </cell>
          <cell r="E27" t="str">
            <v>CARDINAL HEALTH</v>
          </cell>
          <cell r="F27" t="str">
            <v/>
          </cell>
          <cell r="G27" t="str">
            <v/>
          </cell>
          <cell r="H27" t="str">
            <v/>
          </cell>
          <cell r="I27" t="str">
            <v>CJX50</v>
          </cell>
          <cell r="J27">
            <v>1</v>
          </cell>
          <cell r="K27">
            <v>1</v>
          </cell>
          <cell r="L27" t="str">
            <v>C</v>
          </cell>
          <cell r="M27">
            <v>242</v>
          </cell>
          <cell r="N27" t="str">
            <v>C</v>
          </cell>
          <cell r="O27">
            <v>101</v>
          </cell>
          <cell r="P27">
            <v>0</v>
          </cell>
          <cell r="Q27">
            <v>20</v>
          </cell>
          <cell r="R27">
            <v>20</v>
          </cell>
          <cell r="S27">
            <v>0</v>
          </cell>
          <cell r="T27">
            <v>53</v>
          </cell>
          <cell r="U27">
            <v>270</v>
          </cell>
          <cell r="V27">
            <v>0</v>
          </cell>
          <cell r="W27">
            <v>0</v>
          </cell>
          <cell r="X27">
            <v>0</v>
          </cell>
          <cell r="Y27">
            <v>70</v>
          </cell>
          <cell r="Z27">
            <v>500</v>
          </cell>
          <cell r="AA27">
            <v>178.2</v>
          </cell>
          <cell r="AB27">
            <v>324</v>
          </cell>
          <cell r="AC27">
            <v>0</v>
          </cell>
          <cell r="AD27">
            <v>324</v>
          </cell>
          <cell r="AE27">
            <v>0</v>
          </cell>
          <cell r="AF27">
            <v>3.96</v>
          </cell>
          <cell r="AG27">
            <v>0.55000000000000004</v>
          </cell>
        </row>
        <row r="28">
          <cell r="B28">
            <v>241270105</v>
          </cell>
          <cell r="C28" t="str">
            <v>65651-930</v>
          </cell>
          <cell r="D28" t="str">
            <v>BOLSA RECOLECTORA DE DESECHOS DE 3000 CC Medi-Vac Marca Cardinal Health x Und</v>
          </cell>
          <cell r="E28" t="str">
            <v>CARDINAL HEALTH</v>
          </cell>
          <cell r="F28" t="str">
            <v/>
          </cell>
          <cell r="G28" t="str">
            <v/>
          </cell>
          <cell r="H28" t="str">
            <v/>
          </cell>
          <cell r="I28" t="str">
            <v>CJX50</v>
          </cell>
          <cell r="J28">
            <v>1</v>
          </cell>
          <cell r="K28">
            <v>1</v>
          </cell>
          <cell r="L28" t="str">
            <v>C</v>
          </cell>
          <cell r="M28">
            <v>234</v>
          </cell>
          <cell r="N28" t="str">
            <v>B</v>
          </cell>
          <cell r="O28">
            <v>31</v>
          </cell>
          <cell r="P28">
            <v>0</v>
          </cell>
          <cell r="Q28">
            <v>6</v>
          </cell>
          <cell r="R28">
            <v>6</v>
          </cell>
          <cell r="S28">
            <v>0</v>
          </cell>
          <cell r="T28">
            <v>85</v>
          </cell>
          <cell r="U28">
            <v>2075</v>
          </cell>
          <cell r="V28">
            <v>0</v>
          </cell>
          <cell r="W28">
            <v>0</v>
          </cell>
          <cell r="X28">
            <v>0</v>
          </cell>
          <cell r="Y28">
            <v>56</v>
          </cell>
          <cell r="Z28">
            <v>125</v>
          </cell>
          <cell r="AA28">
            <v>178.2</v>
          </cell>
          <cell r="AB28">
            <v>324</v>
          </cell>
          <cell r="AC28">
            <v>0</v>
          </cell>
          <cell r="AD28">
            <v>324</v>
          </cell>
          <cell r="AE28">
            <v>0</v>
          </cell>
          <cell r="AF28">
            <v>3.96</v>
          </cell>
          <cell r="AG28">
            <v>0.55000000000000004</v>
          </cell>
        </row>
        <row r="29">
          <cell r="B29">
            <v>241261102</v>
          </cell>
          <cell r="C29" t="str">
            <v/>
          </cell>
          <cell r="D29" t="str">
            <v>BOLSA RECOLECTORA ORINA URINOMETRO 250 Ml. Marca Romsons x Und</v>
          </cell>
          <cell r="E29" t="str">
            <v>ROMSONS</v>
          </cell>
          <cell r="F29" t="str">
            <v/>
          </cell>
          <cell r="G29" t="str">
            <v>RECOLECTOR URINEMETER</v>
          </cell>
          <cell r="H29" t="str">
            <v/>
          </cell>
          <cell r="I29" t="str">
            <v>UND</v>
          </cell>
          <cell r="J29">
            <v>1</v>
          </cell>
          <cell r="K29">
            <v>1</v>
          </cell>
          <cell r="L29" t="str">
            <v>C</v>
          </cell>
          <cell r="M29">
            <v>404</v>
          </cell>
          <cell r="N29" t="str">
            <v>C</v>
          </cell>
          <cell r="O29">
            <v>396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5</v>
          </cell>
          <cell r="U29">
            <v>194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200</v>
          </cell>
          <cell r="AA29">
            <v>118.35</v>
          </cell>
          <cell r="AB29">
            <v>147.94</v>
          </cell>
          <cell r="AC29">
            <v>0</v>
          </cell>
          <cell r="AD29">
            <v>147.94</v>
          </cell>
          <cell r="AE29">
            <v>0</v>
          </cell>
          <cell r="AF29">
            <v>2.63</v>
          </cell>
          <cell r="AG29">
            <v>0.8</v>
          </cell>
        </row>
        <row r="30">
          <cell r="B30">
            <v>241260105</v>
          </cell>
          <cell r="C30" t="str">
            <v>DYND17403</v>
          </cell>
          <cell r="D30" t="str">
            <v>BOLSA RECOLECTORA ORINA URINOMETRO 2500 ml. Marca MEDLINE x Und</v>
          </cell>
          <cell r="E30" t="str">
            <v>MEDLINE</v>
          </cell>
          <cell r="F30" t="str">
            <v/>
          </cell>
          <cell r="G30" t="str">
            <v>BOLSAS URIMETER</v>
          </cell>
          <cell r="H30" t="str">
            <v/>
          </cell>
          <cell r="I30" t="str">
            <v>CJX10</v>
          </cell>
          <cell r="J30">
            <v>1</v>
          </cell>
          <cell r="K30">
            <v>1</v>
          </cell>
          <cell r="L30" t="str">
            <v>C</v>
          </cell>
          <cell r="M30">
            <v>13</v>
          </cell>
          <cell r="N30" t="str">
            <v>C</v>
          </cell>
          <cell r="O30">
            <v>31</v>
          </cell>
          <cell r="P30">
            <v>0</v>
          </cell>
          <cell r="Q30">
            <v>165</v>
          </cell>
          <cell r="R30">
            <v>165</v>
          </cell>
          <cell r="S30">
            <v>0</v>
          </cell>
          <cell r="T30">
            <v>5</v>
          </cell>
          <cell r="U30">
            <v>226</v>
          </cell>
          <cell r="V30">
            <v>0</v>
          </cell>
          <cell r="W30">
            <v>0</v>
          </cell>
          <cell r="X30">
            <v>0</v>
          </cell>
          <cell r="Y30">
            <v>165</v>
          </cell>
          <cell r="Z30">
            <v>190</v>
          </cell>
          <cell r="AA30">
            <v>638.1</v>
          </cell>
          <cell r="AB30">
            <v>1063.5</v>
          </cell>
          <cell r="AC30">
            <v>0</v>
          </cell>
          <cell r="AD30">
            <v>1063.5</v>
          </cell>
          <cell r="AE30">
            <v>0</v>
          </cell>
          <cell r="AF30">
            <v>14.18</v>
          </cell>
          <cell r="AG30">
            <v>0.6</v>
          </cell>
        </row>
        <row r="31">
          <cell r="B31">
            <v>242001205</v>
          </cell>
          <cell r="C31" t="str">
            <v/>
          </cell>
          <cell r="D31" t="str">
            <v>BOMBA DE INFUSION  x Und</v>
          </cell>
          <cell r="E31" t="str">
            <v>SINOMAT</v>
          </cell>
          <cell r="F31" t="str">
            <v/>
          </cell>
          <cell r="G31" t="str">
            <v>KIT DE VIA MACROGOTEROS</v>
          </cell>
          <cell r="H31" t="str">
            <v/>
          </cell>
          <cell r="I31" t="str">
            <v>UND</v>
          </cell>
          <cell r="J31">
            <v>1</v>
          </cell>
          <cell r="K31">
            <v>1</v>
          </cell>
          <cell r="L31" t="str">
            <v>C</v>
          </cell>
          <cell r="M31">
            <v>8</v>
          </cell>
          <cell r="N31" t="str">
            <v>C</v>
          </cell>
          <cell r="O31">
            <v>126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5</v>
          </cell>
          <cell r="U31">
            <v>1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8000</v>
          </cell>
          <cell r="AA31">
            <v>22962.15</v>
          </cell>
          <cell r="AB31">
            <v>33767.870000000003</v>
          </cell>
          <cell r="AC31">
            <v>0</v>
          </cell>
          <cell r="AD31">
            <v>33767.870000000003</v>
          </cell>
          <cell r="AE31">
            <v>0</v>
          </cell>
          <cell r="AF31">
            <v>510.27</v>
          </cell>
          <cell r="AG31">
            <v>0.68</v>
          </cell>
        </row>
        <row r="32">
          <cell r="B32">
            <v>242350106</v>
          </cell>
          <cell r="C32" t="str">
            <v>GM030100</v>
          </cell>
          <cell r="D32" t="str">
            <v>BURETAS DE 100 ML Marca Grossmed x Und</v>
          </cell>
          <cell r="E32" t="str">
            <v>GROSSMED</v>
          </cell>
          <cell r="F32" t="str">
            <v/>
          </cell>
          <cell r="G32" t="str">
            <v/>
          </cell>
          <cell r="H32" t="str">
            <v/>
          </cell>
          <cell r="I32" t="str">
            <v>CJX5</v>
          </cell>
          <cell r="J32">
            <v>5</v>
          </cell>
          <cell r="K32">
            <v>1</v>
          </cell>
          <cell r="L32" t="str">
            <v>C</v>
          </cell>
          <cell r="M32">
            <v>282</v>
          </cell>
          <cell r="N32" t="str">
            <v>C</v>
          </cell>
          <cell r="O32">
            <v>29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5</v>
          </cell>
          <cell r="U32">
            <v>3300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2150</v>
          </cell>
          <cell r="AA32">
            <v>42.75</v>
          </cell>
          <cell r="AB32">
            <v>50.29</v>
          </cell>
          <cell r="AC32">
            <v>0</v>
          </cell>
          <cell r="AD32">
            <v>50.29</v>
          </cell>
          <cell r="AE32">
            <v>0</v>
          </cell>
          <cell r="AF32">
            <v>0.95</v>
          </cell>
          <cell r="AG32">
            <v>0.85</v>
          </cell>
        </row>
        <row r="33">
          <cell r="B33">
            <v>242350108</v>
          </cell>
          <cell r="C33" t="str">
            <v/>
          </cell>
          <cell r="D33" t="str">
            <v>BURETAS DE 150 ML  Marca Grossmed x Und</v>
          </cell>
          <cell r="E33" t="str">
            <v>GROSSMED</v>
          </cell>
          <cell r="F33" t="str">
            <v/>
          </cell>
          <cell r="G33" t="str">
            <v/>
          </cell>
          <cell r="H33" t="str">
            <v/>
          </cell>
          <cell r="I33" t="str">
            <v>CJX5</v>
          </cell>
          <cell r="J33">
            <v>5</v>
          </cell>
          <cell r="K33">
            <v>1</v>
          </cell>
          <cell r="L33" t="str">
            <v>C</v>
          </cell>
          <cell r="M33">
            <v>15</v>
          </cell>
          <cell r="N33" t="str">
            <v>C</v>
          </cell>
          <cell r="O33">
            <v>33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5</v>
          </cell>
          <cell r="U33">
            <v>2950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600</v>
          </cell>
          <cell r="AA33">
            <v>45</v>
          </cell>
          <cell r="AB33">
            <v>52.94</v>
          </cell>
          <cell r="AC33">
            <v>0</v>
          </cell>
          <cell r="AD33">
            <v>52.94</v>
          </cell>
          <cell r="AE33">
            <v>0</v>
          </cell>
          <cell r="AF33">
            <v>1</v>
          </cell>
          <cell r="AG33">
            <v>0.85</v>
          </cell>
        </row>
        <row r="34">
          <cell r="B34">
            <v>242350105</v>
          </cell>
          <cell r="C34" t="str">
            <v/>
          </cell>
          <cell r="D34" t="str">
            <v>BURETAS DE 150 ML  Marca Laser x Und</v>
          </cell>
          <cell r="E34" t="str">
            <v>LASER</v>
          </cell>
          <cell r="F34" t="str">
            <v/>
          </cell>
          <cell r="G34" t="str">
            <v>BURETAS BURETAS</v>
          </cell>
          <cell r="H34" t="str">
            <v/>
          </cell>
          <cell r="I34" t="str">
            <v>CJX100</v>
          </cell>
          <cell r="J34">
            <v>1</v>
          </cell>
          <cell r="K34">
            <v>1</v>
          </cell>
          <cell r="L34" t="str">
            <v>C</v>
          </cell>
          <cell r="M34">
            <v>272</v>
          </cell>
          <cell r="N34" t="str">
            <v>C</v>
          </cell>
          <cell r="O34">
            <v>178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5</v>
          </cell>
          <cell r="U34">
            <v>167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3110</v>
          </cell>
          <cell r="AA34">
            <v>45</v>
          </cell>
          <cell r="AB34">
            <v>52.94</v>
          </cell>
          <cell r="AC34">
            <v>0</v>
          </cell>
          <cell r="AD34">
            <v>52.94</v>
          </cell>
          <cell r="AE34">
            <v>0</v>
          </cell>
          <cell r="AF34">
            <v>1</v>
          </cell>
          <cell r="AG34">
            <v>0.85</v>
          </cell>
        </row>
        <row r="35">
          <cell r="B35">
            <v>242201302</v>
          </cell>
          <cell r="C35" t="str">
            <v>7281940</v>
          </cell>
          <cell r="D35" t="str">
            <v>CABESTRILLO ADULTO (UMERUS CONFORT) Talla "M" - Marca BSN Medical x Und</v>
          </cell>
          <cell r="E35" t="str">
            <v>BSN MEDICAL</v>
          </cell>
          <cell r="F35" t="str">
            <v/>
          </cell>
          <cell r="G35" t="str">
            <v>TRAUMATOLOGIA INMOVILIZADOR HOMBRO</v>
          </cell>
          <cell r="H35" t="str">
            <v/>
          </cell>
          <cell r="I35" t="str">
            <v>UND</v>
          </cell>
          <cell r="J35">
            <v>1</v>
          </cell>
          <cell r="K35">
            <v>1</v>
          </cell>
          <cell r="L35" t="str">
            <v>C</v>
          </cell>
          <cell r="M35">
            <v>299</v>
          </cell>
          <cell r="N35" t="str">
            <v>C</v>
          </cell>
          <cell r="O35">
            <v>282</v>
          </cell>
          <cell r="P35">
            <v>0</v>
          </cell>
          <cell r="Q35">
            <v>17</v>
          </cell>
          <cell r="R35">
            <v>17</v>
          </cell>
          <cell r="S35">
            <v>0</v>
          </cell>
          <cell r="T35">
            <v>5</v>
          </cell>
          <cell r="U35">
            <v>74</v>
          </cell>
          <cell r="V35">
            <v>0</v>
          </cell>
          <cell r="W35">
            <v>0</v>
          </cell>
          <cell r="X35">
            <v>0</v>
          </cell>
          <cell r="Y35">
            <v>17</v>
          </cell>
          <cell r="Z35">
            <v>37</v>
          </cell>
          <cell r="AA35">
            <v>297</v>
          </cell>
          <cell r="AB35">
            <v>371.25</v>
          </cell>
          <cell r="AC35">
            <v>0</v>
          </cell>
          <cell r="AD35">
            <v>371.25</v>
          </cell>
          <cell r="AE35">
            <v>0</v>
          </cell>
          <cell r="AF35">
            <v>6.6</v>
          </cell>
          <cell r="AG35">
            <v>0.8</v>
          </cell>
        </row>
        <row r="36">
          <cell r="B36">
            <v>242201312</v>
          </cell>
          <cell r="C36" t="str">
            <v>7281968</v>
          </cell>
          <cell r="D36" t="str">
            <v>CABESTRILLO ADULTO (UMERUS ECO) Talla XL - Marca BSN Medical x Und</v>
          </cell>
          <cell r="E36" t="str">
            <v>BSN MEDICAL</v>
          </cell>
          <cell r="F36" t="str">
            <v/>
          </cell>
          <cell r="G36" t="str">
            <v>TRAUMATOLOGIA INMOVILIZADOR HOMBRO</v>
          </cell>
          <cell r="H36" t="str">
            <v/>
          </cell>
          <cell r="I36" t="str">
            <v>UND</v>
          </cell>
          <cell r="J36">
            <v>1</v>
          </cell>
          <cell r="K36">
            <v>1</v>
          </cell>
          <cell r="L36" t="str">
            <v>C</v>
          </cell>
          <cell r="M36">
            <v>326</v>
          </cell>
          <cell r="N36" t="str">
            <v>C</v>
          </cell>
          <cell r="O36">
            <v>280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</v>
          </cell>
          <cell r="U36">
            <v>22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4</v>
          </cell>
          <cell r="AA36">
            <v>297</v>
          </cell>
          <cell r="AB36">
            <v>371.25</v>
          </cell>
          <cell r="AC36">
            <v>0</v>
          </cell>
          <cell r="AD36">
            <v>371.25</v>
          </cell>
          <cell r="AE36">
            <v>0</v>
          </cell>
          <cell r="AF36">
            <v>6.6</v>
          </cell>
          <cell r="AG36">
            <v>0.8</v>
          </cell>
        </row>
        <row r="37">
          <cell r="B37">
            <v>242201371</v>
          </cell>
          <cell r="C37" t="str">
            <v>1901</v>
          </cell>
          <cell r="D37" t="str">
            <v>CABESTRILLO ADULTO Marca Sanavit x Und</v>
          </cell>
          <cell r="E37" t="str">
            <v>SANAVIT</v>
          </cell>
          <cell r="F37" t="str">
            <v/>
          </cell>
          <cell r="G37" t="str">
            <v>TRAUMATOLOGIA CABESTRILLOS</v>
          </cell>
          <cell r="H37" t="str">
            <v/>
          </cell>
          <cell r="I37" t="str">
            <v>UND</v>
          </cell>
          <cell r="J37">
            <v>1</v>
          </cell>
          <cell r="K37">
            <v>1</v>
          </cell>
          <cell r="L37" t="str">
            <v>C</v>
          </cell>
          <cell r="M37">
            <v>238</v>
          </cell>
          <cell r="N37" t="str">
            <v>C</v>
          </cell>
          <cell r="O37">
            <v>242</v>
          </cell>
          <cell r="P37">
            <v>0</v>
          </cell>
          <cell r="Q37">
            <v>6</v>
          </cell>
          <cell r="R37">
            <v>6</v>
          </cell>
          <cell r="S37">
            <v>0</v>
          </cell>
          <cell r="T37">
            <v>61</v>
          </cell>
          <cell r="U37">
            <v>2</v>
          </cell>
          <cell r="V37">
            <v>0</v>
          </cell>
          <cell r="W37">
            <v>0</v>
          </cell>
          <cell r="X37">
            <v>0</v>
          </cell>
          <cell r="Y37">
            <v>6</v>
          </cell>
          <cell r="Z37">
            <v>50</v>
          </cell>
          <cell r="AA37">
            <v>360</v>
          </cell>
          <cell r="AB37">
            <v>424.29</v>
          </cell>
          <cell r="AC37">
            <v>0</v>
          </cell>
          <cell r="AD37">
            <v>424.29</v>
          </cell>
          <cell r="AE37">
            <v>0</v>
          </cell>
          <cell r="AF37">
            <v>8</v>
          </cell>
          <cell r="AG37">
            <v>0.84849999999999992</v>
          </cell>
        </row>
        <row r="38">
          <cell r="B38">
            <v>242201366</v>
          </cell>
          <cell r="C38" t="str">
            <v>1901</v>
          </cell>
          <cell r="D38" t="str">
            <v>CABESTRILLO JOVEN Marca Sanavit x Und</v>
          </cell>
          <cell r="E38" t="str">
            <v>SANAVIT</v>
          </cell>
          <cell r="F38" t="str">
            <v/>
          </cell>
          <cell r="G38" t="str">
            <v>TRAUMATOLOGIA INMOVILIZADOR RODILLA</v>
          </cell>
          <cell r="H38" t="str">
            <v/>
          </cell>
          <cell r="I38" t="str">
            <v>UND</v>
          </cell>
          <cell r="J38">
            <v>1</v>
          </cell>
          <cell r="K38">
            <v>1</v>
          </cell>
          <cell r="L38" t="str">
            <v>C</v>
          </cell>
          <cell r="M38">
            <v>60</v>
          </cell>
          <cell r="N38" t="str">
            <v>C</v>
          </cell>
          <cell r="O38">
            <v>185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5</v>
          </cell>
          <cell r="U38">
            <v>8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16</v>
          </cell>
          <cell r="AA38">
            <v>360</v>
          </cell>
          <cell r="AB38">
            <v>553.85</v>
          </cell>
          <cell r="AC38">
            <v>0</v>
          </cell>
          <cell r="AD38">
            <v>553.85</v>
          </cell>
          <cell r="AE38">
            <v>0</v>
          </cell>
          <cell r="AF38">
            <v>8</v>
          </cell>
          <cell r="AG38">
            <v>0.65</v>
          </cell>
        </row>
        <row r="39">
          <cell r="B39">
            <v>252520108</v>
          </cell>
          <cell r="C39" t="str">
            <v/>
          </cell>
          <cell r="D39" t="str">
            <v>CANULA DE MAYO  (40mm. SZ.00) x Und</v>
          </cell>
          <cell r="E39" t="str">
            <v>HUDDSON</v>
          </cell>
          <cell r="F39" t="str">
            <v/>
          </cell>
          <cell r="G39" t="str">
            <v/>
          </cell>
          <cell r="H39" t="str">
            <v/>
          </cell>
          <cell r="I39" t="str">
            <v>UND</v>
          </cell>
          <cell r="J39">
            <v>1</v>
          </cell>
          <cell r="K39">
            <v>1</v>
          </cell>
          <cell r="L39" t="str">
            <v>C</v>
          </cell>
          <cell r="M39">
            <v>388</v>
          </cell>
          <cell r="N39" t="str">
            <v>C</v>
          </cell>
          <cell r="O39">
            <v>388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5</v>
          </cell>
          <cell r="U39">
            <v>24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10</v>
          </cell>
          <cell r="AA39">
            <v>9.4725000000000001</v>
          </cell>
          <cell r="AB39">
            <v>13.53</v>
          </cell>
          <cell r="AC39">
            <v>0</v>
          </cell>
          <cell r="AD39">
            <v>13.53</v>
          </cell>
          <cell r="AE39">
            <v>0</v>
          </cell>
          <cell r="AF39">
            <v>0.21049999999999999</v>
          </cell>
          <cell r="AG39">
            <v>0.7</v>
          </cell>
        </row>
        <row r="40">
          <cell r="B40">
            <v>250220102</v>
          </cell>
          <cell r="C40" t="str">
            <v>1156</v>
          </cell>
          <cell r="D40" t="str">
            <v>CANULA DE MAYO  (60mm. SZ.1) x Und</v>
          </cell>
          <cell r="E40" t="str">
            <v>HUDDSON</v>
          </cell>
          <cell r="F40" t="str">
            <v/>
          </cell>
          <cell r="G40" t="str">
            <v>CANULAS DE MAYO</v>
          </cell>
          <cell r="H40" t="str">
            <v/>
          </cell>
          <cell r="I40" t="str">
            <v>CJX10</v>
          </cell>
          <cell r="J40">
            <v>1</v>
          </cell>
          <cell r="K40">
            <v>1</v>
          </cell>
          <cell r="L40" t="str">
            <v>C</v>
          </cell>
          <cell r="M40">
            <v>328</v>
          </cell>
          <cell r="N40" t="str">
            <v>C</v>
          </cell>
          <cell r="O40">
            <v>260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5</v>
          </cell>
          <cell r="U40">
            <v>659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200</v>
          </cell>
          <cell r="AA40">
            <v>11.4435</v>
          </cell>
          <cell r="AB40">
            <v>16.350000000000001</v>
          </cell>
          <cell r="AC40">
            <v>0</v>
          </cell>
          <cell r="AD40">
            <v>16.350000000000001</v>
          </cell>
          <cell r="AE40">
            <v>0</v>
          </cell>
          <cell r="AF40">
            <v>0.25430000000000003</v>
          </cell>
          <cell r="AG40">
            <v>0.7</v>
          </cell>
        </row>
        <row r="41">
          <cell r="B41">
            <v>250210101</v>
          </cell>
          <cell r="C41" t="str">
            <v/>
          </cell>
          <cell r="D41" t="str">
            <v>CANULA DE MAYO  (70mm. SZ.2) x Und</v>
          </cell>
          <cell r="E41" t="str">
            <v>HUDDSON</v>
          </cell>
          <cell r="F41" t="str">
            <v/>
          </cell>
          <cell r="G41" t="str">
            <v>CANULAS DE MAYO</v>
          </cell>
          <cell r="H41" t="str">
            <v/>
          </cell>
          <cell r="I41" t="str">
            <v>UND</v>
          </cell>
          <cell r="J41">
            <v>1</v>
          </cell>
          <cell r="K41">
            <v>1</v>
          </cell>
          <cell r="L41" t="str">
            <v>C</v>
          </cell>
          <cell r="M41">
            <v>405</v>
          </cell>
          <cell r="N41" t="str">
            <v>C</v>
          </cell>
          <cell r="O41">
            <v>272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5</v>
          </cell>
          <cell r="U41">
            <v>2010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250</v>
          </cell>
          <cell r="AA41">
            <v>11.4435</v>
          </cell>
          <cell r="AB41">
            <v>16.350000000000001</v>
          </cell>
          <cell r="AC41">
            <v>0</v>
          </cell>
          <cell r="AD41">
            <v>16.350000000000001</v>
          </cell>
          <cell r="AE41">
            <v>0</v>
          </cell>
          <cell r="AF41">
            <v>0.25430000000000003</v>
          </cell>
          <cell r="AG41">
            <v>0.7</v>
          </cell>
        </row>
        <row r="42">
          <cell r="B42">
            <v>250450204</v>
          </cell>
          <cell r="C42" t="str">
            <v>N16-281G</v>
          </cell>
          <cell r="D42" t="str">
            <v>CANULA DE MAYO  (80mm. SZ.3) x Und</v>
          </cell>
          <cell r="E42" t="str">
            <v>MCKESSON</v>
          </cell>
          <cell r="F42" t="str">
            <v/>
          </cell>
          <cell r="G42" t="str">
            <v>CANULAS DE MAYO</v>
          </cell>
          <cell r="H42" t="str">
            <v/>
          </cell>
          <cell r="I42" t="str">
            <v>CJX50</v>
          </cell>
          <cell r="J42">
            <v>1</v>
          </cell>
          <cell r="K42">
            <v>1</v>
          </cell>
          <cell r="L42" t="str">
            <v>C</v>
          </cell>
          <cell r="M42">
            <v>237</v>
          </cell>
          <cell r="N42" t="str">
            <v>C</v>
          </cell>
          <cell r="O42">
            <v>65</v>
          </cell>
          <cell r="P42">
            <v>0</v>
          </cell>
          <cell r="Q42">
            <v>200</v>
          </cell>
          <cell r="R42">
            <v>200</v>
          </cell>
          <cell r="S42">
            <v>0</v>
          </cell>
          <cell r="T42">
            <v>73</v>
          </cell>
          <cell r="U42">
            <v>450</v>
          </cell>
          <cell r="V42">
            <v>300</v>
          </cell>
          <cell r="W42">
            <v>0</v>
          </cell>
          <cell r="X42">
            <v>0</v>
          </cell>
          <cell r="Y42">
            <v>200</v>
          </cell>
          <cell r="Z42">
            <v>350</v>
          </cell>
          <cell r="AA42">
            <v>46.6875</v>
          </cell>
          <cell r="AB42">
            <v>66.69</v>
          </cell>
          <cell r="AC42">
            <v>0</v>
          </cell>
          <cell r="AD42">
            <v>66.69</v>
          </cell>
          <cell r="AE42">
            <v>0</v>
          </cell>
          <cell r="AF42">
            <v>1.0375000000000001</v>
          </cell>
          <cell r="AG42">
            <v>0.7</v>
          </cell>
        </row>
        <row r="43">
          <cell r="B43">
            <v>250450205</v>
          </cell>
          <cell r="C43" t="str">
            <v>N16-291G</v>
          </cell>
          <cell r="D43" t="str">
            <v>CANULA DE MAYO  (90mm. SZ.4) x Und</v>
          </cell>
          <cell r="E43" t="str">
            <v>MC KESSON</v>
          </cell>
          <cell r="F43" t="str">
            <v/>
          </cell>
          <cell r="G43" t="str">
            <v>CANULAS DE MAYO</v>
          </cell>
          <cell r="H43" t="str">
            <v/>
          </cell>
          <cell r="I43" t="str">
            <v>CJX50</v>
          </cell>
          <cell r="J43">
            <v>1</v>
          </cell>
          <cell r="K43">
            <v>1</v>
          </cell>
          <cell r="L43" t="str">
            <v>C</v>
          </cell>
          <cell r="M43">
            <v>61</v>
          </cell>
          <cell r="N43" t="str">
            <v>C</v>
          </cell>
          <cell r="O43">
            <v>64</v>
          </cell>
          <cell r="P43">
            <v>0</v>
          </cell>
          <cell r="Q43">
            <v>70</v>
          </cell>
          <cell r="R43">
            <v>70</v>
          </cell>
          <cell r="S43">
            <v>0</v>
          </cell>
          <cell r="T43">
            <v>11</v>
          </cell>
          <cell r="U43">
            <v>746</v>
          </cell>
          <cell r="V43">
            <v>300</v>
          </cell>
          <cell r="W43">
            <v>50</v>
          </cell>
          <cell r="X43">
            <v>0</v>
          </cell>
          <cell r="Y43">
            <v>70</v>
          </cell>
          <cell r="Z43">
            <v>112</v>
          </cell>
          <cell r="AA43">
            <v>46.6875</v>
          </cell>
          <cell r="AB43">
            <v>66.69</v>
          </cell>
          <cell r="AC43">
            <v>0</v>
          </cell>
          <cell r="AD43">
            <v>66.69</v>
          </cell>
          <cell r="AE43">
            <v>0</v>
          </cell>
          <cell r="AF43">
            <v>1.0375000000000001</v>
          </cell>
          <cell r="AG43">
            <v>0.7</v>
          </cell>
        </row>
        <row r="44">
          <cell r="B44">
            <v>250450208</v>
          </cell>
          <cell r="C44" t="str">
            <v>DYND50172</v>
          </cell>
          <cell r="D44" t="str">
            <v>CANULA DE POOLE CON MANGUERA de 1.8 Mts. Esteril  Marca Med Lines x Und</v>
          </cell>
          <cell r="E44" t="str">
            <v>MEDLINE</v>
          </cell>
          <cell r="F44" t="str">
            <v/>
          </cell>
          <cell r="G44" t="str">
            <v>CANULAS POOLE CON MANGUERA</v>
          </cell>
          <cell r="H44" t="str">
            <v/>
          </cell>
          <cell r="I44" t="str">
            <v>CJX20</v>
          </cell>
          <cell r="J44">
            <v>1</v>
          </cell>
          <cell r="K44">
            <v>1</v>
          </cell>
          <cell r="L44" t="str">
            <v>C</v>
          </cell>
          <cell r="M44">
            <v>284</v>
          </cell>
          <cell r="N44" t="str">
            <v>C</v>
          </cell>
          <cell r="O44">
            <v>123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5</v>
          </cell>
          <cell r="U44">
            <v>739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2460</v>
          </cell>
          <cell r="AA44">
            <v>270.89999999999998</v>
          </cell>
          <cell r="AB44">
            <v>338.63</v>
          </cell>
          <cell r="AC44">
            <v>0</v>
          </cell>
          <cell r="AD44">
            <v>338.63</v>
          </cell>
          <cell r="AE44">
            <v>0</v>
          </cell>
          <cell r="AF44">
            <v>6.02</v>
          </cell>
          <cell r="AG44">
            <v>0.8</v>
          </cell>
        </row>
        <row r="45">
          <cell r="B45">
            <v>240451303</v>
          </cell>
          <cell r="C45" t="str">
            <v>DYND50138</v>
          </cell>
          <cell r="D45" t="str">
            <v>CANULA DE YANKAUER C/TUBO 3.0 Mts. Marca Medline x Und</v>
          </cell>
          <cell r="E45" t="str">
            <v>MEDLINE</v>
          </cell>
          <cell r="F45" t="str">
            <v/>
          </cell>
          <cell r="G45" t="str">
            <v/>
          </cell>
          <cell r="H45" t="str">
            <v/>
          </cell>
          <cell r="I45" t="str">
            <v>CJX20</v>
          </cell>
          <cell r="J45">
            <v>1</v>
          </cell>
          <cell r="K45">
            <v>1</v>
          </cell>
          <cell r="L45" t="str">
            <v>C</v>
          </cell>
          <cell r="M45">
            <v>250</v>
          </cell>
          <cell r="N45" t="str">
            <v>C</v>
          </cell>
          <cell r="O45">
            <v>28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5</v>
          </cell>
          <cell r="U45">
            <v>1444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190</v>
          </cell>
          <cell r="AA45">
            <v>180.9</v>
          </cell>
          <cell r="AB45">
            <v>226.13</v>
          </cell>
          <cell r="AC45">
            <v>0</v>
          </cell>
          <cell r="AD45">
            <v>226.13</v>
          </cell>
          <cell r="AE45">
            <v>0</v>
          </cell>
          <cell r="AF45">
            <v>4.0199999999999996</v>
          </cell>
          <cell r="AG45">
            <v>0.8</v>
          </cell>
        </row>
        <row r="46">
          <cell r="B46">
            <v>240450302</v>
          </cell>
          <cell r="C46" t="str">
            <v>HCS4511B</v>
          </cell>
          <cell r="D46" t="str">
            <v>CANULA NASAL ADULTO Marca Medline x Und</v>
          </cell>
          <cell r="E46" t="str">
            <v>MEDLINE</v>
          </cell>
          <cell r="F46" t="str">
            <v/>
          </cell>
          <cell r="G46" t="str">
            <v>CANULAS NASALES</v>
          </cell>
          <cell r="H46" t="str">
            <v/>
          </cell>
          <cell r="I46" t="str">
            <v>CJX50</v>
          </cell>
          <cell r="J46">
            <v>1</v>
          </cell>
          <cell r="K46">
            <v>1</v>
          </cell>
          <cell r="L46" t="str">
            <v>C</v>
          </cell>
          <cell r="M46">
            <v>66</v>
          </cell>
          <cell r="N46" t="str">
            <v>C</v>
          </cell>
          <cell r="O46">
            <v>41</v>
          </cell>
          <cell r="P46">
            <v>0</v>
          </cell>
          <cell r="Q46">
            <v>600</v>
          </cell>
          <cell r="R46">
            <v>600</v>
          </cell>
          <cell r="S46">
            <v>0</v>
          </cell>
          <cell r="T46">
            <v>5</v>
          </cell>
          <cell r="U46">
            <v>2805</v>
          </cell>
          <cell r="V46">
            <v>0</v>
          </cell>
          <cell r="W46">
            <v>0</v>
          </cell>
          <cell r="X46">
            <v>0</v>
          </cell>
          <cell r="Y46">
            <v>600</v>
          </cell>
          <cell r="Z46">
            <v>1100</v>
          </cell>
          <cell r="AA46">
            <v>26.55</v>
          </cell>
          <cell r="AB46">
            <v>44.25</v>
          </cell>
          <cell r="AC46">
            <v>0</v>
          </cell>
          <cell r="AD46">
            <v>44.25</v>
          </cell>
          <cell r="AE46">
            <v>0</v>
          </cell>
          <cell r="AF46">
            <v>0.59</v>
          </cell>
          <cell r="AG46">
            <v>0.6</v>
          </cell>
        </row>
        <row r="47">
          <cell r="B47">
            <v>240450305</v>
          </cell>
          <cell r="C47" t="str">
            <v>1685</v>
          </cell>
          <cell r="D47" t="str">
            <v>CANULA NASAL INFANTE CPAP NRO.1 MARCA HUDDSON x Und</v>
          </cell>
          <cell r="E47" t="str">
            <v>HUDDSON</v>
          </cell>
          <cell r="F47" t="str">
            <v/>
          </cell>
          <cell r="G47" t="str">
            <v/>
          </cell>
          <cell r="H47" t="str">
            <v/>
          </cell>
          <cell r="I47" t="str">
            <v>CJX10</v>
          </cell>
          <cell r="J47">
            <v>1</v>
          </cell>
          <cell r="K47">
            <v>1</v>
          </cell>
          <cell r="L47" t="str">
            <v>C</v>
          </cell>
          <cell r="M47">
            <v>385</v>
          </cell>
          <cell r="N47" t="str">
            <v>C</v>
          </cell>
          <cell r="O47">
            <v>385</v>
          </cell>
          <cell r="P47">
            <v>0</v>
          </cell>
          <cell r="Q47">
            <v>3</v>
          </cell>
          <cell r="R47">
            <v>3</v>
          </cell>
          <cell r="S47">
            <v>0</v>
          </cell>
          <cell r="T47">
            <v>5</v>
          </cell>
          <cell r="U47">
            <v>2</v>
          </cell>
          <cell r="V47">
            <v>0</v>
          </cell>
          <cell r="W47">
            <v>0</v>
          </cell>
          <cell r="X47">
            <v>0</v>
          </cell>
          <cell r="Y47">
            <v>3</v>
          </cell>
          <cell r="Z47">
            <v>3</v>
          </cell>
          <cell r="AA47">
            <v>1097.5274999999999</v>
          </cell>
          <cell r="AB47">
            <v>1371.91</v>
          </cell>
          <cell r="AC47">
            <v>0</v>
          </cell>
          <cell r="AD47">
            <v>1371.91</v>
          </cell>
          <cell r="AE47">
            <v>0</v>
          </cell>
          <cell r="AF47">
            <v>24.389500000000002</v>
          </cell>
          <cell r="AG47">
            <v>0.8</v>
          </cell>
        </row>
        <row r="48">
          <cell r="B48">
            <v>272100150</v>
          </cell>
          <cell r="C48" t="str">
            <v>9.10.01.00</v>
          </cell>
          <cell r="D48" t="str">
            <v>CARGADOR//ENCHUFE BOMBA SINOMAT X UNIDAD</v>
          </cell>
          <cell r="E48" t="str">
            <v>SINOMAT</v>
          </cell>
          <cell r="F48" t="str">
            <v/>
          </cell>
          <cell r="G48" t="str">
            <v/>
          </cell>
          <cell r="H48" t="str">
            <v/>
          </cell>
          <cell r="I48" t="str">
            <v>UND</v>
          </cell>
          <cell r="J48">
            <v>1</v>
          </cell>
          <cell r="K48">
            <v>1</v>
          </cell>
          <cell r="L48" t="str">
            <v>C</v>
          </cell>
          <cell r="M48">
            <v>348</v>
          </cell>
          <cell r="N48" t="str">
            <v>C</v>
          </cell>
          <cell r="O48">
            <v>263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147</v>
          </cell>
          <cell r="U48">
            <v>1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1</v>
          </cell>
          <cell r="AA48">
            <v>1125</v>
          </cell>
          <cell r="AB48">
            <v>2250</v>
          </cell>
          <cell r="AC48">
            <v>0</v>
          </cell>
          <cell r="AD48">
            <v>2250</v>
          </cell>
          <cell r="AE48">
            <v>0</v>
          </cell>
          <cell r="AF48">
            <v>25</v>
          </cell>
          <cell r="AG48">
            <v>0.5</v>
          </cell>
        </row>
        <row r="49">
          <cell r="B49">
            <v>240350113</v>
          </cell>
          <cell r="C49" t="str">
            <v/>
          </cell>
          <cell r="D49" t="str">
            <v>CARTUCHO AUTOSUTURA TA 30 3.5 AZUL TA3035L x Und</v>
          </cell>
          <cell r="E49" t="str">
            <v/>
          </cell>
          <cell r="F49" t="str">
            <v/>
          </cell>
          <cell r="G49" t="str">
            <v>OTROS OTROS</v>
          </cell>
          <cell r="H49" t="str">
            <v/>
          </cell>
          <cell r="I49" t="str">
            <v>UND</v>
          </cell>
          <cell r="J49">
            <v>1</v>
          </cell>
          <cell r="K49">
            <v>1</v>
          </cell>
          <cell r="L49" t="str">
            <v>C</v>
          </cell>
          <cell r="M49">
            <v>169</v>
          </cell>
          <cell r="N49" t="str">
            <v>C</v>
          </cell>
          <cell r="O49">
            <v>237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5</v>
          </cell>
          <cell r="U49">
            <v>2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6</v>
          </cell>
          <cell r="AA49">
            <v>562.5</v>
          </cell>
          <cell r="AB49">
            <v>703.13</v>
          </cell>
          <cell r="AC49">
            <v>0</v>
          </cell>
          <cell r="AD49">
            <v>703.13</v>
          </cell>
          <cell r="AE49">
            <v>0</v>
          </cell>
          <cell r="AF49">
            <v>12.5</v>
          </cell>
          <cell r="AG49">
            <v>0.8</v>
          </cell>
        </row>
        <row r="50">
          <cell r="B50">
            <v>241260107</v>
          </cell>
          <cell r="C50" t="str">
            <v>241260107</v>
          </cell>
          <cell r="D50" t="str">
            <v>CASSETTE STERRAD 100S  Ref: 10113 Marca Jhonsons &amp; Jhonsons x Und./\Presentacion Caja x 05 Unds.</v>
          </cell>
          <cell r="E50" t="str">
            <v>J&amp;J</v>
          </cell>
          <cell r="F50" t="str">
            <v/>
          </cell>
          <cell r="G50" t="str">
            <v/>
          </cell>
          <cell r="H50" t="str">
            <v/>
          </cell>
          <cell r="I50" t="str">
            <v>UND</v>
          </cell>
          <cell r="J50">
            <v>5</v>
          </cell>
          <cell r="K50">
            <v>1</v>
          </cell>
          <cell r="L50" t="str">
            <v>C</v>
          </cell>
          <cell r="M50">
            <v>1</v>
          </cell>
          <cell r="N50" t="str">
            <v>C</v>
          </cell>
          <cell r="O50">
            <v>7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279</v>
          </cell>
          <cell r="U50">
            <v>7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4500</v>
          </cell>
          <cell r="AB50">
            <v>6923.08</v>
          </cell>
          <cell r="AC50">
            <v>0</v>
          </cell>
          <cell r="AD50">
            <v>6923.08</v>
          </cell>
          <cell r="AE50">
            <v>0</v>
          </cell>
          <cell r="AF50">
            <v>100</v>
          </cell>
          <cell r="AG50">
            <v>0.65</v>
          </cell>
        </row>
        <row r="51">
          <cell r="B51">
            <v>241950402</v>
          </cell>
          <cell r="C51" t="str">
            <v/>
          </cell>
          <cell r="D51" t="str">
            <v>CAT. SWN GANZ COMBO 7.5 FR REF 774HF75 x Und</v>
          </cell>
          <cell r="E51" t="str">
            <v>EDWARDS LIFESCIENCE</v>
          </cell>
          <cell r="F51" t="str">
            <v/>
          </cell>
          <cell r="G51" t="str">
            <v/>
          </cell>
          <cell r="H51" t="str">
            <v/>
          </cell>
          <cell r="I51" t="str">
            <v>UND</v>
          </cell>
          <cell r="J51">
            <v>1</v>
          </cell>
          <cell r="K51">
            <v>1</v>
          </cell>
          <cell r="L51" t="str">
            <v>C</v>
          </cell>
          <cell r="M51">
            <v>69</v>
          </cell>
          <cell r="N51" t="str">
            <v>C</v>
          </cell>
          <cell r="O51">
            <v>174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5</v>
          </cell>
          <cell r="U51">
            <v>2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6</v>
          </cell>
          <cell r="AA51">
            <v>10687.5</v>
          </cell>
          <cell r="AB51">
            <v>13359.38</v>
          </cell>
          <cell r="AC51">
            <v>0</v>
          </cell>
          <cell r="AD51">
            <v>13359.38</v>
          </cell>
          <cell r="AE51">
            <v>0</v>
          </cell>
          <cell r="AF51">
            <v>237.5</v>
          </cell>
          <cell r="AG51">
            <v>0.8</v>
          </cell>
        </row>
        <row r="52">
          <cell r="B52">
            <v>241951202</v>
          </cell>
          <cell r="C52" t="str">
            <v>CV-12702</v>
          </cell>
          <cell r="D52" t="str">
            <v>CATETER BILUMEN 7.0Fr x 16 cm. Marca Arrow x Und</v>
          </cell>
          <cell r="E52" t="str">
            <v>ARROW</v>
          </cell>
          <cell r="F52" t="str">
            <v/>
          </cell>
          <cell r="G52" t="str">
            <v>CATETER   BILUMEN</v>
          </cell>
          <cell r="H52" t="str">
            <v/>
          </cell>
          <cell r="I52" t="str">
            <v>CJX10</v>
          </cell>
          <cell r="J52">
            <v>1</v>
          </cell>
          <cell r="K52">
            <v>1</v>
          </cell>
          <cell r="L52" t="str">
            <v>C</v>
          </cell>
          <cell r="M52">
            <v>136</v>
          </cell>
          <cell r="N52" t="str">
            <v>C</v>
          </cell>
          <cell r="O52">
            <v>146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5</v>
          </cell>
          <cell r="U52">
            <v>18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50</v>
          </cell>
          <cell r="AA52">
            <v>1036.1835000000001</v>
          </cell>
          <cell r="AB52">
            <v>1219.04</v>
          </cell>
          <cell r="AC52">
            <v>0</v>
          </cell>
          <cell r="AD52">
            <v>1219.04</v>
          </cell>
          <cell r="AE52">
            <v>0</v>
          </cell>
          <cell r="AF52">
            <v>23.026299999999999</v>
          </cell>
          <cell r="AG52">
            <v>0.85</v>
          </cell>
        </row>
        <row r="53">
          <cell r="B53">
            <v>241950102</v>
          </cell>
          <cell r="C53" t="str">
            <v>CV-16702</v>
          </cell>
          <cell r="D53" t="str">
            <v>CATETER BILUMEN 7.0Fr x 20 cm. Marca Arrow x Und</v>
          </cell>
          <cell r="E53" t="str">
            <v>ARROW</v>
          </cell>
          <cell r="F53" t="str">
            <v/>
          </cell>
          <cell r="G53" t="str">
            <v>CATETER   BILUMEN</v>
          </cell>
          <cell r="H53" t="str">
            <v/>
          </cell>
          <cell r="I53" t="str">
            <v>CJX10</v>
          </cell>
          <cell r="J53">
            <v>1</v>
          </cell>
          <cell r="K53">
            <v>1</v>
          </cell>
          <cell r="L53" t="str">
            <v/>
          </cell>
          <cell r="M53">
            <v>0</v>
          </cell>
          <cell r="N53" t="str">
            <v/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5</v>
          </cell>
          <cell r="U53">
            <v>21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984.375</v>
          </cell>
          <cell r="AB53">
            <v>1158.0899999999999</v>
          </cell>
          <cell r="AC53">
            <v>0</v>
          </cell>
          <cell r="AD53">
            <v>1158.0899999999999</v>
          </cell>
          <cell r="AE53">
            <v>0</v>
          </cell>
          <cell r="AF53">
            <v>21.875</v>
          </cell>
          <cell r="AG53">
            <v>0.85</v>
          </cell>
        </row>
        <row r="54">
          <cell r="B54">
            <v>241010209</v>
          </cell>
          <cell r="C54" t="str">
            <v>12072230</v>
          </cell>
          <cell r="D54" t="str">
            <v>CATETER DOBLE J PUNTA ABIERTA 7 Fr. x 22Cm - 30Cm - Marca Forsure x Und</v>
          </cell>
          <cell r="E54" t="str">
            <v>FORSURE</v>
          </cell>
          <cell r="F54" t="str">
            <v/>
          </cell>
          <cell r="G54" t="str">
            <v/>
          </cell>
          <cell r="H54" t="str">
            <v/>
          </cell>
          <cell r="I54" t="str">
            <v>CJX5</v>
          </cell>
          <cell r="J54">
            <v>1</v>
          </cell>
          <cell r="K54">
            <v>1</v>
          </cell>
          <cell r="L54" t="str">
            <v>C</v>
          </cell>
          <cell r="M54">
            <v>126</v>
          </cell>
          <cell r="N54" t="str">
            <v>C</v>
          </cell>
          <cell r="O54">
            <v>154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5</v>
          </cell>
          <cell r="U54">
            <v>11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20</v>
          </cell>
          <cell r="AA54">
            <v>2025</v>
          </cell>
          <cell r="AB54">
            <v>2382.35</v>
          </cell>
          <cell r="AC54">
            <v>0</v>
          </cell>
          <cell r="AD54">
            <v>2382.35</v>
          </cell>
          <cell r="AE54">
            <v>0</v>
          </cell>
          <cell r="AF54">
            <v>45</v>
          </cell>
          <cell r="AG54">
            <v>0.85</v>
          </cell>
        </row>
        <row r="55">
          <cell r="B55">
            <v>251950501</v>
          </cell>
          <cell r="C55" t="str">
            <v/>
          </cell>
          <cell r="D55" t="str">
            <v>CATETER IV JELCO 14 G x 2 1/4" Marca Smith Medical (RO) x Und</v>
          </cell>
          <cell r="E55" t="str">
            <v>SMITH MEDICAL</v>
          </cell>
          <cell r="F55" t="str">
            <v/>
          </cell>
          <cell r="G55" t="str">
            <v>CATETER   JELCO</v>
          </cell>
          <cell r="H55" t="str">
            <v/>
          </cell>
          <cell r="I55" t="str">
            <v>CJX50</v>
          </cell>
          <cell r="J55">
            <v>50</v>
          </cell>
          <cell r="K55">
            <v>1</v>
          </cell>
          <cell r="L55" t="str">
            <v>B</v>
          </cell>
          <cell r="M55">
            <v>8</v>
          </cell>
          <cell r="N55" t="str">
            <v>C</v>
          </cell>
          <cell r="O55">
            <v>80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241</v>
          </cell>
          <cell r="U55">
            <v>200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450</v>
          </cell>
          <cell r="AA55">
            <v>54</v>
          </cell>
          <cell r="AB55">
            <v>67.5</v>
          </cell>
          <cell r="AC55">
            <v>0</v>
          </cell>
          <cell r="AD55">
            <v>67.5</v>
          </cell>
          <cell r="AE55">
            <v>0</v>
          </cell>
          <cell r="AF55">
            <v>1.2</v>
          </cell>
          <cell r="AG55">
            <v>0.8</v>
          </cell>
        </row>
        <row r="56">
          <cell r="B56">
            <v>251950503</v>
          </cell>
          <cell r="C56" t="str">
            <v/>
          </cell>
          <cell r="D56" t="str">
            <v>CATETER IV JELCO 18 G x 1 1/4" Marca Smith Medical  (RO) x Und</v>
          </cell>
          <cell r="E56" t="str">
            <v>SMITH MEDICAL</v>
          </cell>
          <cell r="F56" t="str">
            <v/>
          </cell>
          <cell r="G56" t="str">
            <v>CATETER   JELCO</v>
          </cell>
          <cell r="H56" t="str">
            <v/>
          </cell>
          <cell r="I56" t="str">
            <v>CJX50</v>
          </cell>
          <cell r="J56">
            <v>50</v>
          </cell>
          <cell r="K56">
            <v>1</v>
          </cell>
          <cell r="L56" t="str">
            <v>C</v>
          </cell>
          <cell r="M56">
            <v>244</v>
          </cell>
          <cell r="N56" t="str">
            <v>B</v>
          </cell>
          <cell r="O56">
            <v>20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45</v>
          </cell>
          <cell r="U56">
            <v>2700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3600</v>
          </cell>
          <cell r="AA56">
            <v>29.25</v>
          </cell>
          <cell r="AB56">
            <v>36.56</v>
          </cell>
          <cell r="AC56">
            <v>0</v>
          </cell>
          <cell r="AD56">
            <v>36.56</v>
          </cell>
          <cell r="AE56">
            <v>0</v>
          </cell>
          <cell r="AF56">
            <v>0.65</v>
          </cell>
          <cell r="AG56">
            <v>0.8</v>
          </cell>
        </row>
        <row r="57">
          <cell r="B57">
            <v>251951504</v>
          </cell>
          <cell r="C57" t="str">
            <v/>
          </cell>
          <cell r="D57" t="str">
            <v>CATETER IV JELCO 20G x 1 1/4"  Marca Smith Medical (RO) x Und</v>
          </cell>
          <cell r="E57" t="str">
            <v>SMITH MEDICAL</v>
          </cell>
          <cell r="F57" t="str">
            <v/>
          </cell>
          <cell r="G57" t="str">
            <v>CATETER   JELCO</v>
          </cell>
          <cell r="H57" t="str">
            <v/>
          </cell>
          <cell r="I57" t="str">
            <v>CJX50</v>
          </cell>
          <cell r="J57">
            <v>50</v>
          </cell>
          <cell r="K57">
            <v>1</v>
          </cell>
          <cell r="L57" t="str">
            <v>C</v>
          </cell>
          <cell r="M57">
            <v>221</v>
          </cell>
          <cell r="N57" t="str">
            <v>A</v>
          </cell>
          <cell r="O57">
            <v>23</v>
          </cell>
          <cell r="P57">
            <v>0</v>
          </cell>
          <cell r="Q57">
            <v>150</v>
          </cell>
          <cell r="R57">
            <v>150</v>
          </cell>
          <cell r="S57">
            <v>0</v>
          </cell>
          <cell r="T57">
            <v>45</v>
          </cell>
          <cell r="U57">
            <v>4450</v>
          </cell>
          <cell r="V57">
            <v>0</v>
          </cell>
          <cell r="W57">
            <v>0</v>
          </cell>
          <cell r="X57">
            <v>0</v>
          </cell>
          <cell r="Y57">
            <v>150</v>
          </cell>
          <cell r="Z57">
            <v>7150</v>
          </cell>
          <cell r="AA57">
            <v>29.25</v>
          </cell>
          <cell r="AB57">
            <v>36.56</v>
          </cell>
          <cell r="AC57">
            <v>0</v>
          </cell>
          <cell r="AD57">
            <v>36.56</v>
          </cell>
          <cell r="AE57">
            <v>0</v>
          </cell>
          <cell r="AF57">
            <v>0.65</v>
          </cell>
          <cell r="AG57">
            <v>0.8</v>
          </cell>
        </row>
        <row r="58">
          <cell r="B58">
            <v>241950205</v>
          </cell>
          <cell r="C58" t="str">
            <v/>
          </cell>
          <cell r="D58" t="str">
            <v>CATETER IV JELCO 22G x 1 1/4"  Marca Smith Medical (RO) x Und</v>
          </cell>
          <cell r="E58" t="str">
            <v/>
          </cell>
          <cell r="F58" t="str">
            <v/>
          </cell>
          <cell r="G58" t="str">
            <v>CATETER   JELCO</v>
          </cell>
          <cell r="H58" t="str">
            <v/>
          </cell>
          <cell r="I58" t="str">
            <v>UND</v>
          </cell>
          <cell r="J58">
            <v>1</v>
          </cell>
          <cell r="K58">
            <v>1</v>
          </cell>
          <cell r="L58" t="str">
            <v>C</v>
          </cell>
          <cell r="M58">
            <v>210</v>
          </cell>
          <cell r="N58" t="str">
            <v>A</v>
          </cell>
          <cell r="O58">
            <v>16</v>
          </cell>
          <cell r="P58">
            <v>0</v>
          </cell>
          <cell r="Q58">
            <v>50</v>
          </cell>
          <cell r="R58">
            <v>50</v>
          </cell>
          <cell r="S58">
            <v>0</v>
          </cell>
          <cell r="T58">
            <v>45</v>
          </cell>
          <cell r="U58">
            <v>5750</v>
          </cell>
          <cell r="V58">
            <v>0</v>
          </cell>
          <cell r="W58">
            <v>0</v>
          </cell>
          <cell r="X58">
            <v>0</v>
          </cell>
          <cell r="Y58">
            <v>50</v>
          </cell>
          <cell r="Z58">
            <v>6150</v>
          </cell>
          <cell r="AA58">
            <v>29.25</v>
          </cell>
          <cell r="AB58">
            <v>36.56</v>
          </cell>
          <cell r="AC58">
            <v>0</v>
          </cell>
          <cell r="AD58">
            <v>36.56</v>
          </cell>
          <cell r="AE58">
            <v>0</v>
          </cell>
          <cell r="AF58">
            <v>0.65</v>
          </cell>
          <cell r="AG58">
            <v>0.8</v>
          </cell>
        </row>
        <row r="59">
          <cell r="B59">
            <v>251950506</v>
          </cell>
          <cell r="C59" t="str">
            <v/>
          </cell>
          <cell r="D59" t="str">
            <v>CATETER IV JELCO 24 G x 3/4"   Marca Smith Medical (RO) x Und</v>
          </cell>
          <cell r="E59" t="str">
            <v>SMITH MEDICAL</v>
          </cell>
          <cell r="F59" t="str">
            <v/>
          </cell>
          <cell r="G59" t="str">
            <v>CATETER   JELCO</v>
          </cell>
          <cell r="H59" t="str">
            <v/>
          </cell>
          <cell r="I59" t="str">
            <v>CJX50</v>
          </cell>
          <cell r="J59">
            <v>50</v>
          </cell>
          <cell r="K59">
            <v>1</v>
          </cell>
          <cell r="L59" t="str">
            <v>C</v>
          </cell>
          <cell r="M59">
            <v>245</v>
          </cell>
          <cell r="N59" t="str">
            <v>B</v>
          </cell>
          <cell r="O59">
            <v>17</v>
          </cell>
          <cell r="P59">
            <v>0</v>
          </cell>
          <cell r="Q59">
            <v>500</v>
          </cell>
          <cell r="R59">
            <v>500</v>
          </cell>
          <cell r="S59">
            <v>0</v>
          </cell>
          <cell r="T59">
            <v>45</v>
          </cell>
          <cell r="U59">
            <v>2350</v>
          </cell>
          <cell r="V59">
            <v>0</v>
          </cell>
          <cell r="W59">
            <v>0</v>
          </cell>
          <cell r="X59">
            <v>0</v>
          </cell>
          <cell r="Y59">
            <v>550</v>
          </cell>
          <cell r="Z59">
            <v>9900</v>
          </cell>
          <cell r="AA59">
            <v>29.25</v>
          </cell>
          <cell r="AB59">
            <v>36.56</v>
          </cell>
          <cell r="AC59">
            <v>0</v>
          </cell>
          <cell r="AD59">
            <v>36.56</v>
          </cell>
          <cell r="AE59">
            <v>0</v>
          </cell>
          <cell r="AF59">
            <v>0.65</v>
          </cell>
          <cell r="AG59">
            <v>0.8</v>
          </cell>
        </row>
        <row r="60">
          <cell r="B60">
            <v>251950906</v>
          </cell>
          <cell r="C60" t="str">
            <v>831F75</v>
          </cell>
          <cell r="D60" t="str">
            <v>CATETER SWAN GANZ REF 831F75 7.5FR x Und</v>
          </cell>
          <cell r="E60" t="str">
            <v>EDWARDS LIFESCIENCE</v>
          </cell>
          <cell r="F60" t="str">
            <v/>
          </cell>
          <cell r="G60" t="str">
            <v/>
          </cell>
          <cell r="H60" t="str">
            <v/>
          </cell>
          <cell r="I60" t="str">
            <v>UND</v>
          </cell>
          <cell r="J60">
            <v>1</v>
          </cell>
          <cell r="K60">
            <v>1</v>
          </cell>
          <cell r="L60" t="str">
            <v>C</v>
          </cell>
          <cell r="M60">
            <v>27</v>
          </cell>
          <cell r="N60" t="str">
            <v>C</v>
          </cell>
          <cell r="O60">
            <v>158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5</v>
          </cell>
          <cell r="U60">
            <v>1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2</v>
          </cell>
          <cell r="AA60">
            <v>1068.75</v>
          </cell>
          <cell r="AB60">
            <v>1335.94</v>
          </cell>
          <cell r="AC60">
            <v>0</v>
          </cell>
          <cell r="AD60">
            <v>1335.94</v>
          </cell>
          <cell r="AE60">
            <v>0</v>
          </cell>
          <cell r="AF60">
            <v>23.75</v>
          </cell>
          <cell r="AG60">
            <v>0.8</v>
          </cell>
        </row>
        <row r="61">
          <cell r="B61">
            <v>241951321</v>
          </cell>
          <cell r="C61" t="str">
            <v>4283505</v>
          </cell>
          <cell r="D61" t="str">
            <v>CATETER UMBILICAL DOBLE LUMEN 3.5 Fr. Marca UTAH MEDICAL x Und</v>
          </cell>
          <cell r="E61" t="str">
            <v>UTAH MEDICAL</v>
          </cell>
          <cell r="F61" t="str">
            <v/>
          </cell>
          <cell r="G61" t="str">
            <v>DOBLE LUMEN</v>
          </cell>
          <cell r="H61" t="str">
            <v/>
          </cell>
          <cell r="I61" t="str">
            <v>CJX10</v>
          </cell>
          <cell r="J61">
            <v>1</v>
          </cell>
          <cell r="K61">
            <v>1</v>
          </cell>
          <cell r="L61" t="str">
            <v>C</v>
          </cell>
          <cell r="M61">
            <v>312</v>
          </cell>
          <cell r="N61" t="str">
            <v>C</v>
          </cell>
          <cell r="O61">
            <v>267</v>
          </cell>
          <cell r="P61">
            <v>0</v>
          </cell>
          <cell r="Q61">
            <v>4</v>
          </cell>
          <cell r="R61">
            <v>4</v>
          </cell>
          <cell r="S61">
            <v>0</v>
          </cell>
          <cell r="T61">
            <v>5</v>
          </cell>
          <cell r="U61">
            <v>32</v>
          </cell>
          <cell r="V61">
            <v>0</v>
          </cell>
          <cell r="W61">
            <v>0</v>
          </cell>
          <cell r="X61">
            <v>0</v>
          </cell>
          <cell r="Y61">
            <v>4</v>
          </cell>
          <cell r="Z61">
            <v>19</v>
          </cell>
          <cell r="AA61">
            <v>1257.1559999999999</v>
          </cell>
          <cell r="AB61">
            <v>1676.21</v>
          </cell>
          <cell r="AC61">
            <v>0</v>
          </cell>
          <cell r="AD61">
            <v>1676.21</v>
          </cell>
          <cell r="AE61">
            <v>0</v>
          </cell>
          <cell r="AF61">
            <v>27.936800000000002</v>
          </cell>
          <cell r="AG61">
            <v>0.75</v>
          </cell>
        </row>
        <row r="62">
          <cell r="B62">
            <v>241951319</v>
          </cell>
          <cell r="C62" t="str">
            <v>4285005</v>
          </cell>
          <cell r="D62" t="str">
            <v>CATETER UMBILICAL DOBLE LUMEN 5 Fr x 38 Cm. Marca UTAH MEDICAL x Und</v>
          </cell>
          <cell r="E62" t="str">
            <v>UTAH MEDICAL</v>
          </cell>
          <cell r="F62" t="str">
            <v/>
          </cell>
          <cell r="G62" t="str">
            <v>CATETER   UMBILICAL</v>
          </cell>
          <cell r="H62" t="str">
            <v/>
          </cell>
          <cell r="I62" t="str">
            <v>CJX10</v>
          </cell>
          <cell r="J62">
            <v>1</v>
          </cell>
          <cell r="K62">
            <v>1</v>
          </cell>
          <cell r="L62" t="str">
            <v>C</v>
          </cell>
          <cell r="M62">
            <v>311</v>
          </cell>
          <cell r="N62" t="str">
            <v>C</v>
          </cell>
          <cell r="O62">
            <v>266</v>
          </cell>
          <cell r="P62">
            <v>0</v>
          </cell>
          <cell r="Q62">
            <v>4</v>
          </cell>
          <cell r="R62">
            <v>4</v>
          </cell>
          <cell r="S62">
            <v>0</v>
          </cell>
          <cell r="T62">
            <v>5</v>
          </cell>
          <cell r="U62">
            <v>33</v>
          </cell>
          <cell r="V62">
            <v>0</v>
          </cell>
          <cell r="W62">
            <v>0</v>
          </cell>
          <cell r="X62">
            <v>0</v>
          </cell>
          <cell r="Y62">
            <v>4</v>
          </cell>
          <cell r="Z62">
            <v>10</v>
          </cell>
          <cell r="AA62">
            <v>1257.1559999999999</v>
          </cell>
          <cell r="AB62">
            <v>1676.21</v>
          </cell>
          <cell r="AC62">
            <v>0</v>
          </cell>
          <cell r="AD62">
            <v>1676.21</v>
          </cell>
          <cell r="AE62">
            <v>0</v>
          </cell>
          <cell r="AF62">
            <v>27.936800000000002</v>
          </cell>
          <cell r="AG62">
            <v>0.75</v>
          </cell>
        </row>
        <row r="63">
          <cell r="B63">
            <v>241951323</v>
          </cell>
          <cell r="C63" t="str">
            <v>8.888E+9</v>
          </cell>
          <cell r="D63" t="str">
            <v>CATETER UMBILICAL SIMPLE LUMEN 5 Fr. Marca Covidien x Und</v>
          </cell>
          <cell r="E63" t="str">
            <v>COVIDIEN</v>
          </cell>
          <cell r="F63" t="str">
            <v/>
          </cell>
          <cell r="G63" t="str">
            <v/>
          </cell>
          <cell r="H63" t="str">
            <v/>
          </cell>
          <cell r="I63" t="str">
            <v>UND</v>
          </cell>
          <cell r="J63">
            <v>1</v>
          </cell>
          <cell r="K63">
            <v>1</v>
          </cell>
          <cell r="L63" t="str">
            <v>C</v>
          </cell>
          <cell r="M63">
            <v>417</v>
          </cell>
          <cell r="N63" t="str">
            <v>C</v>
          </cell>
          <cell r="O63">
            <v>81</v>
          </cell>
          <cell r="P63">
            <v>0</v>
          </cell>
          <cell r="Q63">
            <v>4</v>
          </cell>
          <cell r="R63">
            <v>4</v>
          </cell>
          <cell r="S63">
            <v>0</v>
          </cell>
          <cell r="T63">
            <v>5</v>
          </cell>
          <cell r="U63">
            <v>24</v>
          </cell>
          <cell r="V63">
            <v>0</v>
          </cell>
          <cell r="W63">
            <v>0</v>
          </cell>
          <cell r="X63">
            <v>0</v>
          </cell>
          <cell r="Y63">
            <v>4</v>
          </cell>
          <cell r="Z63">
            <v>4</v>
          </cell>
          <cell r="AA63">
            <v>787.5</v>
          </cell>
          <cell r="AB63">
            <v>1050</v>
          </cell>
          <cell r="AC63">
            <v>0</v>
          </cell>
          <cell r="AD63">
            <v>1050</v>
          </cell>
          <cell r="AE63">
            <v>0</v>
          </cell>
          <cell r="AF63">
            <v>17.5</v>
          </cell>
          <cell r="AG63">
            <v>0.75</v>
          </cell>
        </row>
        <row r="64">
          <cell r="B64">
            <v>241951318</v>
          </cell>
          <cell r="C64" t="str">
            <v>4385005</v>
          </cell>
          <cell r="D64" t="str">
            <v>CATETER UMBILICAL TRILPLE LUMEN 5.0 Fr. Marca UTAH MEDICAL x Und</v>
          </cell>
          <cell r="E64" t="str">
            <v>UTAH MEDICAL</v>
          </cell>
          <cell r="F64" t="str">
            <v/>
          </cell>
          <cell r="G64" t="str">
            <v>CATETER   UMBILICAL</v>
          </cell>
          <cell r="H64" t="str">
            <v/>
          </cell>
          <cell r="I64" t="str">
            <v>CJX10</v>
          </cell>
          <cell r="J64">
            <v>1</v>
          </cell>
          <cell r="K64">
            <v>1</v>
          </cell>
          <cell r="L64" t="str">
            <v>C</v>
          </cell>
          <cell r="M64">
            <v>413</v>
          </cell>
          <cell r="N64" t="str">
            <v>C</v>
          </cell>
          <cell r="O64">
            <v>403</v>
          </cell>
          <cell r="P64">
            <v>0</v>
          </cell>
          <cell r="Q64">
            <v>4</v>
          </cell>
          <cell r="R64">
            <v>4</v>
          </cell>
          <cell r="S64">
            <v>0</v>
          </cell>
          <cell r="T64">
            <v>5</v>
          </cell>
          <cell r="U64">
            <v>16</v>
          </cell>
          <cell r="V64">
            <v>0</v>
          </cell>
          <cell r="W64">
            <v>0</v>
          </cell>
          <cell r="X64">
            <v>0</v>
          </cell>
          <cell r="Y64">
            <v>4</v>
          </cell>
          <cell r="Z64">
            <v>4</v>
          </cell>
          <cell r="AA64">
            <v>1650.15</v>
          </cell>
          <cell r="AB64">
            <v>2200.1999999999998</v>
          </cell>
          <cell r="AC64">
            <v>0</v>
          </cell>
          <cell r="AD64">
            <v>2200.1999999999998</v>
          </cell>
          <cell r="AE64">
            <v>0</v>
          </cell>
          <cell r="AF64">
            <v>36.67</v>
          </cell>
          <cell r="AG64">
            <v>0.75</v>
          </cell>
        </row>
        <row r="65">
          <cell r="B65">
            <v>252300303</v>
          </cell>
          <cell r="C65" t="str">
            <v>252300303</v>
          </cell>
          <cell r="D65" t="str">
            <v>CENTRO DE CAMA  MARCA DESCART MEDICAL x Und./\Presentacion Bulto x 300 Unds.</v>
          </cell>
          <cell r="E65" t="str">
            <v>DEXX MEDICAL</v>
          </cell>
          <cell r="F65" t="str">
            <v/>
          </cell>
          <cell r="G65" t="str">
            <v>LENCERIA CENTRO DE CAMA</v>
          </cell>
          <cell r="H65" t="str">
            <v/>
          </cell>
          <cell r="I65" t="str">
            <v>BTOX10</v>
          </cell>
          <cell r="J65">
            <v>10</v>
          </cell>
          <cell r="K65">
            <v>1</v>
          </cell>
          <cell r="L65" t="str">
            <v>C</v>
          </cell>
          <cell r="M65">
            <v>240</v>
          </cell>
          <cell r="N65" t="str">
            <v>C</v>
          </cell>
          <cell r="O65">
            <v>70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252</v>
          </cell>
          <cell r="U65">
            <v>600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600</v>
          </cell>
          <cell r="AA65">
            <v>16.263000000000002</v>
          </cell>
          <cell r="AB65">
            <v>20.329999999999998</v>
          </cell>
          <cell r="AC65">
            <v>0</v>
          </cell>
          <cell r="AD65">
            <v>20.329999999999998</v>
          </cell>
          <cell r="AE65">
            <v>0</v>
          </cell>
          <cell r="AF65">
            <v>0.3614</v>
          </cell>
          <cell r="AG65">
            <v>0.79989999999999994</v>
          </cell>
        </row>
        <row r="66">
          <cell r="B66">
            <v>240600310</v>
          </cell>
          <cell r="C66" t="str">
            <v>DYNCSDS12</v>
          </cell>
          <cell r="D66" t="str">
            <v>CIRCUITO DE SUCCION CERRADO Nº12 - Marca Medline x Und</v>
          </cell>
          <cell r="E66" t="str">
            <v>MEDLINE</v>
          </cell>
          <cell r="F66" t="str">
            <v/>
          </cell>
          <cell r="G66" t="str">
            <v>CIRCUITOS SUCCION</v>
          </cell>
          <cell r="H66" t="str">
            <v/>
          </cell>
          <cell r="I66" t="str">
            <v>CJX10</v>
          </cell>
          <cell r="J66">
            <v>1</v>
          </cell>
          <cell r="K66">
            <v>1</v>
          </cell>
          <cell r="L66" t="str">
            <v>C</v>
          </cell>
          <cell r="M66">
            <v>175</v>
          </cell>
          <cell r="N66" t="str">
            <v>C</v>
          </cell>
          <cell r="O66">
            <v>177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305</v>
          </cell>
          <cell r="U66">
            <v>20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10</v>
          </cell>
          <cell r="AA66">
            <v>570.15</v>
          </cell>
          <cell r="AB66">
            <v>712.69</v>
          </cell>
          <cell r="AC66">
            <v>0</v>
          </cell>
          <cell r="AD66">
            <v>712.69</v>
          </cell>
          <cell r="AE66">
            <v>0</v>
          </cell>
          <cell r="AF66">
            <v>12.67</v>
          </cell>
          <cell r="AG66">
            <v>0.8</v>
          </cell>
        </row>
        <row r="67">
          <cell r="B67">
            <v>240600309</v>
          </cell>
          <cell r="C67" t="str">
            <v/>
          </cell>
          <cell r="D67" t="str">
            <v>CIRCUITO DE SUCCION CERRADO Nº14 - Marca Avanos x Und</v>
          </cell>
          <cell r="E67" t="str">
            <v>AVANOS</v>
          </cell>
          <cell r="F67" t="str">
            <v/>
          </cell>
          <cell r="G67" t="str">
            <v>CIRCUITOS SUCCION</v>
          </cell>
          <cell r="H67" t="str">
            <v/>
          </cell>
          <cell r="I67" t="str">
            <v>CJX10</v>
          </cell>
          <cell r="J67">
            <v>1</v>
          </cell>
          <cell r="K67">
            <v>1</v>
          </cell>
          <cell r="L67" t="str">
            <v>C</v>
          </cell>
          <cell r="M67">
            <v>164</v>
          </cell>
          <cell r="N67" t="str">
            <v>C</v>
          </cell>
          <cell r="O67">
            <v>75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5</v>
          </cell>
          <cell r="U67">
            <v>103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30</v>
          </cell>
          <cell r="AA67">
            <v>570.15</v>
          </cell>
          <cell r="AB67">
            <v>712.69</v>
          </cell>
          <cell r="AC67">
            <v>0</v>
          </cell>
          <cell r="AD67">
            <v>712.69</v>
          </cell>
          <cell r="AE67">
            <v>0</v>
          </cell>
          <cell r="AF67">
            <v>12.67</v>
          </cell>
          <cell r="AG67">
            <v>0.8</v>
          </cell>
        </row>
        <row r="68">
          <cell r="B68">
            <v>242200712</v>
          </cell>
          <cell r="C68" t="str">
            <v>3203</v>
          </cell>
          <cell r="D68" t="str">
            <v>COLLARIN BLANDO TALLA  L - Marca Sanavit x Und</v>
          </cell>
          <cell r="E68" t="str">
            <v>SANAVIT</v>
          </cell>
          <cell r="F68" t="str">
            <v/>
          </cell>
          <cell r="G68" t="str">
            <v>TRAUMATOLOGIA COLLARIN</v>
          </cell>
          <cell r="H68" t="str">
            <v/>
          </cell>
          <cell r="I68" t="str">
            <v>UND</v>
          </cell>
          <cell r="J68">
            <v>1</v>
          </cell>
          <cell r="K68">
            <v>1</v>
          </cell>
          <cell r="L68" t="str">
            <v>C</v>
          </cell>
          <cell r="M68">
            <v>117</v>
          </cell>
          <cell r="N68" t="str">
            <v>C</v>
          </cell>
          <cell r="O68">
            <v>199</v>
          </cell>
          <cell r="P68">
            <v>0</v>
          </cell>
          <cell r="Q68">
            <v>5</v>
          </cell>
          <cell r="R68">
            <v>5</v>
          </cell>
          <cell r="S68">
            <v>0</v>
          </cell>
          <cell r="T68">
            <v>5</v>
          </cell>
          <cell r="U68">
            <v>10</v>
          </cell>
          <cell r="V68">
            <v>0</v>
          </cell>
          <cell r="W68">
            <v>0</v>
          </cell>
          <cell r="X68">
            <v>0</v>
          </cell>
          <cell r="Y68">
            <v>5</v>
          </cell>
          <cell r="Z68">
            <v>9</v>
          </cell>
          <cell r="AA68">
            <v>540</v>
          </cell>
          <cell r="AB68">
            <v>830.77</v>
          </cell>
          <cell r="AC68">
            <v>0</v>
          </cell>
          <cell r="AD68">
            <v>830.77</v>
          </cell>
          <cell r="AE68">
            <v>0</v>
          </cell>
          <cell r="AF68">
            <v>12</v>
          </cell>
          <cell r="AG68">
            <v>0.65</v>
          </cell>
        </row>
        <row r="69">
          <cell r="B69">
            <v>242200711</v>
          </cell>
          <cell r="C69" t="str">
            <v>3203</v>
          </cell>
          <cell r="D69" t="str">
            <v>COLLARIN BLANDO TALLA  M - Marca Sanavit x Und</v>
          </cell>
          <cell r="E69" t="str">
            <v>SANAVIT</v>
          </cell>
          <cell r="F69" t="str">
            <v/>
          </cell>
          <cell r="G69" t="str">
            <v>TRAUMATOLOGIA COLLARIN</v>
          </cell>
          <cell r="H69" t="str">
            <v/>
          </cell>
          <cell r="I69" t="str">
            <v>UND</v>
          </cell>
          <cell r="J69">
            <v>1</v>
          </cell>
          <cell r="K69">
            <v>1</v>
          </cell>
          <cell r="L69" t="str">
            <v>C</v>
          </cell>
          <cell r="M69">
            <v>46</v>
          </cell>
          <cell r="N69" t="str">
            <v>C</v>
          </cell>
          <cell r="O69">
            <v>197</v>
          </cell>
          <cell r="P69">
            <v>0</v>
          </cell>
          <cell r="Q69">
            <v>5</v>
          </cell>
          <cell r="R69">
            <v>5</v>
          </cell>
          <cell r="S69">
            <v>0</v>
          </cell>
          <cell r="T69">
            <v>5</v>
          </cell>
          <cell r="U69">
            <v>8</v>
          </cell>
          <cell r="V69">
            <v>0</v>
          </cell>
          <cell r="W69">
            <v>0</v>
          </cell>
          <cell r="X69">
            <v>0</v>
          </cell>
          <cell r="Y69">
            <v>5</v>
          </cell>
          <cell r="Z69">
            <v>21</v>
          </cell>
          <cell r="AA69">
            <v>540</v>
          </cell>
          <cell r="AB69">
            <v>830.77</v>
          </cell>
          <cell r="AC69">
            <v>0</v>
          </cell>
          <cell r="AD69">
            <v>830.77</v>
          </cell>
          <cell r="AE69">
            <v>0</v>
          </cell>
          <cell r="AF69">
            <v>12</v>
          </cell>
          <cell r="AG69">
            <v>0.65</v>
          </cell>
        </row>
        <row r="70">
          <cell r="B70">
            <v>242200710</v>
          </cell>
          <cell r="C70" t="str">
            <v>3203</v>
          </cell>
          <cell r="D70" t="str">
            <v>COLLARIN BLANDO TALLA  S - Marca Sanavit x Und</v>
          </cell>
          <cell r="E70" t="str">
            <v>SANAVIT</v>
          </cell>
          <cell r="F70" t="str">
            <v/>
          </cell>
          <cell r="G70" t="str">
            <v>TRAUMATOLOGIA COLLARIN</v>
          </cell>
          <cell r="H70" t="str">
            <v/>
          </cell>
          <cell r="I70" t="str">
            <v>UND</v>
          </cell>
          <cell r="J70">
            <v>1</v>
          </cell>
          <cell r="K70">
            <v>1</v>
          </cell>
          <cell r="L70" t="str">
            <v>C</v>
          </cell>
          <cell r="M70">
            <v>207</v>
          </cell>
          <cell r="N70" t="str">
            <v>C</v>
          </cell>
          <cell r="O70">
            <v>221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5</v>
          </cell>
          <cell r="U70">
            <v>11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20</v>
          </cell>
          <cell r="AA70">
            <v>540</v>
          </cell>
          <cell r="AB70">
            <v>830.77</v>
          </cell>
          <cell r="AC70">
            <v>0</v>
          </cell>
          <cell r="AD70">
            <v>830.77</v>
          </cell>
          <cell r="AE70">
            <v>0</v>
          </cell>
          <cell r="AF70">
            <v>12</v>
          </cell>
          <cell r="AG70">
            <v>0.65</v>
          </cell>
        </row>
        <row r="71">
          <cell r="B71">
            <v>242200713</v>
          </cell>
          <cell r="C71" t="str">
            <v>3203</v>
          </cell>
          <cell r="D71" t="str">
            <v>COLLARIN BLANDO TALLA  XL - Marca Sanavit x Und</v>
          </cell>
          <cell r="E71" t="str">
            <v>SANAVIT</v>
          </cell>
          <cell r="F71" t="str">
            <v/>
          </cell>
          <cell r="G71" t="str">
            <v>TRAUMATOLOGIA COLLARIN</v>
          </cell>
          <cell r="H71" t="str">
            <v/>
          </cell>
          <cell r="I71" t="str">
            <v>UND</v>
          </cell>
          <cell r="J71">
            <v>1</v>
          </cell>
          <cell r="K71">
            <v>1</v>
          </cell>
          <cell r="L71" t="str">
            <v>C</v>
          </cell>
          <cell r="M71">
            <v>206</v>
          </cell>
          <cell r="N71" t="str">
            <v>C</v>
          </cell>
          <cell r="O71">
            <v>241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5</v>
          </cell>
          <cell r="U71">
            <v>4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5</v>
          </cell>
          <cell r="AA71">
            <v>540</v>
          </cell>
          <cell r="AB71">
            <v>830.77</v>
          </cell>
          <cell r="AC71">
            <v>0</v>
          </cell>
          <cell r="AD71">
            <v>830.77</v>
          </cell>
          <cell r="AE71">
            <v>0</v>
          </cell>
          <cell r="AF71">
            <v>12</v>
          </cell>
          <cell r="AG71">
            <v>0.65</v>
          </cell>
        </row>
        <row r="72">
          <cell r="B72">
            <v>242200703</v>
          </cell>
          <cell r="C72" t="str">
            <v>2050</v>
          </cell>
          <cell r="D72" t="str">
            <v>COLLARIN PHILADELPHIA P/TRAQUEOTOMO TALLA L - Marca Sanavit x Und</v>
          </cell>
          <cell r="E72" t="str">
            <v>SANAVIT</v>
          </cell>
          <cell r="F72" t="str">
            <v/>
          </cell>
          <cell r="G72" t="str">
            <v>TRAUMATOLOGIA COLLARIN</v>
          </cell>
          <cell r="H72" t="str">
            <v/>
          </cell>
          <cell r="I72" t="str">
            <v>UND</v>
          </cell>
          <cell r="J72">
            <v>1</v>
          </cell>
          <cell r="K72">
            <v>1</v>
          </cell>
          <cell r="L72" t="str">
            <v>C</v>
          </cell>
          <cell r="M72">
            <v>18</v>
          </cell>
          <cell r="N72" t="str">
            <v/>
          </cell>
          <cell r="O72">
            <v>0</v>
          </cell>
          <cell r="P72">
            <v>0</v>
          </cell>
          <cell r="Q72">
            <v>10</v>
          </cell>
          <cell r="R72">
            <v>10</v>
          </cell>
          <cell r="S72">
            <v>0</v>
          </cell>
          <cell r="T72">
            <v>28</v>
          </cell>
          <cell r="U72">
            <v>2</v>
          </cell>
          <cell r="V72">
            <v>0</v>
          </cell>
          <cell r="W72">
            <v>0</v>
          </cell>
          <cell r="X72">
            <v>0</v>
          </cell>
          <cell r="Y72">
            <v>10</v>
          </cell>
          <cell r="Z72">
            <v>10</v>
          </cell>
          <cell r="AA72">
            <v>1170</v>
          </cell>
          <cell r="AB72">
            <v>1421.06</v>
          </cell>
          <cell r="AC72">
            <v>0</v>
          </cell>
          <cell r="AD72">
            <v>1421.06</v>
          </cell>
          <cell r="AE72">
            <v>0</v>
          </cell>
          <cell r="AF72">
            <v>26</v>
          </cell>
          <cell r="AG72">
            <v>0.82330000000000003</v>
          </cell>
        </row>
        <row r="73">
          <cell r="B73">
            <v>242200702</v>
          </cell>
          <cell r="C73" t="str">
            <v>2050</v>
          </cell>
          <cell r="D73" t="str">
            <v>COLLARIN PHILADELPHIA P/TRAQUEOTOMO TALLA M - Marca Sanavit x Und</v>
          </cell>
          <cell r="E73" t="str">
            <v>SANAVIT</v>
          </cell>
          <cell r="F73" t="str">
            <v/>
          </cell>
          <cell r="G73" t="str">
            <v>TRAUMATOLOGIA COLLARIN</v>
          </cell>
          <cell r="H73" t="str">
            <v/>
          </cell>
          <cell r="I73" t="str">
            <v>UND</v>
          </cell>
          <cell r="J73">
            <v>1</v>
          </cell>
          <cell r="K73">
            <v>1</v>
          </cell>
          <cell r="L73" t="str">
            <v>C</v>
          </cell>
          <cell r="M73">
            <v>82</v>
          </cell>
          <cell r="N73" t="str">
            <v>C</v>
          </cell>
          <cell r="O73">
            <v>203</v>
          </cell>
          <cell r="P73">
            <v>0</v>
          </cell>
          <cell r="Q73">
            <v>5</v>
          </cell>
          <cell r="R73">
            <v>5</v>
          </cell>
          <cell r="S73">
            <v>0</v>
          </cell>
          <cell r="T73">
            <v>16</v>
          </cell>
          <cell r="U73">
            <v>8</v>
          </cell>
          <cell r="V73">
            <v>0</v>
          </cell>
          <cell r="W73">
            <v>0</v>
          </cell>
          <cell r="X73">
            <v>0</v>
          </cell>
          <cell r="Y73">
            <v>10</v>
          </cell>
          <cell r="Z73">
            <v>50</v>
          </cell>
          <cell r="AA73">
            <v>1170</v>
          </cell>
          <cell r="AB73">
            <v>1421.06</v>
          </cell>
          <cell r="AC73">
            <v>0</v>
          </cell>
          <cell r="AD73">
            <v>1421.06</v>
          </cell>
          <cell r="AE73">
            <v>0</v>
          </cell>
          <cell r="AF73">
            <v>26</v>
          </cell>
          <cell r="AG73">
            <v>0.82330000000000003</v>
          </cell>
        </row>
        <row r="74">
          <cell r="B74">
            <v>242200701</v>
          </cell>
          <cell r="C74" t="str">
            <v>2050</v>
          </cell>
          <cell r="D74" t="str">
            <v>COLLARIN PHILADELPHIA P/TRAQUEOTOMO TALLA S - Marca Sanavit x Und</v>
          </cell>
          <cell r="E74" t="str">
            <v>SANAVIT</v>
          </cell>
          <cell r="F74" t="str">
            <v/>
          </cell>
          <cell r="G74" t="str">
            <v>TRAUMATOLOGIA COLLARIN</v>
          </cell>
          <cell r="H74" t="str">
            <v/>
          </cell>
          <cell r="I74" t="str">
            <v>UND</v>
          </cell>
          <cell r="J74">
            <v>1</v>
          </cell>
          <cell r="K74">
            <v>1</v>
          </cell>
          <cell r="L74" t="str">
            <v>C</v>
          </cell>
          <cell r="M74">
            <v>86</v>
          </cell>
          <cell r="N74" t="str">
            <v>C</v>
          </cell>
          <cell r="O74">
            <v>188</v>
          </cell>
          <cell r="P74">
            <v>0</v>
          </cell>
          <cell r="Q74">
            <v>7</v>
          </cell>
          <cell r="R74">
            <v>7</v>
          </cell>
          <cell r="S74">
            <v>0</v>
          </cell>
          <cell r="T74">
            <v>5</v>
          </cell>
          <cell r="U74">
            <v>2</v>
          </cell>
          <cell r="V74">
            <v>0</v>
          </cell>
          <cell r="W74">
            <v>0</v>
          </cell>
          <cell r="X74">
            <v>0</v>
          </cell>
          <cell r="Y74">
            <v>7</v>
          </cell>
          <cell r="Z74">
            <v>7</v>
          </cell>
          <cell r="AA74">
            <v>1170</v>
          </cell>
          <cell r="AB74">
            <v>1421.06</v>
          </cell>
          <cell r="AC74">
            <v>0</v>
          </cell>
          <cell r="AD74">
            <v>1421.06</v>
          </cell>
          <cell r="AE74">
            <v>0</v>
          </cell>
          <cell r="AF74">
            <v>26</v>
          </cell>
          <cell r="AG74">
            <v>0.82330000000000003</v>
          </cell>
        </row>
        <row r="75">
          <cell r="B75">
            <v>242200704</v>
          </cell>
          <cell r="C75" t="str">
            <v>2050</v>
          </cell>
          <cell r="D75" t="str">
            <v>COLLARIN PHILADELPHIA P/TRAQUEOTOMO TALLA XL - Marca Sanavit x Und</v>
          </cell>
          <cell r="E75" t="str">
            <v>SANAVIT</v>
          </cell>
          <cell r="F75" t="str">
            <v/>
          </cell>
          <cell r="G75" t="str">
            <v>TRAUMATOLOGIA COLLARIN</v>
          </cell>
          <cell r="H75" t="str">
            <v/>
          </cell>
          <cell r="I75" t="str">
            <v>UND</v>
          </cell>
          <cell r="J75">
            <v>1</v>
          </cell>
          <cell r="K75">
            <v>1</v>
          </cell>
          <cell r="L75" t="str">
            <v>C</v>
          </cell>
          <cell r="M75">
            <v>309</v>
          </cell>
          <cell r="N75" t="str">
            <v>C</v>
          </cell>
          <cell r="O75">
            <v>277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5</v>
          </cell>
          <cell r="U75">
            <v>15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1170</v>
          </cell>
          <cell r="AB75">
            <v>1421.06</v>
          </cell>
          <cell r="AC75">
            <v>0</v>
          </cell>
          <cell r="AD75">
            <v>1421.06</v>
          </cell>
          <cell r="AE75">
            <v>0</v>
          </cell>
          <cell r="AF75">
            <v>26</v>
          </cell>
          <cell r="AG75">
            <v>0.82330000000000003</v>
          </cell>
        </row>
        <row r="76">
          <cell r="B76">
            <v>242300403</v>
          </cell>
          <cell r="C76" t="str">
            <v>242300403</v>
          </cell>
          <cell r="D76" t="str">
            <v>COMPRESAS DE LAPAROTOMIA ESTERILES 18" X 18" ( Paq X 5 Unids) Marca Mc Medical./\Presentacion Bulto x 40 Paqs.</v>
          </cell>
          <cell r="E76" t="str">
            <v>PROCARE</v>
          </cell>
          <cell r="F76" t="str">
            <v/>
          </cell>
          <cell r="G76" t="str">
            <v/>
          </cell>
          <cell r="H76" t="str">
            <v/>
          </cell>
          <cell r="I76" t="str">
            <v>UND</v>
          </cell>
          <cell r="J76">
            <v>1</v>
          </cell>
          <cell r="K76">
            <v>1</v>
          </cell>
          <cell r="L76" t="str">
            <v>C</v>
          </cell>
          <cell r="M76">
            <v>63</v>
          </cell>
          <cell r="N76" t="str">
            <v>C</v>
          </cell>
          <cell r="O76">
            <v>21</v>
          </cell>
          <cell r="P76">
            <v>400</v>
          </cell>
          <cell r="Q76">
            <v>2</v>
          </cell>
          <cell r="R76">
            <v>2</v>
          </cell>
          <cell r="S76">
            <v>0</v>
          </cell>
          <cell r="T76">
            <v>236</v>
          </cell>
          <cell r="U76">
            <v>509</v>
          </cell>
          <cell r="V76">
            <v>0</v>
          </cell>
          <cell r="W76">
            <v>0</v>
          </cell>
          <cell r="X76">
            <v>0</v>
          </cell>
          <cell r="Y76">
            <v>2</v>
          </cell>
          <cell r="Z76">
            <v>800</v>
          </cell>
          <cell r="AA76">
            <v>87.75</v>
          </cell>
          <cell r="AB76">
            <v>108.12</v>
          </cell>
          <cell r="AC76">
            <v>0</v>
          </cell>
          <cell r="AD76">
            <v>108.12</v>
          </cell>
          <cell r="AE76">
            <v>0</v>
          </cell>
          <cell r="AF76">
            <v>1.95</v>
          </cell>
          <cell r="AG76">
            <v>0.81159999999999999</v>
          </cell>
        </row>
        <row r="77">
          <cell r="B77">
            <v>241500203</v>
          </cell>
          <cell r="C77" t="str">
            <v>B9457</v>
          </cell>
          <cell r="D77" t="str">
            <v>CONECTOR 21" CLAVE C/ESPIGA  Microclave (Ref: B9457) MARCA ICUMEDICAL x Und.</v>
          </cell>
          <cell r="E77" t="str">
            <v>ICU MEDICAL</v>
          </cell>
          <cell r="F77" t="str">
            <v/>
          </cell>
          <cell r="G77" t="str">
            <v/>
          </cell>
          <cell r="H77" t="str">
            <v/>
          </cell>
          <cell r="I77" t="str">
            <v>UND</v>
          </cell>
          <cell r="J77">
            <v>1</v>
          </cell>
          <cell r="K77">
            <v>1</v>
          </cell>
          <cell r="L77" t="str">
            <v>C</v>
          </cell>
          <cell r="M77">
            <v>178</v>
          </cell>
          <cell r="N77" t="str">
            <v>C</v>
          </cell>
          <cell r="O77">
            <v>108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98</v>
          </cell>
          <cell r="U77">
            <v>80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400</v>
          </cell>
          <cell r="AA77">
            <v>162</v>
          </cell>
          <cell r="AB77">
            <v>231.43</v>
          </cell>
          <cell r="AC77">
            <v>0</v>
          </cell>
          <cell r="AD77">
            <v>231.43</v>
          </cell>
          <cell r="AE77">
            <v>0</v>
          </cell>
          <cell r="AF77">
            <v>3.6</v>
          </cell>
          <cell r="AG77">
            <v>0.7</v>
          </cell>
        </row>
        <row r="78">
          <cell r="B78">
            <v>241500204</v>
          </cell>
          <cell r="C78" t="str">
            <v>B1393</v>
          </cell>
          <cell r="D78" t="str">
            <v>CONECTOR 9" CLAVE C/ESPIGA (Ref: B1393) MARCA ICUMEDICAL x Und.</v>
          </cell>
          <cell r="E78" t="str">
            <v>ICU MEDICAL</v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>
            <v>1</v>
          </cell>
          <cell r="K78">
            <v>1</v>
          </cell>
          <cell r="L78" t="str">
            <v>C</v>
          </cell>
          <cell r="M78">
            <v>140</v>
          </cell>
          <cell r="N78" t="str">
            <v>A</v>
          </cell>
          <cell r="O78">
            <v>24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162</v>
          </cell>
          <cell r="U78">
            <v>878</v>
          </cell>
          <cell r="V78">
            <v>0</v>
          </cell>
          <cell r="W78">
            <v>0</v>
          </cell>
          <cell r="X78">
            <v>0</v>
          </cell>
          <cell r="Y78">
            <v>20</v>
          </cell>
          <cell r="Z78">
            <v>60</v>
          </cell>
          <cell r="AA78">
            <v>90.5625</v>
          </cell>
          <cell r="AB78">
            <v>129.38</v>
          </cell>
          <cell r="AC78">
            <v>0</v>
          </cell>
          <cell r="AD78">
            <v>129.38</v>
          </cell>
          <cell r="AE78">
            <v>0</v>
          </cell>
          <cell r="AF78">
            <v>2.0125000000000002</v>
          </cell>
          <cell r="AG78">
            <v>0.7</v>
          </cell>
        </row>
        <row r="79">
          <cell r="B79">
            <v>243350100</v>
          </cell>
          <cell r="C79" t="str">
            <v/>
          </cell>
          <cell r="D79" t="str">
            <v>CUBREBOTAS ANTIRESBALANTES MARCA ROPISTAL X PAR</v>
          </cell>
          <cell r="E79" t="str">
            <v>ROSPITAL</v>
          </cell>
          <cell r="F79" t="str">
            <v/>
          </cell>
          <cell r="G79" t="str">
            <v/>
          </cell>
          <cell r="H79" t="str">
            <v/>
          </cell>
          <cell r="I79" t="str">
            <v>BTOX1000</v>
          </cell>
          <cell r="J79">
            <v>1</v>
          </cell>
          <cell r="K79">
            <v>1</v>
          </cell>
          <cell r="L79" t="str">
            <v>C</v>
          </cell>
          <cell r="M79">
            <v>327</v>
          </cell>
          <cell r="N79" t="str">
            <v>C</v>
          </cell>
          <cell r="O79">
            <v>62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5</v>
          </cell>
          <cell r="U79">
            <v>18748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50000</v>
          </cell>
          <cell r="AA79">
            <v>6.75</v>
          </cell>
          <cell r="AB79">
            <v>8.44</v>
          </cell>
          <cell r="AC79">
            <v>0</v>
          </cell>
          <cell r="AD79">
            <v>8.44</v>
          </cell>
          <cell r="AE79">
            <v>0</v>
          </cell>
          <cell r="AF79">
            <v>0.15</v>
          </cell>
          <cell r="AG79">
            <v>0.8</v>
          </cell>
        </row>
        <row r="80">
          <cell r="B80">
            <v>240600927</v>
          </cell>
          <cell r="C80" t="str">
            <v/>
          </cell>
          <cell r="D80" t="str">
            <v>DERMABOND ADVANCED ETHICON (Tipo Lapiz) Ref; DNX12 x Und</v>
          </cell>
          <cell r="E80" t="str">
            <v>J&amp;J</v>
          </cell>
          <cell r="F80" t="str">
            <v/>
          </cell>
          <cell r="G80" t="str">
            <v/>
          </cell>
          <cell r="H80" t="str">
            <v/>
          </cell>
          <cell r="I80" t="str">
            <v>CJX12</v>
          </cell>
          <cell r="J80">
            <v>1</v>
          </cell>
          <cell r="K80">
            <v>1</v>
          </cell>
          <cell r="L80" t="str">
            <v>C</v>
          </cell>
          <cell r="M80">
            <v>96</v>
          </cell>
          <cell r="N80" t="str">
            <v>C</v>
          </cell>
          <cell r="O80">
            <v>115</v>
          </cell>
          <cell r="P80">
            <v>0</v>
          </cell>
          <cell r="Q80">
            <v>1</v>
          </cell>
          <cell r="R80">
            <v>1</v>
          </cell>
          <cell r="S80">
            <v>0</v>
          </cell>
          <cell r="T80">
            <v>5</v>
          </cell>
          <cell r="U80">
            <v>9</v>
          </cell>
          <cell r="V80">
            <v>0</v>
          </cell>
          <cell r="W80">
            <v>0</v>
          </cell>
          <cell r="X80">
            <v>0</v>
          </cell>
          <cell r="Y80">
            <v>1</v>
          </cell>
          <cell r="Z80">
            <v>14</v>
          </cell>
          <cell r="AA80">
            <v>2714.4</v>
          </cell>
          <cell r="AB80">
            <v>3393</v>
          </cell>
          <cell r="AC80">
            <v>0</v>
          </cell>
          <cell r="AD80">
            <v>3393</v>
          </cell>
          <cell r="AE80">
            <v>0</v>
          </cell>
          <cell r="AF80">
            <v>60.32</v>
          </cell>
          <cell r="AG80">
            <v>0.8</v>
          </cell>
        </row>
        <row r="81">
          <cell r="B81">
            <v>240500302</v>
          </cell>
          <cell r="C81" t="str">
            <v>14060101</v>
          </cell>
          <cell r="D81" t="str">
            <v>DRENAJE DE HERIDAS 10FR  1/8 Marca Forsure x Und</v>
          </cell>
          <cell r="E81" t="str">
            <v>FORSURE</v>
          </cell>
          <cell r="F81" t="str">
            <v/>
          </cell>
          <cell r="G81" t="str">
            <v>DRENAJES HERIDAS</v>
          </cell>
          <cell r="H81" t="str">
            <v/>
          </cell>
          <cell r="I81" t="str">
            <v>CJX12</v>
          </cell>
          <cell r="J81">
            <v>1</v>
          </cell>
          <cell r="K81">
            <v>1</v>
          </cell>
          <cell r="L81" t="str">
            <v>C</v>
          </cell>
          <cell r="M81">
            <v>106</v>
          </cell>
          <cell r="N81" t="str">
            <v>C</v>
          </cell>
          <cell r="O81">
            <v>58</v>
          </cell>
          <cell r="P81">
            <v>0</v>
          </cell>
          <cell r="Q81">
            <v>2</v>
          </cell>
          <cell r="R81">
            <v>2</v>
          </cell>
          <cell r="S81">
            <v>0</v>
          </cell>
          <cell r="T81">
            <v>5</v>
          </cell>
          <cell r="U81">
            <v>48</v>
          </cell>
          <cell r="V81">
            <v>0</v>
          </cell>
          <cell r="W81">
            <v>0</v>
          </cell>
          <cell r="X81">
            <v>0</v>
          </cell>
          <cell r="Y81">
            <v>2</v>
          </cell>
          <cell r="Z81">
            <v>232</v>
          </cell>
          <cell r="AA81">
            <v>422.1</v>
          </cell>
          <cell r="AB81">
            <v>703.5</v>
          </cell>
          <cell r="AC81">
            <v>0</v>
          </cell>
          <cell r="AD81">
            <v>703.5</v>
          </cell>
          <cell r="AE81">
            <v>0</v>
          </cell>
          <cell r="AF81">
            <v>9.3800000000000008</v>
          </cell>
          <cell r="AG81">
            <v>0.6</v>
          </cell>
        </row>
        <row r="82">
          <cell r="B82">
            <v>240500301</v>
          </cell>
          <cell r="C82" t="str">
            <v>14060191</v>
          </cell>
          <cell r="D82" t="str">
            <v>DRENAJE DE HERIDAS 19FR  1/4 Marca Forsure x Und</v>
          </cell>
          <cell r="E82" t="str">
            <v>FORSURE</v>
          </cell>
          <cell r="F82" t="str">
            <v/>
          </cell>
          <cell r="G82" t="str">
            <v>DRENAJES HERIDAS</v>
          </cell>
          <cell r="H82" t="str">
            <v/>
          </cell>
          <cell r="I82" t="str">
            <v>CJX12</v>
          </cell>
          <cell r="J82">
            <v>1</v>
          </cell>
          <cell r="K82">
            <v>1</v>
          </cell>
          <cell r="L82" t="str">
            <v>C</v>
          </cell>
          <cell r="M82">
            <v>7</v>
          </cell>
          <cell r="N82" t="str">
            <v>C</v>
          </cell>
          <cell r="O82">
            <v>9</v>
          </cell>
          <cell r="P82">
            <v>0</v>
          </cell>
          <cell r="Q82">
            <v>12</v>
          </cell>
          <cell r="R82">
            <v>12</v>
          </cell>
          <cell r="S82">
            <v>0</v>
          </cell>
          <cell r="T82">
            <v>70</v>
          </cell>
          <cell r="U82">
            <v>280</v>
          </cell>
          <cell r="V82">
            <v>0</v>
          </cell>
          <cell r="W82">
            <v>0</v>
          </cell>
          <cell r="X82">
            <v>0</v>
          </cell>
          <cell r="Y82">
            <v>12</v>
          </cell>
          <cell r="Z82">
            <v>60</v>
          </cell>
          <cell r="AA82">
            <v>422.1</v>
          </cell>
          <cell r="AB82">
            <v>703.5</v>
          </cell>
          <cell r="AC82">
            <v>0</v>
          </cell>
          <cell r="AD82">
            <v>703.5</v>
          </cell>
          <cell r="AE82">
            <v>0</v>
          </cell>
          <cell r="AF82">
            <v>9.3800000000000008</v>
          </cell>
          <cell r="AG82">
            <v>0.6</v>
          </cell>
        </row>
        <row r="83">
          <cell r="B83">
            <v>250500327</v>
          </cell>
          <cell r="C83" t="str">
            <v/>
          </cell>
          <cell r="D83" t="str">
            <v>DRENAJE TORAXICO  PLEUR-EVAC AD &amp; PED / Ref A-8000I-06 x Und</v>
          </cell>
          <cell r="E83" t="str">
            <v>TELEFLEX</v>
          </cell>
          <cell r="F83" t="str">
            <v/>
          </cell>
          <cell r="G83" t="str">
            <v>DRENAJES TORAXICO</v>
          </cell>
          <cell r="H83" t="str">
            <v/>
          </cell>
          <cell r="I83" t="str">
            <v>CJX6</v>
          </cell>
          <cell r="J83">
            <v>1</v>
          </cell>
          <cell r="K83">
            <v>1</v>
          </cell>
          <cell r="L83" t="str">
            <v>C</v>
          </cell>
          <cell r="M83">
            <v>107</v>
          </cell>
          <cell r="N83" t="str">
            <v>C</v>
          </cell>
          <cell r="O83">
            <v>20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163</v>
          </cell>
          <cell r="U83">
            <v>94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39</v>
          </cell>
          <cell r="AA83">
            <v>2193.75</v>
          </cell>
          <cell r="AB83">
            <v>3133.93</v>
          </cell>
          <cell r="AC83">
            <v>0</v>
          </cell>
          <cell r="AD83">
            <v>3133.93</v>
          </cell>
          <cell r="AE83">
            <v>0</v>
          </cell>
          <cell r="AF83">
            <v>48.75</v>
          </cell>
          <cell r="AG83">
            <v>0.7</v>
          </cell>
        </row>
        <row r="84">
          <cell r="B84">
            <v>252250408</v>
          </cell>
          <cell r="C84" t="str">
            <v/>
          </cell>
          <cell r="D84" t="str">
            <v>DURAGEN PLUS DURAL 2,5 X 7,5 DP1013 X UNIDAD</v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>UND</v>
          </cell>
          <cell r="J84">
            <v>1</v>
          </cell>
          <cell r="K84">
            <v>1</v>
          </cell>
          <cell r="L84" t="str">
            <v>C</v>
          </cell>
          <cell r="M84">
            <v>75</v>
          </cell>
          <cell r="N84" t="str">
            <v>C</v>
          </cell>
          <cell r="O84">
            <v>206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145</v>
          </cell>
          <cell r="U84">
            <v>1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1</v>
          </cell>
          <cell r="AA84">
            <v>31185</v>
          </cell>
          <cell r="AB84">
            <v>44550</v>
          </cell>
          <cell r="AC84">
            <v>0</v>
          </cell>
          <cell r="AD84">
            <v>44550</v>
          </cell>
          <cell r="AE84">
            <v>0</v>
          </cell>
          <cell r="AF84">
            <v>693</v>
          </cell>
          <cell r="AG84">
            <v>0.7</v>
          </cell>
        </row>
        <row r="85">
          <cell r="B85">
            <v>250850203</v>
          </cell>
          <cell r="C85" t="str">
            <v>18705050</v>
          </cell>
          <cell r="D85" t="str">
            <v>ELECTRODO ADULTO ECG (Ref: 18705050) Marca Forsure x Und/\Presentacion Paq. x 50 Unds.</v>
          </cell>
          <cell r="E85" t="str">
            <v>FORSURE</v>
          </cell>
          <cell r="F85" t="str">
            <v/>
          </cell>
          <cell r="G85" t="str">
            <v>ELECTRODOS ADULTO</v>
          </cell>
          <cell r="H85" t="str">
            <v/>
          </cell>
          <cell r="I85" t="str">
            <v>UND</v>
          </cell>
          <cell r="J85">
            <v>50</v>
          </cell>
          <cell r="K85">
            <v>1</v>
          </cell>
          <cell r="L85" t="str">
            <v>C</v>
          </cell>
          <cell r="M85">
            <v>319</v>
          </cell>
          <cell r="N85" t="str">
            <v>C</v>
          </cell>
          <cell r="O85">
            <v>145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275</v>
          </cell>
          <cell r="U85">
            <v>2000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5.5125000000000002</v>
          </cell>
          <cell r="AB85">
            <v>7.88</v>
          </cell>
          <cell r="AC85">
            <v>0</v>
          </cell>
          <cell r="AD85">
            <v>7.88</v>
          </cell>
          <cell r="AE85">
            <v>0</v>
          </cell>
          <cell r="AF85">
            <v>0.1225</v>
          </cell>
          <cell r="AG85">
            <v>0.7</v>
          </cell>
        </row>
        <row r="86">
          <cell r="B86">
            <v>252600351</v>
          </cell>
          <cell r="C86" t="str">
            <v>18350001</v>
          </cell>
          <cell r="D86" t="str">
            <v>ENGRAPADORA DE PIEL QUIRURGICA 35W Marca Forsure x Und</v>
          </cell>
          <cell r="E86" t="str">
            <v>FORSURE</v>
          </cell>
          <cell r="F86" t="str">
            <v/>
          </cell>
          <cell r="G86" t="str">
            <v>ENGRAPADORAS PIEL</v>
          </cell>
          <cell r="H86" t="str">
            <v/>
          </cell>
          <cell r="I86" t="str">
            <v>CJX6</v>
          </cell>
          <cell r="J86">
            <v>1</v>
          </cell>
          <cell r="K86">
            <v>1</v>
          </cell>
          <cell r="L86" t="str">
            <v>B</v>
          </cell>
          <cell r="M86">
            <v>11</v>
          </cell>
          <cell r="N86" t="str">
            <v>A</v>
          </cell>
          <cell r="O86">
            <v>5</v>
          </cell>
          <cell r="P86">
            <v>0</v>
          </cell>
          <cell r="Q86">
            <v>43</v>
          </cell>
          <cell r="R86">
            <v>43</v>
          </cell>
          <cell r="S86">
            <v>0</v>
          </cell>
          <cell r="T86">
            <v>93</v>
          </cell>
          <cell r="U86">
            <v>806</v>
          </cell>
          <cell r="V86">
            <v>0</v>
          </cell>
          <cell r="W86">
            <v>0</v>
          </cell>
          <cell r="X86">
            <v>0</v>
          </cell>
          <cell r="Y86">
            <v>55</v>
          </cell>
          <cell r="Z86">
            <v>1825</v>
          </cell>
          <cell r="AA86">
            <v>243.5625</v>
          </cell>
          <cell r="AB86">
            <v>347.94</v>
          </cell>
          <cell r="AC86">
            <v>0</v>
          </cell>
          <cell r="AD86">
            <v>347.94</v>
          </cell>
          <cell r="AE86">
            <v>0</v>
          </cell>
          <cell r="AF86">
            <v>5.4124999999999996</v>
          </cell>
          <cell r="AG86">
            <v>0.7</v>
          </cell>
        </row>
        <row r="87">
          <cell r="B87">
            <v>252350103</v>
          </cell>
          <cell r="C87" t="str">
            <v>52434U</v>
          </cell>
          <cell r="D87" t="str">
            <v>ESPECULO OTICO ADULTO WELCH ALLYN 4.25mm Ref:52434 x Und</v>
          </cell>
          <cell r="E87" t="str">
            <v>WELCH ALLYN</v>
          </cell>
          <cell r="F87" t="str">
            <v/>
          </cell>
          <cell r="G87" t="str">
            <v>ESPECULO OTICO</v>
          </cell>
          <cell r="H87" t="str">
            <v/>
          </cell>
          <cell r="I87" t="str">
            <v>CJX34</v>
          </cell>
          <cell r="J87">
            <v>34</v>
          </cell>
          <cell r="K87">
            <v>1</v>
          </cell>
          <cell r="L87" t="str">
            <v>C</v>
          </cell>
          <cell r="M87">
            <v>283</v>
          </cell>
          <cell r="N87" t="str">
            <v>C</v>
          </cell>
          <cell r="O87">
            <v>261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5</v>
          </cell>
          <cell r="U87">
            <v>1462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238</v>
          </cell>
          <cell r="AA87">
            <v>21.316500000000001</v>
          </cell>
          <cell r="AB87">
            <v>30.45</v>
          </cell>
          <cell r="AC87">
            <v>0</v>
          </cell>
          <cell r="AD87">
            <v>30.45</v>
          </cell>
          <cell r="AE87">
            <v>0</v>
          </cell>
          <cell r="AF87">
            <v>0.47370000000000001</v>
          </cell>
          <cell r="AG87">
            <v>0.7</v>
          </cell>
        </row>
        <row r="88">
          <cell r="B88">
            <v>252350104</v>
          </cell>
          <cell r="C88" t="str">
            <v>52432-U</v>
          </cell>
          <cell r="D88" t="str">
            <v>ESPECULO OTICO PEDIATRICO WELCH ALLYN 2.75mm Ref:52432-u x Und</v>
          </cell>
          <cell r="E88" t="str">
            <v>WELCH ALLYN</v>
          </cell>
          <cell r="F88" t="str">
            <v/>
          </cell>
          <cell r="G88" t="str">
            <v/>
          </cell>
          <cell r="H88" t="str">
            <v/>
          </cell>
          <cell r="I88" t="str">
            <v>CJX34</v>
          </cell>
          <cell r="J88">
            <v>34</v>
          </cell>
          <cell r="K88">
            <v>1</v>
          </cell>
          <cell r="L88" t="str">
            <v>C</v>
          </cell>
          <cell r="M88">
            <v>383</v>
          </cell>
          <cell r="N88" t="str">
            <v>C</v>
          </cell>
          <cell r="O88">
            <v>214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223</v>
          </cell>
          <cell r="U88">
            <v>1862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136</v>
          </cell>
          <cell r="AA88">
            <v>9</v>
          </cell>
          <cell r="AB88">
            <v>12.86</v>
          </cell>
          <cell r="AC88">
            <v>0</v>
          </cell>
          <cell r="AD88">
            <v>12.86</v>
          </cell>
          <cell r="AE88">
            <v>0</v>
          </cell>
          <cell r="AF88">
            <v>0.2</v>
          </cell>
          <cell r="AG88">
            <v>0.7</v>
          </cell>
        </row>
        <row r="89">
          <cell r="B89">
            <v>242001209</v>
          </cell>
          <cell r="C89" t="str">
            <v>242001209</v>
          </cell>
          <cell r="D89" t="str">
            <v>EXTENSION K-50 MARCA DIPHOCAREx Und./\Presentacion Caja x 50 Unds.</v>
          </cell>
          <cell r="E89" t="str">
            <v>DIPHOSYC</v>
          </cell>
          <cell r="F89" t="str">
            <v/>
          </cell>
          <cell r="G89" t="str">
            <v>KIT DE VIA EXT NEO PEDIATRICA 4CM</v>
          </cell>
          <cell r="H89" t="str">
            <v/>
          </cell>
          <cell r="I89" t="str">
            <v>CJX50</v>
          </cell>
          <cell r="J89">
            <v>1</v>
          </cell>
          <cell r="K89">
            <v>1</v>
          </cell>
          <cell r="L89" t="str">
            <v>C</v>
          </cell>
          <cell r="M89">
            <v>279</v>
          </cell>
          <cell r="N89" t="str">
            <v>C</v>
          </cell>
          <cell r="O89">
            <v>104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165</v>
          </cell>
          <cell r="U89">
            <v>800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2300</v>
          </cell>
          <cell r="AA89">
            <v>6.8804999999999996</v>
          </cell>
          <cell r="AB89">
            <v>9.83</v>
          </cell>
          <cell r="AC89">
            <v>0</v>
          </cell>
          <cell r="AD89">
            <v>9.83</v>
          </cell>
          <cell r="AE89">
            <v>0</v>
          </cell>
          <cell r="AF89">
            <v>0.15290000000000001</v>
          </cell>
          <cell r="AG89">
            <v>0.70010000000000006</v>
          </cell>
        </row>
        <row r="90">
          <cell r="B90">
            <v>241500101</v>
          </cell>
          <cell r="C90" t="str">
            <v/>
          </cell>
          <cell r="D90" t="str">
            <v>EXTENSION K-50 MARCA GROSSMEDx Und./\Presentacion Caja x 50 Unds.</v>
          </cell>
          <cell r="E90" t="str">
            <v>GROSSMED</v>
          </cell>
          <cell r="F90" t="str">
            <v/>
          </cell>
          <cell r="G90" t="str">
            <v>KIT DE VIA EXTENSION K-50</v>
          </cell>
          <cell r="H90" t="str">
            <v/>
          </cell>
          <cell r="I90" t="str">
            <v>UND</v>
          </cell>
          <cell r="J90">
            <v>1</v>
          </cell>
          <cell r="K90">
            <v>1</v>
          </cell>
          <cell r="L90" t="str">
            <v>C</v>
          </cell>
          <cell r="M90">
            <v>270</v>
          </cell>
          <cell r="N90" t="str">
            <v>C</v>
          </cell>
          <cell r="O90">
            <v>234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25</v>
          </cell>
          <cell r="U90">
            <v>19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3500</v>
          </cell>
          <cell r="AA90">
            <v>9</v>
          </cell>
          <cell r="AB90">
            <v>12.86</v>
          </cell>
          <cell r="AC90">
            <v>0</v>
          </cell>
          <cell r="AD90">
            <v>12.86</v>
          </cell>
          <cell r="AE90">
            <v>0</v>
          </cell>
          <cell r="AF90">
            <v>0.2</v>
          </cell>
          <cell r="AG90">
            <v>0.7</v>
          </cell>
        </row>
        <row r="91">
          <cell r="B91">
            <v>242201704</v>
          </cell>
          <cell r="C91" t="str">
            <v>1125</v>
          </cell>
          <cell r="D91" t="str">
            <v>FAJA ABDOMINAL TALLA "UNICA" x Und</v>
          </cell>
          <cell r="E91" t="str">
            <v>SANAVIT</v>
          </cell>
          <cell r="F91" t="str">
            <v/>
          </cell>
          <cell r="G91" t="str">
            <v>TRAUMATOLOGIA FAJAS</v>
          </cell>
          <cell r="H91" t="str">
            <v/>
          </cell>
          <cell r="I91" t="str">
            <v>UND</v>
          </cell>
          <cell r="J91">
            <v>1</v>
          </cell>
          <cell r="K91">
            <v>1</v>
          </cell>
          <cell r="L91" t="str">
            <v>C</v>
          </cell>
          <cell r="M91">
            <v>39</v>
          </cell>
          <cell r="N91" t="str">
            <v>C</v>
          </cell>
          <cell r="O91">
            <v>232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10</v>
          </cell>
          <cell r="U91">
            <v>5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29</v>
          </cell>
          <cell r="AA91">
            <v>630</v>
          </cell>
          <cell r="AB91">
            <v>1050</v>
          </cell>
          <cell r="AC91">
            <v>0</v>
          </cell>
          <cell r="AD91">
            <v>1050</v>
          </cell>
          <cell r="AE91">
            <v>0</v>
          </cell>
          <cell r="AF91">
            <v>14</v>
          </cell>
          <cell r="AG91">
            <v>0.6</v>
          </cell>
        </row>
        <row r="92">
          <cell r="B92">
            <v>242200912</v>
          </cell>
          <cell r="C92" t="str">
            <v>0347</v>
          </cell>
          <cell r="D92" t="str">
            <v>FAJA LUMBOSACRA TALLA "L" x Und</v>
          </cell>
          <cell r="E92" t="str">
            <v>SANAVIT</v>
          </cell>
          <cell r="F92" t="str">
            <v/>
          </cell>
          <cell r="G92" t="str">
            <v>TRAUMATOLOGIA FAJAS</v>
          </cell>
          <cell r="H92" t="str">
            <v/>
          </cell>
          <cell r="I92" t="str">
            <v>UND</v>
          </cell>
          <cell r="J92">
            <v>1</v>
          </cell>
          <cell r="K92">
            <v>1</v>
          </cell>
          <cell r="L92" t="str">
            <v>C</v>
          </cell>
          <cell r="M92">
            <v>143</v>
          </cell>
          <cell r="N92" t="str">
            <v>C</v>
          </cell>
          <cell r="O92">
            <v>231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345</v>
          </cell>
          <cell r="U92">
            <v>2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21</v>
          </cell>
          <cell r="AA92">
            <v>1260</v>
          </cell>
          <cell r="AB92">
            <v>2100</v>
          </cell>
          <cell r="AC92">
            <v>0</v>
          </cell>
          <cell r="AD92">
            <v>2100</v>
          </cell>
          <cell r="AE92">
            <v>0</v>
          </cell>
          <cell r="AF92">
            <v>28</v>
          </cell>
          <cell r="AG92">
            <v>0.6</v>
          </cell>
        </row>
        <row r="93">
          <cell r="B93">
            <v>242200910</v>
          </cell>
          <cell r="C93" t="str">
            <v>0347</v>
          </cell>
          <cell r="D93" t="str">
            <v>FAJA LUMBOSACRA TALLA "M" x Und</v>
          </cell>
          <cell r="E93" t="str">
            <v>SANAVIT</v>
          </cell>
          <cell r="F93" t="str">
            <v/>
          </cell>
          <cell r="G93" t="str">
            <v>TRAUMATOLOGIA FAJAS</v>
          </cell>
          <cell r="H93" t="str">
            <v/>
          </cell>
          <cell r="I93" t="str">
            <v>UND</v>
          </cell>
          <cell r="J93">
            <v>1</v>
          </cell>
          <cell r="K93">
            <v>1</v>
          </cell>
          <cell r="L93" t="str">
            <v>C</v>
          </cell>
          <cell r="M93">
            <v>324</v>
          </cell>
          <cell r="N93" t="str">
            <v>C</v>
          </cell>
          <cell r="O93">
            <v>376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5</v>
          </cell>
          <cell r="U93">
            <v>6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12</v>
          </cell>
          <cell r="AA93">
            <v>1260</v>
          </cell>
          <cell r="AB93">
            <v>2100</v>
          </cell>
          <cell r="AC93">
            <v>0</v>
          </cell>
          <cell r="AD93">
            <v>2100</v>
          </cell>
          <cell r="AE93">
            <v>0</v>
          </cell>
          <cell r="AF93">
            <v>28</v>
          </cell>
          <cell r="AG93">
            <v>0.6</v>
          </cell>
        </row>
        <row r="94">
          <cell r="B94">
            <v>242200909</v>
          </cell>
          <cell r="C94" t="str">
            <v>0347</v>
          </cell>
          <cell r="D94" t="str">
            <v>FAJA LUMBOSACRA TALLA "S" x und.</v>
          </cell>
          <cell r="E94" t="str">
            <v>SANAVIT</v>
          </cell>
          <cell r="F94" t="str">
            <v/>
          </cell>
          <cell r="G94" t="str">
            <v>TRAUMATOLOGIA FAJAS</v>
          </cell>
          <cell r="H94" t="str">
            <v/>
          </cell>
          <cell r="I94" t="str">
            <v/>
          </cell>
          <cell r="J94">
            <v>1</v>
          </cell>
          <cell r="K94">
            <v>1</v>
          </cell>
          <cell r="L94" t="str">
            <v>C</v>
          </cell>
          <cell r="M94">
            <v>430</v>
          </cell>
          <cell r="N94" t="str">
            <v>C</v>
          </cell>
          <cell r="O94">
            <v>130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345</v>
          </cell>
          <cell r="U94">
            <v>2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1260</v>
          </cell>
          <cell r="AB94">
            <v>2100</v>
          </cell>
          <cell r="AC94">
            <v>0</v>
          </cell>
          <cell r="AD94">
            <v>2100</v>
          </cell>
          <cell r="AE94">
            <v>0</v>
          </cell>
          <cell r="AF94">
            <v>28</v>
          </cell>
          <cell r="AG94">
            <v>0.6</v>
          </cell>
        </row>
        <row r="95">
          <cell r="B95">
            <v>242200911</v>
          </cell>
          <cell r="C95" t="str">
            <v>0347</v>
          </cell>
          <cell r="D95" t="str">
            <v>FAJA LUMBOSACRA TALLA "XL" x Und</v>
          </cell>
          <cell r="E95" t="str">
            <v>SANAVIT</v>
          </cell>
          <cell r="F95" t="str">
            <v/>
          </cell>
          <cell r="G95" t="str">
            <v>TRAUMATOLOGIA FAJAS</v>
          </cell>
          <cell r="H95" t="str">
            <v/>
          </cell>
          <cell r="I95" t="str">
            <v>UND</v>
          </cell>
          <cell r="J95">
            <v>1</v>
          </cell>
          <cell r="K95">
            <v>1</v>
          </cell>
          <cell r="L95" t="str">
            <v>C</v>
          </cell>
          <cell r="M95">
            <v>48</v>
          </cell>
          <cell r="N95" t="str">
            <v>C</v>
          </cell>
          <cell r="O95">
            <v>147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344</v>
          </cell>
          <cell r="U95">
            <v>2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7</v>
          </cell>
          <cell r="AA95">
            <v>1260</v>
          </cell>
          <cell r="AB95">
            <v>2100</v>
          </cell>
          <cell r="AC95">
            <v>0</v>
          </cell>
          <cell r="AD95">
            <v>2100</v>
          </cell>
          <cell r="AE95">
            <v>0</v>
          </cell>
          <cell r="AF95">
            <v>28</v>
          </cell>
          <cell r="AG95">
            <v>0.6</v>
          </cell>
        </row>
        <row r="96">
          <cell r="B96">
            <v>240850802</v>
          </cell>
          <cell r="C96" t="str">
            <v>MHD65</v>
          </cell>
          <cell r="D96" t="str">
            <v>FLOTRAC SENSOR CATETER MHD65</v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>UND</v>
          </cell>
          <cell r="J96">
            <v>1</v>
          </cell>
          <cell r="K96">
            <v>1</v>
          </cell>
          <cell r="L96" t="str">
            <v>C</v>
          </cell>
          <cell r="M96">
            <v>42</v>
          </cell>
          <cell r="N96" t="str">
            <v>C</v>
          </cell>
          <cell r="O96">
            <v>176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86</v>
          </cell>
          <cell r="U96">
            <v>1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8</v>
          </cell>
          <cell r="AA96">
            <v>8415</v>
          </cell>
          <cell r="AB96">
            <v>15300</v>
          </cell>
          <cell r="AC96">
            <v>0</v>
          </cell>
          <cell r="AD96">
            <v>15300</v>
          </cell>
          <cell r="AE96">
            <v>0</v>
          </cell>
          <cell r="AF96">
            <v>187</v>
          </cell>
          <cell r="AG96">
            <v>0.55000000000000004</v>
          </cell>
        </row>
        <row r="97">
          <cell r="B97">
            <v>252650554</v>
          </cell>
          <cell r="C97" t="str">
            <v/>
          </cell>
          <cell r="D97" t="str">
            <v>FUNDA DE ALMOHADA x Und</v>
          </cell>
          <cell r="E97" t="str">
            <v>MEDIC-ART</v>
          </cell>
          <cell r="F97" t="str">
            <v/>
          </cell>
          <cell r="G97" t="str">
            <v>LENCERIA FUNDAS</v>
          </cell>
          <cell r="H97" t="str">
            <v/>
          </cell>
          <cell r="I97" t="str">
            <v>BTOX500</v>
          </cell>
          <cell r="J97">
            <v>1</v>
          </cell>
          <cell r="K97">
            <v>1</v>
          </cell>
          <cell r="L97" t="str">
            <v>C</v>
          </cell>
          <cell r="M97">
            <v>391</v>
          </cell>
          <cell r="N97" t="str">
            <v>C</v>
          </cell>
          <cell r="O97">
            <v>270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5</v>
          </cell>
          <cell r="U97">
            <v>378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3000</v>
          </cell>
          <cell r="AA97">
            <v>9</v>
          </cell>
          <cell r="AB97">
            <v>12.86</v>
          </cell>
          <cell r="AC97">
            <v>0</v>
          </cell>
          <cell r="AD97">
            <v>12.86</v>
          </cell>
          <cell r="AE97">
            <v>0</v>
          </cell>
          <cell r="AF97">
            <v>0.2</v>
          </cell>
          <cell r="AG97">
            <v>0.7</v>
          </cell>
        </row>
        <row r="98">
          <cell r="B98">
            <v>242300605</v>
          </cell>
          <cell r="C98" t="str">
            <v/>
          </cell>
          <cell r="D98" t="str">
            <v>GASA ESTERIL 4" x 4" (Sobre x 2 unds.) Marca PROCARE x Und</v>
          </cell>
          <cell r="E98" t="str">
            <v>PROCARE</v>
          </cell>
          <cell r="F98" t="str">
            <v/>
          </cell>
          <cell r="G98" t="str">
            <v>GASAS ESTERILES</v>
          </cell>
          <cell r="H98" t="str">
            <v/>
          </cell>
          <cell r="I98" t="str">
            <v>UND</v>
          </cell>
          <cell r="J98">
            <v>25</v>
          </cell>
          <cell r="K98">
            <v>1</v>
          </cell>
          <cell r="L98" t="str">
            <v>C</v>
          </cell>
          <cell r="M98">
            <v>285</v>
          </cell>
          <cell r="N98" t="str">
            <v>C</v>
          </cell>
          <cell r="O98">
            <v>26</v>
          </cell>
          <cell r="P98">
            <v>0</v>
          </cell>
          <cell r="Q98">
            <v>1525</v>
          </cell>
          <cell r="R98">
            <v>1525</v>
          </cell>
          <cell r="S98">
            <v>0</v>
          </cell>
          <cell r="T98">
            <v>239</v>
          </cell>
          <cell r="U98">
            <v>1275</v>
          </cell>
          <cell r="V98">
            <v>0</v>
          </cell>
          <cell r="W98">
            <v>500</v>
          </cell>
          <cell r="X98">
            <v>0</v>
          </cell>
          <cell r="Y98">
            <v>1525</v>
          </cell>
          <cell r="Z98">
            <v>2400</v>
          </cell>
          <cell r="AA98">
            <v>4.9320000000000004</v>
          </cell>
          <cell r="AB98">
            <v>6.57</v>
          </cell>
          <cell r="AC98">
            <v>0</v>
          </cell>
          <cell r="AD98">
            <v>6.57</v>
          </cell>
          <cell r="AE98">
            <v>0</v>
          </cell>
          <cell r="AF98">
            <v>0.1096</v>
          </cell>
          <cell r="AG98">
            <v>0.75019999999999998</v>
          </cell>
        </row>
        <row r="99">
          <cell r="B99">
            <v>242300612</v>
          </cell>
          <cell r="C99" t="str">
            <v/>
          </cell>
          <cell r="D99" t="str">
            <v>GASA ESTERIL 4" x 8" C / RAYTEC  Marca MCKESSON Paquete x 10 Und.</v>
          </cell>
          <cell r="E99" t="str">
            <v>MC KESSON</v>
          </cell>
          <cell r="F99" t="str">
            <v/>
          </cell>
          <cell r="G99" t="str">
            <v>GASAS ESTERILES</v>
          </cell>
          <cell r="H99" t="str">
            <v/>
          </cell>
          <cell r="I99" t="str">
            <v>CJX10</v>
          </cell>
          <cell r="J99">
            <v>1</v>
          </cell>
          <cell r="K99">
            <v>1</v>
          </cell>
          <cell r="L99" t="str">
            <v/>
          </cell>
          <cell r="M99">
            <v>0</v>
          </cell>
          <cell r="N99" t="str">
            <v/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198</v>
          </cell>
          <cell r="U99">
            <v>240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320</v>
          </cell>
          <cell r="AA99">
            <v>173.56950000000001</v>
          </cell>
          <cell r="AB99">
            <v>289.27999999999997</v>
          </cell>
          <cell r="AC99">
            <v>0</v>
          </cell>
          <cell r="AD99">
            <v>289.27999999999997</v>
          </cell>
          <cell r="AE99">
            <v>0</v>
          </cell>
          <cell r="AF99">
            <v>3.8571</v>
          </cell>
          <cell r="AG99">
            <v>0.6</v>
          </cell>
        </row>
        <row r="100">
          <cell r="B100">
            <v>242300912</v>
          </cell>
          <cell r="C100" t="str">
            <v>NON21432LF</v>
          </cell>
          <cell r="D100" t="str">
            <v>GASA ESTERIL 4" x 8" C / RAYTEC  Marca MEDLINE Paquete x 10 Und.</v>
          </cell>
          <cell r="E100" t="str">
            <v>MEDLINE</v>
          </cell>
          <cell r="F100" t="str">
            <v/>
          </cell>
          <cell r="G100" t="str">
            <v/>
          </cell>
          <cell r="H100" t="str">
            <v/>
          </cell>
          <cell r="I100" t="str">
            <v>CJX10</v>
          </cell>
          <cell r="J100">
            <v>1</v>
          </cell>
          <cell r="K100">
            <v>1</v>
          </cell>
          <cell r="L100" t="str">
            <v>A</v>
          </cell>
          <cell r="M100">
            <v>8</v>
          </cell>
          <cell r="N100" t="str">
            <v>B</v>
          </cell>
          <cell r="O100">
            <v>5</v>
          </cell>
          <cell r="P100">
            <v>0</v>
          </cell>
          <cell r="Q100">
            <v>250</v>
          </cell>
          <cell r="R100">
            <v>250</v>
          </cell>
          <cell r="S100">
            <v>0</v>
          </cell>
          <cell r="T100">
            <v>5</v>
          </cell>
          <cell r="U100">
            <v>555</v>
          </cell>
          <cell r="V100">
            <v>0</v>
          </cell>
          <cell r="W100">
            <v>0</v>
          </cell>
          <cell r="X100">
            <v>0</v>
          </cell>
          <cell r="Y100">
            <v>250</v>
          </cell>
          <cell r="Z100">
            <v>250</v>
          </cell>
          <cell r="AA100">
            <v>103.059</v>
          </cell>
          <cell r="AB100">
            <v>147.22999999999999</v>
          </cell>
          <cell r="AC100">
            <v>0</v>
          </cell>
          <cell r="AD100">
            <v>147.22999999999999</v>
          </cell>
          <cell r="AE100">
            <v>0</v>
          </cell>
          <cell r="AF100">
            <v>2.2902</v>
          </cell>
          <cell r="AG100">
            <v>0.7</v>
          </cell>
        </row>
        <row r="101">
          <cell r="B101">
            <v>242300610</v>
          </cell>
          <cell r="C101" t="str">
            <v/>
          </cell>
          <cell r="D101" t="str">
            <v>GASA ESTERIL PARA QUEMADO 4.5" x 4.1 Yds. (11.25cm x 3.74 Mts.) Marca Mc Medical x Und</v>
          </cell>
          <cell r="E101" t="str">
            <v>MC MEDICAL</v>
          </cell>
          <cell r="F101" t="str">
            <v/>
          </cell>
          <cell r="G101" t="str">
            <v>GASAS</v>
          </cell>
          <cell r="H101" t="str">
            <v/>
          </cell>
          <cell r="I101" t="str">
            <v>CJX100</v>
          </cell>
          <cell r="J101">
            <v>1</v>
          </cell>
          <cell r="K101">
            <v>1</v>
          </cell>
          <cell r="L101" t="str">
            <v>C</v>
          </cell>
          <cell r="M101">
            <v>214</v>
          </cell>
          <cell r="N101" t="str">
            <v>C</v>
          </cell>
          <cell r="O101">
            <v>152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97</v>
          </cell>
          <cell r="U101">
            <v>80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200</v>
          </cell>
          <cell r="AA101">
            <v>37.799999999999997</v>
          </cell>
          <cell r="AB101">
            <v>38.53</v>
          </cell>
          <cell r="AC101">
            <v>0</v>
          </cell>
          <cell r="AD101">
            <v>38.53</v>
          </cell>
          <cell r="AE101">
            <v>0</v>
          </cell>
          <cell r="AF101">
            <v>0.84</v>
          </cell>
          <cell r="AG101">
            <v>0.98099999999999998</v>
          </cell>
        </row>
        <row r="102">
          <cell r="B102">
            <v>242300604</v>
          </cell>
          <cell r="C102" t="str">
            <v/>
          </cell>
          <cell r="D102" t="str">
            <v>GASA NO ESTERIL 4" x 4" ) - Marca  Mc MedicaL x Und./\Presentacion Paq. x 100 UndS.</v>
          </cell>
          <cell r="E102" t="str">
            <v>MC MEDICAL</v>
          </cell>
          <cell r="F102" t="str">
            <v/>
          </cell>
          <cell r="G102" t="str">
            <v>GASAS ESTERILES</v>
          </cell>
          <cell r="H102" t="str">
            <v/>
          </cell>
          <cell r="I102" t="str">
            <v>UND</v>
          </cell>
          <cell r="J102">
            <v>1</v>
          </cell>
          <cell r="K102">
            <v>1</v>
          </cell>
          <cell r="L102" t="str">
            <v>C</v>
          </cell>
          <cell r="M102">
            <v>322</v>
          </cell>
          <cell r="N102" t="str">
            <v>C</v>
          </cell>
          <cell r="O102">
            <v>254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235</v>
          </cell>
          <cell r="U102">
            <v>80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114.5475</v>
          </cell>
          <cell r="AB102">
            <v>134.76</v>
          </cell>
          <cell r="AC102">
            <v>0</v>
          </cell>
          <cell r="AD102">
            <v>134.76</v>
          </cell>
          <cell r="AE102">
            <v>0</v>
          </cell>
          <cell r="AF102">
            <v>2.5455000000000001</v>
          </cell>
          <cell r="AG102">
            <v>0.85</v>
          </cell>
        </row>
        <row r="103">
          <cell r="B103">
            <v>243210105</v>
          </cell>
          <cell r="C103" t="str">
            <v/>
          </cell>
          <cell r="D103" t="str">
            <v>GENERICO CON IVA</v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  <cell r="I103" t="str">
            <v>UND</v>
          </cell>
          <cell r="J103">
            <v>1</v>
          </cell>
          <cell r="K103">
            <v>1</v>
          </cell>
          <cell r="L103" t="str">
            <v>C</v>
          </cell>
          <cell r="M103">
            <v>400</v>
          </cell>
          <cell r="N103" t="str">
            <v>C</v>
          </cell>
          <cell r="O103">
            <v>394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5</v>
          </cell>
          <cell r="U103">
            <v>231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80</v>
          </cell>
          <cell r="AA103">
            <v>105.1875</v>
          </cell>
          <cell r="AB103">
            <v>191.25</v>
          </cell>
          <cell r="AC103">
            <v>0</v>
          </cell>
          <cell r="AD103">
            <v>191.25</v>
          </cell>
          <cell r="AE103">
            <v>0</v>
          </cell>
          <cell r="AF103">
            <v>2.3374999999999999</v>
          </cell>
          <cell r="AG103">
            <v>0.55000000000000004</v>
          </cell>
        </row>
        <row r="104">
          <cell r="B104">
            <v>240200231</v>
          </cell>
          <cell r="C104" t="str">
            <v/>
          </cell>
          <cell r="D104" t="str">
            <v>GENERICO SIN IVA</v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I104" t="str">
            <v>UND</v>
          </cell>
          <cell r="J104">
            <v>1</v>
          </cell>
          <cell r="K104">
            <v>1</v>
          </cell>
          <cell r="L104" t="str">
            <v>C</v>
          </cell>
          <cell r="M104">
            <v>334</v>
          </cell>
          <cell r="N104" t="str">
            <v>C</v>
          </cell>
          <cell r="O104">
            <v>99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5</v>
          </cell>
          <cell r="U104">
            <v>12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28</v>
          </cell>
          <cell r="AA104">
            <v>0.45</v>
          </cell>
          <cell r="AB104">
            <v>0.75</v>
          </cell>
          <cell r="AC104">
            <v>0</v>
          </cell>
          <cell r="AD104">
            <v>0.75</v>
          </cell>
          <cell r="AE104">
            <v>0</v>
          </cell>
          <cell r="AF104">
            <v>0.01</v>
          </cell>
          <cell r="AG104">
            <v>0.6</v>
          </cell>
        </row>
        <row r="105">
          <cell r="B105">
            <v>243450103</v>
          </cell>
          <cell r="C105" t="str">
            <v/>
          </cell>
          <cell r="D105" t="str">
            <v>GORRO DE CIRUJANO 50 Grs. Marca Meditex x Und</v>
          </cell>
          <cell r="E105" t="str">
            <v>MEDITEX</v>
          </cell>
          <cell r="F105" t="str">
            <v/>
          </cell>
          <cell r="G105" t="str">
            <v>LENCERIA GORROS</v>
          </cell>
          <cell r="H105" t="str">
            <v/>
          </cell>
          <cell r="I105" t="str">
            <v>CJX200</v>
          </cell>
          <cell r="J105">
            <v>1</v>
          </cell>
          <cell r="K105">
            <v>1</v>
          </cell>
          <cell r="L105" t="str">
            <v>C</v>
          </cell>
          <cell r="M105">
            <v>392</v>
          </cell>
          <cell r="N105" t="str">
            <v>C</v>
          </cell>
          <cell r="O105">
            <v>128</v>
          </cell>
          <cell r="P105">
            <v>0</v>
          </cell>
          <cell r="Q105">
            <v>8</v>
          </cell>
          <cell r="R105">
            <v>8</v>
          </cell>
          <cell r="S105">
            <v>0</v>
          </cell>
          <cell r="T105">
            <v>204</v>
          </cell>
          <cell r="U105">
            <v>32291</v>
          </cell>
          <cell r="V105">
            <v>0</v>
          </cell>
          <cell r="W105">
            <v>0</v>
          </cell>
          <cell r="X105">
            <v>0</v>
          </cell>
          <cell r="Y105">
            <v>8</v>
          </cell>
          <cell r="Z105">
            <v>8400</v>
          </cell>
          <cell r="AA105">
            <v>4.5</v>
          </cell>
          <cell r="AB105">
            <v>5.29</v>
          </cell>
          <cell r="AC105">
            <v>0</v>
          </cell>
          <cell r="AD105">
            <v>5.29</v>
          </cell>
          <cell r="AE105">
            <v>0</v>
          </cell>
          <cell r="AF105">
            <v>0.1</v>
          </cell>
          <cell r="AG105">
            <v>0.85030000000000006</v>
          </cell>
        </row>
        <row r="106">
          <cell r="B106">
            <v>243450104</v>
          </cell>
          <cell r="C106" t="str">
            <v/>
          </cell>
          <cell r="D106" t="str">
            <v>GORRO DE CIRUJANO Marca Rospital. x Und</v>
          </cell>
          <cell r="E106" t="str">
            <v>ROSPITAL</v>
          </cell>
          <cell r="F106" t="str">
            <v/>
          </cell>
          <cell r="G106" t="str">
            <v/>
          </cell>
          <cell r="H106" t="str">
            <v/>
          </cell>
          <cell r="I106" t="str">
            <v>BTOX1000</v>
          </cell>
          <cell r="J106">
            <v>50</v>
          </cell>
          <cell r="K106">
            <v>1</v>
          </cell>
          <cell r="L106" t="str">
            <v>C</v>
          </cell>
          <cell r="M106">
            <v>401</v>
          </cell>
          <cell r="N106" t="str">
            <v>C</v>
          </cell>
          <cell r="O106">
            <v>286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305</v>
          </cell>
          <cell r="U106">
            <v>750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5.67</v>
          </cell>
          <cell r="AB106">
            <v>6.67</v>
          </cell>
          <cell r="AC106">
            <v>0</v>
          </cell>
          <cell r="AD106">
            <v>6.67</v>
          </cell>
          <cell r="AE106">
            <v>0</v>
          </cell>
          <cell r="AF106">
            <v>0.126</v>
          </cell>
          <cell r="AG106">
            <v>0.85019999999999996</v>
          </cell>
        </row>
        <row r="107">
          <cell r="B107">
            <v>253401213</v>
          </cell>
          <cell r="C107" t="str">
            <v>S/REF</v>
          </cell>
          <cell r="D107" t="str">
            <v>GUANTES DE CIRUJANO N° 6.5 MARCA DIPROCARE x Und./\Presentacion Caja x 50 Unds.</v>
          </cell>
          <cell r="E107" t="str">
            <v>DIPHOSYC</v>
          </cell>
          <cell r="F107" t="str">
            <v/>
          </cell>
          <cell r="G107" t="str">
            <v>GUANTES CIRUJANO</v>
          </cell>
          <cell r="H107" t="str">
            <v/>
          </cell>
          <cell r="I107" t="str">
            <v>CJX50</v>
          </cell>
          <cell r="J107">
            <v>50</v>
          </cell>
          <cell r="K107">
            <v>1</v>
          </cell>
          <cell r="L107" t="str">
            <v>C</v>
          </cell>
          <cell r="M107">
            <v>43</v>
          </cell>
          <cell r="N107" t="str">
            <v>C</v>
          </cell>
          <cell r="O107">
            <v>149</v>
          </cell>
          <cell r="P107">
            <v>0</v>
          </cell>
          <cell r="Q107">
            <v>4500</v>
          </cell>
          <cell r="R107">
            <v>4500</v>
          </cell>
          <cell r="S107">
            <v>0</v>
          </cell>
          <cell r="T107">
            <v>44</v>
          </cell>
          <cell r="U107">
            <v>2400</v>
          </cell>
          <cell r="V107">
            <v>0</v>
          </cell>
          <cell r="W107">
            <v>0</v>
          </cell>
          <cell r="X107">
            <v>0</v>
          </cell>
          <cell r="Y107">
            <v>4500</v>
          </cell>
          <cell r="Z107">
            <v>4500</v>
          </cell>
          <cell r="AA107">
            <v>18</v>
          </cell>
          <cell r="AB107">
            <v>25.71</v>
          </cell>
          <cell r="AC107">
            <v>0</v>
          </cell>
          <cell r="AD107">
            <v>25.71</v>
          </cell>
          <cell r="AE107">
            <v>0</v>
          </cell>
          <cell r="AF107">
            <v>0.4</v>
          </cell>
          <cell r="AG107">
            <v>0.7</v>
          </cell>
        </row>
        <row r="108">
          <cell r="B108">
            <v>253401216</v>
          </cell>
          <cell r="C108" t="str">
            <v/>
          </cell>
          <cell r="D108" t="str">
            <v>GUANTES DE CIRUJANO N° 7.0 MARCA DIPROCARE x Und./\Presentacion Caja x 50 Unds.</v>
          </cell>
          <cell r="E108" t="str">
            <v>SOSFT</v>
          </cell>
          <cell r="F108" t="str">
            <v/>
          </cell>
          <cell r="G108" t="str">
            <v>GUANTES CIRUJANO</v>
          </cell>
          <cell r="H108" t="str">
            <v/>
          </cell>
          <cell r="I108" t="str">
            <v>CJX50</v>
          </cell>
          <cell r="J108">
            <v>50</v>
          </cell>
          <cell r="K108">
            <v>1</v>
          </cell>
          <cell r="L108" t="str">
            <v>C</v>
          </cell>
          <cell r="M108">
            <v>9</v>
          </cell>
          <cell r="N108" t="str">
            <v>C</v>
          </cell>
          <cell r="O108">
            <v>23</v>
          </cell>
          <cell r="P108">
            <v>0</v>
          </cell>
          <cell r="Q108">
            <v>3050</v>
          </cell>
          <cell r="R108">
            <v>3050</v>
          </cell>
          <cell r="S108">
            <v>0</v>
          </cell>
          <cell r="T108">
            <v>302</v>
          </cell>
          <cell r="U108">
            <v>2350</v>
          </cell>
          <cell r="V108">
            <v>0</v>
          </cell>
          <cell r="W108">
            <v>0</v>
          </cell>
          <cell r="X108">
            <v>0</v>
          </cell>
          <cell r="Y108">
            <v>3050</v>
          </cell>
          <cell r="Z108">
            <v>3050</v>
          </cell>
          <cell r="AA108">
            <v>18</v>
          </cell>
          <cell r="AB108">
            <v>25.71</v>
          </cell>
          <cell r="AC108">
            <v>0</v>
          </cell>
          <cell r="AD108">
            <v>25.71</v>
          </cell>
          <cell r="AE108">
            <v>0</v>
          </cell>
          <cell r="AF108">
            <v>0.4</v>
          </cell>
          <cell r="AG108">
            <v>0.7</v>
          </cell>
        </row>
        <row r="109">
          <cell r="B109">
            <v>253401215</v>
          </cell>
          <cell r="C109" t="str">
            <v>253401215</v>
          </cell>
          <cell r="D109" t="str">
            <v>GUANTES DE CIRUJANO N° 7.5 MARCA DIPROCARE x Und./\Presentacion Caja x 50 Unds.</v>
          </cell>
          <cell r="E109" t="str">
            <v>DIPHOSYC</v>
          </cell>
          <cell r="F109" t="str">
            <v/>
          </cell>
          <cell r="G109" t="str">
            <v>GUANTES CIRUJANO</v>
          </cell>
          <cell r="H109" t="str">
            <v/>
          </cell>
          <cell r="I109" t="str">
            <v>CJX50</v>
          </cell>
          <cell r="J109">
            <v>50</v>
          </cell>
          <cell r="K109">
            <v>1</v>
          </cell>
          <cell r="L109" t="str">
            <v>A</v>
          </cell>
          <cell r="M109">
            <v>11</v>
          </cell>
          <cell r="N109" t="str">
            <v>C</v>
          </cell>
          <cell r="O109">
            <v>38</v>
          </cell>
          <cell r="P109">
            <v>0</v>
          </cell>
          <cell r="Q109">
            <v>3500</v>
          </cell>
          <cell r="R109">
            <v>3500</v>
          </cell>
          <cell r="S109">
            <v>0</v>
          </cell>
          <cell r="T109">
            <v>280</v>
          </cell>
          <cell r="U109">
            <v>2400</v>
          </cell>
          <cell r="V109">
            <v>0</v>
          </cell>
          <cell r="W109">
            <v>0</v>
          </cell>
          <cell r="X109">
            <v>0</v>
          </cell>
          <cell r="Y109">
            <v>3500</v>
          </cell>
          <cell r="Z109">
            <v>3500</v>
          </cell>
          <cell r="AA109">
            <v>18</v>
          </cell>
          <cell r="AB109">
            <v>25.71</v>
          </cell>
          <cell r="AC109">
            <v>0</v>
          </cell>
          <cell r="AD109">
            <v>25.71</v>
          </cell>
          <cell r="AE109">
            <v>0</v>
          </cell>
          <cell r="AF109">
            <v>0.4</v>
          </cell>
          <cell r="AG109">
            <v>0.7</v>
          </cell>
        </row>
        <row r="110">
          <cell r="B110">
            <v>253400213</v>
          </cell>
          <cell r="C110" t="str">
            <v/>
          </cell>
          <cell r="D110" t="str">
            <v>GUANTES DE CIRUJANO N° 8.0 MARCA DIPROCARE x Und./\Presentacion Caja x 50 Unds.</v>
          </cell>
          <cell r="E110" t="str">
            <v>DIPHOSYC</v>
          </cell>
          <cell r="F110" t="str">
            <v/>
          </cell>
          <cell r="G110" t="str">
            <v>GUANTES CIRUJANO</v>
          </cell>
          <cell r="H110" t="str">
            <v/>
          </cell>
          <cell r="I110" t="str">
            <v>CJX50</v>
          </cell>
          <cell r="J110">
            <v>50</v>
          </cell>
          <cell r="K110">
            <v>1</v>
          </cell>
          <cell r="L110" t="str">
            <v>B</v>
          </cell>
          <cell r="M110">
            <v>18</v>
          </cell>
          <cell r="N110" t="str">
            <v/>
          </cell>
          <cell r="O110">
            <v>0</v>
          </cell>
          <cell r="P110">
            <v>0</v>
          </cell>
          <cell r="Q110">
            <v>1000</v>
          </cell>
          <cell r="R110">
            <v>1000</v>
          </cell>
          <cell r="S110">
            <v>0</v>
          </cell>
          <cell r="T110">
            <v>245</v>
          </cell>
          <cell r="U110">
            <v>1200</v>
          </cell>
          <cell r="V110">
            <v>0</v>
          </cell>
          <cell r="W110">
            <v>0</v>
          </cell>
          <cell r="X110">
            <v>0</v>
          </cell>
          <cell r="Y110">
            <v>1000</v>
          </cell>
          <cell r="Z110">
            <v>2000</v>
          </cell>
          <cell r="AA110">
            <v>18</v>
          </cell>
          <cell r="AB110">
            <v>25.71</v>
          </cell>
          <cell r="AC110">
            <v>0</v>
          </cell>
          <cell r="AD110">
            <v>25.71</v>
          </cell>
          <cell r="AE110">
            <v>0</v>
          </cell>
          <cell r="AF110">
            <v>0.4</v>
          </cell>
          <cell r="AG110">
            <v>0.7</v>
          </cell>
        </row>
        <row r="111">
          <cell r="B111">
            <v>253400103</v>
          </cell>
          <cell r="C111" t="str">
            <v/>
          </cell>
          <cell r="D111" t="str">
            <v>GUANTES DE EXAMEN DE LATEX TALLA "L" Marca Diphocare/\Presentacion Caja x 100 Unds.</v>
          </cell>
          <cell r="E111" t="str">
            <v>DIPHOSYC</v>
          </cell>
          <cell r="F111" t="str">
            <v/>
          </cell>
          <cell r="G111" t="str">
            <v>GUANTES EXAMEN DE LATEX</v>
          </cell>
          <cell r="H111" t="str">
            <v/>
          </cell>
          <cell r="I111" t="str">
            <v>CJX100</v>
          </cell>
          <cell r="J111">
            <v>1</v>
          </cell>
          <cell r="K111">
            <v>1</v>
          </cell>
          <cell r="L111" t="str">
            <v>C</v>
          </cell>
          <cell r="M111">
            <v>321</v>
          </cell>
          <cell r="N111" t="str">
            <v>C</v>
          </cell>
          <cell r="O111">
            <v>269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216</v>
          </cell>
          <cell r="U111">
            <v>33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1053</v>
          </cell>
          <cell r="AA111">
            <v>251.55</v>
          </cell>
          <cell r="AB111">
            <v>314.44</v>
          </cell>
          <cell r="AC111">
            <v>0</v>
          </cell>
          <cell r="AD111">
            <v>314.44</v>
          </cell>
          <cell r="AE111">
            <v>0</v>
          </cell>
          <cell r="AF111">
            <v>5.59</v>
          </cell>
          <cell r="AG111">
            <v>0.8</v>
          </cell>
        </row>
        <row r="112">
          <cell r="B112">
            <v>253402108</v>
          </cell>
          <cell r="C112" t="str">
            <v/>
          </cell>
          <cell r="D112" t="str">
            <v>GUANTES DE EXAMEN DE LATEX TALLA "M" Marca Diphocare/\Presentacion Caja x 100 Unds.</v>
          </cell>
          <cell r="E112" t="str">
            <v>DIPHOSYC</v>
          </cell>
          <cell r="F112" t="str">
            <v/>
          </cell>
          <cell r="G112" t="str">
            <v>GUANTES EXAMEN DE LATEX</v>
          </cell>
          <cell r="H112" t="str">
            <v/>
          </cell>
          <cell r="I112" t="str">
            <v>CJX100</v>
          </cell>
          <cell r="J112">
            <v>1</v>
          </cell>
          <cell r="K112">
            <v>1</v>
          </cell>
          <cell r="L112" t="str">
            <v>C</v>
          </cell>
          <cell r="M112">
            <v>345</v>
          </cell>
          <cell r="N112" t="str">
            <v>C</v>
          </cell>
          <cell r="O112">
            <v>238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113</v>
          </cell>
          <cell r="U112">
            <v>4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50</v>
          </cell>
          <cell r="AA112">
            <v>251.685</v>
          </cell>
          <cell r="AB112">
            <v>314.61</v>
          </cell>
          <cell r="AC112">
            <v>0</v>
          </cell>
          <cell r="AD112">
            <v>314.61</v>
          </cell>
          <cell r="AE112">
            <v>0</v>
          </cell>
          <cell r="AF112">
            <v>5.593</v>
          </cell>
          <cell r="AG112">
            <v>0.8</v>
          </cell>
        </row>
        <row r="113">
          <cell r="B113">
            <v>253400304</v>
          </cell>
          <cell r="C113" t="str">
            <v>GM050421</v>
          </cell>
          <cell r="D113" t="str">
            <v>GUANTES DE NITRILO TALLA "S" GROSSMED/\Presentacion Caja x 100 Unds. Color Negro</v>
          </cell>
          <cell r="E113" t="str">
            <v>GROSSMED</v>
          </cell>
          <cell r="F113" t="str">
            <v/>
          </cell>
          <cell r="G113" t="str">
            <v>GUANTES NITRILO</v>
          </cell>
          <cell r="H113" t="str">
            <v/>
          </cell>
          <cell r="I113" t="str">
            <v>CJX200</v>
          </cell>
          <cell r="J113">
            <v>1</v>
          </cell>
          <cell r="K113">
            <v>1</v>
          </cell>
          <cell r="L113" t="str">
            <v/>
          </cell>
          <cell r="M113">
            <v>0</v>
          </cell>
          <cell r="N113" t="str">
            <v/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5</v>
          </cell>
          <cell r="U113">
            <v>2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257.39999999999998</v>
          </cell>
          <cell r="AB113">
            <v>270.95</v>
          </cell>
          <cell r="AC113">
            <v>0</v>
          </cell>
          <cell r="AD113">
            <v>270.95</v>
          </cell>
          <cell r="AE113">
            <v>0</v>
          </cell>
          <cell r="AF113">
            <v>5.72</v>
          </cell>
          <cell r="AG113">
            <v>0.95</v>
          </cell>
        </row>
        <row r="114">
          <cell r="B114">
            <v>253400308</v>
          </cell>
          <cell r="C114" t="str">
            <v>30475</v>
          </cell>
          <cell r="D114" t="str">
            <v>GUANTES ESTERIL LATEX BIOGEL 7.5 x Und</v>
          </cell>
          <cell r="E114" t="str">
            <v>SURGEONS</v>
          </cell>
          <cell r="F114" t="str">
            <v/>
          </cell>
          <cell r="G114" t="str">
            <v/>
          </cell>
          <cell r="H114" t="str">
            <v/>
          </cell>
          <cell r="I114" t="str">
            <v>CJX50</v>
          </cell>
          <cell r="J114">
            <v>50</v>
          </cell>
          <cell r="K114">
            <v>1</v>
          </cell>
          <cell r="L114" t="str">
            <v>C</v>
          </cell>
          <cell r="M114">
            <v>266</v>
          </cell>
          <cell r="N114" t="str">
            <v>C</v>
          </cell>
          <cell r="O114">
            <v>63</v>
          </cell>
          <cell r="P114">
            <v>0</v>
          </cell>
          <cell r="Q114">
            <v>50</v>
          </cell>
          <cell r="R114">
            <v>50</v>
          </cell>
          <cell r="S114">
            <v>0</v>
          </cell>
          <cell r="T114">
            <v>5</v>
          </cell>
          <cell r="U114">
            <v>1100</v>
          </cell>
          <cell r="V114">
            <v>0</v>
          </cell>
          <cell r="W114">
            <v>0</v>
          </cell>
          <cell r="X114">
            <v>0</v>
          </cell>
          <cell r="Y114">
            <v>50</v>
          </cell>
          <cell r="Z114">
            <v>50</v>
          </cell>
          <cell r="AA114">
            <v>176.4</v>
          </cell>
          <cell r="AB114">
            <v>252</v>
          </cell>
          <cell r="AC114">
            <v>0</v>
          </cell>
          <cell r="AD114">
            <v>252</v>
          </cell>
          <cell r="AE114">
            <v>0</v>
          </cell>
          <cell r="AF114">
            <v>3.92</v>
          </cell>
          <cell r="AG114">
            <v>0.7</v>
          </cell>
        </row>
        <row r="115">
          <cell r="B115">
            <v>242202306</v>
          </cell>
          <cell r="C115" t="str">
            <v>1110</v>
          </cell>
          <cell r="D115" t="str">
            <v>INMOVILIZADOR DE HOMBRO CABALLERO  Talla  M - Marca Sanavit x Und</v>
          </cell>
          <cell r="E115" t="str">
            <v>SANAVIT</v>
          </cell>
          <cell r="F115" t="str">
            <v/>
          </cell>
          <cell r="G115" t="str">
            <v>TRAUMATOLOGIA INMOVILIZADOR HOMBRO</v>
          </cell>
          <cell r="H115" t="str">
            <v/>
          </cell>
          <cell r="I115" t="str">
            <v>UND</v>
          </cell>
          <cell r="J115">
            <v>1</v>
          </cell>
          <cell r="K115">
            <v>1</v>
          </cell>
          <cell r="L115" t="str">
            <v>C</v>
          </cell>
          <cell r="M115">
            <v>331</v>
          </cell>
          <cell r="N115" t="str">
            <v/>
          </cell>
          <cell r="O115">
            <v>0</v>
          </cell>
          <cell r="P115">
            <v>5</v>
          </cell>
          <cell r="Q115">
            <v>0</v>
          </cell>
          <cell r="R115">
            <v>0</v>
          </cell>
          <cell r="S115">
            <v>0</v>
          </cell>
          <cell r="T115">
            <v>145</v>
          </cell>
          <cell r="U115">
            <v>3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12</v>
          </cell>
          <cell r="AA115">
            <v>945</v>
          </cell>
          <cell r="AB115">
            <v>1575</v>
          </cell>
          <cell r="AC115">
            <v>0</v>
          </cell>
          <cell r="AD115">
            <v>1575</v>
          </cell>
          <cell r="AE115">
            <v>0</v>
          </cell>
          <cell r="AF115">
            <v>21</v>
          </cell>
          <cell r="AG115">
            <v>0.6</v>
          </cell>
        </row>
        <row r="116">
          <cell r="B116">
            <v>242202312</v>
          </cell>
          <cell r="C116" t="str">
            <v>1110</v>
          </cell>
          <cell r="D116" t="str">
            <v>INMOVILIZADOR DE HOMBRO CABALLERO  Talla  S - Marca Sanavit x Und</v>
          </cell>
          <cell r="E116" t="str">
            <v>SANAVIT</v>
          </cell>
          <cell r="F116" t="str">
            <v/>
          </cell>
          <cell r="G116" t="str">
            <v/>
          </cell>
          <cell r="H116" t="str">
            <v/>
          </cell>
          <cell r="I116" t="str">
            <v>UND</v>
          </cell>
          <cell r="J116">
            <v>1</v>
          </cell>
          <cell r="K116">
            <v>1</v>
          </cell>
          <cell r="L116" t="str">
            <v>C</v>
          </cell>
          <cell r="M116">
            <v>153</v>
          </cell>
          <cell r="N116" t="str">
            <v>C</v>
          </cell>
          <cell r="O116">
            <v>228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5</v>
          </cell>
          <cell r="U116">
            <v>3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2</v>
          </cell>
          <cell r="AA116">
            <v>945</v>
          </cell>
          <cell r="AB116">
            <v>1575</v>
          </cell>
          <cell r="AC116">
            <v>0</v>
          </cell>
          <cell r="AD116">
            <v>1575</v>
          </cell>
          <cell r="AE116">
            <v>0</v>
          </cell>
          <cell r="AF116">
            <v>21</v>
          </cell>
          <cell r="AG116">
            <v>0.6</v>
          </cell>
        </row>
        <row r="117">
          <cell r="B117">
            <v>242202311</v>
          </cell>
          <cell r="C117" t="str">
            <v>1110</v>
          </cell>
          <cell r="D117" t="str">
            <v>INMOVILIZADOR DE HOMBRO CABALLERO  Talla  XL - Marca Sanavit x Und</v>
          </cell>
          <cell r="E117" t="str">
            <v>SANAVIT</v>
          </cell>
          <cell r="F117" t="str">
            <v/>
          </cell>
          <cell r="G117" t="str">
            <v/>
          </cell>
          <cell r="H117" t="str">
            <v/>
          </cell>
          <cell r="I117" t="str">
            <v>UND</v>
          </cell>
          <cell r="J117">
            <v>1</v>
          </cell>
          <cell r="K117">
            <v>1</v>
          </cell>
          <cell r="L117" t="str">
            <v/>
          </cell>
          <cell r="M117">
            <v>0</v>
          </cell>
          <cell r="N117" t="str">
            <v/>
          </cell>
          <cell r="O117">
            <v>0</v>
          </cell>
          <cell r="P117">
            <v>5</v>
          </cell>
          <cell r="Q117">
            <v>0</v>
          </cell>
          <cell r="R117">
            <v>0</v>
          </cell>
          <cell r="S117">
            <v>0</v>
          </cell>
          <cell r="T117">
            <v>261</v>
          </cell>
          <cell r="U117">
            <v>3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10</v>
          </cell>
          <cell r="AA117">
            <v>945</v>
          </cell>
          <cell r="AB117">
            <v>1575</v>
          </cell>
          <cell r="AC117">
            <v>0</v>
          </cell>
          <cell r="AD117">
            <v>1575</v>
          </cell>
          <cell r="AE117">
            <v>0</v>
          </cell>
          <cell r="AF117">
            <v>21</v>
          </cell>
          <cell r="AG117">
            <v>0.6</v>
          </cell>
        </row>
        <row r="118">
          <cell r="B118">
            <v>242201570</v>
          </cell>
          <cell r="C118" t="str">
            <v>1109</v>
          </cell>
          <cell r="D118" t="str">
            <v>INMOVILIZADOR DE HOMBRO DAMA  Talla L Marca Sanavit x Und</v>
          </cell>
          <cell r="E118" t="str">
            <v>SANAVIT</v>
          </cell>
          <cell r="F118" t="str">
            <v/>
          </cell>
          <cell r="G118" t="str">
            <v>TRAUMATOLOGIA INMOVILIZADOR RODILLA</v>
          </cell>
          <cell r="H118" t="str">
            <v/>
          </cell>
          <cell r="I118" t="str">
            <v>UND</v>
          </cell>
          <cell r="J118">
            <v>1</v>
          </cell>
          <cell r="K118">
            <v>1</v>
          </cell>
          <cell r="L118" t="str">
            <v>C</v>
          </cell>
          <cell r="M118">
            <v>102</v>
          </cell>
          <cell r="N118" t="str">
            <v>C</v>
          </cell>
          <cell r="O118">
            <v>140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5</v>
          </cell>
          <cell r="U118">
            <v>27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6</v>
          </cell>
          <cell r="AA118">
            <v>990</v>
          </cell>
          <cell r="AB118">
            <v>1650</v>
          </cell>
          <cell r="AC118">
            <v>0</v>
          </cell>
          <cell r="AD118">
            <v>1650</v>
          </cell>
          <cell r="AE118">
            <v>0</v>
          </cell>
          <cell r="AF118">
            <v>22</v>
          </cell>
          <cell r="AG118">
            <v>0.6</v>
          </cell>
        </row>
        <row r="119">
          <cell r="B119">
            <v>242201670</v>
          </cell>
          <cell r="C119" t="str">
            <v xml:space="preserve"> 1109</v>
          </cell>
          <cell r="D119" t="str">
            <v>INMOVILIZADOR DE HOMBRO DAMA  Talla M Marca Sanavit x Und</v>
          </cell>
          <cell r="E119" t="str">
            <v>SANAVIT</v>
          </cell>
          <cell r="F119" t="str">
            <v/>
          </cell>
          <cell r="G119" t="str">
            <v/>
          </cell>
          <cell r="H119" t="str">
            <v/>
          </cell>
          <cell r="I119" t="str">
            <v>UND</v>
          </cell>
          <cell r="J119">
            <v>1</v>
          </cell>
          <cell r="K119">
            <v>1</v>
          </cell>
          <cell r="L119" t="str">
            <v>C</v>
          </cell>
          <cell r="M119">
            <v>56</v>
          </cell>
          <cell r="N119" t="str">
            <v>C</v>
          </cell>
          <cell r="O119">
            <v>98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5</v>
          </cell>
          <cell r="U119">
            <v>6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5</v>
          </cell>
          <cell r="AA119">
            <v>990</v>
          </cell>
          <cell r="AB119">
            <v>1650</v>
          </cell>
          <cell r="AC119">
            <v>0</v>
          </cell>
          <cell r="AD119">
            <v>1650</v>
          </cell>
          <cell r="AE119">
            <v>0</v>
          </cell>
          <cell r="AF119">
            <v>22</v>
          </cell>
          <cell r="AG119">
            <v>0.6</v>
          </cell>
        </row>
        <row r="120">
          <cell r="B120">
            <v>242201305</v>
          </cell>
          <cell r="C120" t="str">
            <v>7455610</v>
          </cell>
          <cell r="D120" t="str">
            <v>INMOVILIZADOR DE HOMBRO UMERUS AIR Talla S - Marca BSN Medical x Und</v>
          </cell>
          <cell r="E120" t="str">
            <v>BSN MEDICAL</v>
          </cell>
          <cell r="F120" t="str">
            <v/>
          </cell>
          <cell r="G120" t="str">
            <v>TRAUMATOLOGIA INMOVILIZADOR HOMBRO</v>
          </cell>
          <cell r="H120" t="str">
            <v/>
          </cell>
          <cell r="I120" t="str">
            <v>UND</v>
          </cell>
          <cell r="J120">
            <v>1</v>
          </cell>
          <cell r="K120">
            <v>1</v>
          </cell>
          <cell r="L120" t="str">
            <v>C</v>
          </cell>
          <cell r="M120">
            <v>305</v>
          </cell>
          <cell r="N120" t="str">
            <v>C</v>
          </cell>
          <cell r="O120">
            <v>259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5</v>
          </cell>
          <cell r="U120">
            <v>38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1</v>
          </cell>
          <cell r="AA120">
            <v>710.52750000000003</v>
          </cell>
          <cell r="AB120">
            <v>1015.04</v>
          </cell>
          <cell r="AC120">
            <v>0</v>
          </cell>
          <cell r="AD120">
            <v>1015.04</v>
          </cell>
          <cell r="AE120">
            <v>0</v>
          </cell>
          <cell r="AF120">
            <v>15.7895</v>
          </cell>
          <cell r="AG120">
            <v>0.7</v>
          </cell>
        </row>
        <row r="121">
          <cell r="B121">
            <v>242201317</v>
          </cell>
          <cell r="C121" t="str">
            <v>1115</v>
          </cell>
          <cell r="D121" t="str">
            <v>INMOVILIZADOR DE RODILLA 20" L - Marca Sanavit x Und</v>
          </cell>
          <cell r="E121" t="str">
            <v>SANAVIT</v>
          </cell>
          <cell r="F121" t="str">
            <v/>
          </cell>
          <cell r="G121" t="str">
            <v>TRAUMATOLOGIA INMOVILIZADOR RODILLA</v>
          </cell>
          <cell r="H121" t="str">
            <v/>
          </cell>
          <cell r="I121" t="str">
            <v>UND</v>
          </cell>
          <cell r="J121">
            <v>1</v>
          </cell>
          <cell r="K121">
            <v>1</v>
          </cell>
          <cell r="L121" t="str">
            <v>C</v>
          </cell>
          <cell r="M121">
            <v>80</v>
          </cell>
          <cell r="N121" t="str">
            <v>C</v>
          </cell>
          <cell r="O121">
            <v>193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5</v>
          </cell>
          <cell r="U121">
            <v>4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5</v>
          </cell>
          <cell r="AA121">
            <v>1305</v>
          </cell>
          <cell r="AB121">
            <v>2175</v>
          </cell>
          <cell r="AC121">
            <v>0</v>
          </cell>
          <cell r="AD121">
            <v>2175</v>
          </cell>
          <cell r="AE121">
            <v>0</v>
          </cell>
          <cell r="AF121">
            <v>29</v>
          </cell>
          <cell r="AG121">
            <v>0.6</v>
          </cell>
        </row>
        <row r="122">
          <cell r="B122">
            <v>242201316</v>
          </cell>
          <cell r="C122" t="str">
            <v xml:space="preserve">  1115</v>
          </cell>
          <cell r="D122" t="str">
            <v>INMOVILIZADOR DE RODILLA 20" M - Marca Sanavit x Und</v>
          </cell>
          <cell r="E122" t="str">
            <v>SANAVIT</v>
          </cell>
          <cell r="F122" t="str">
            <v/>
          </cell>
          <cell r="G122" t="str">
            <v>TRAUMATOLOGIA INMOVILIZADOR RODILLA</v>
          </cell>
          <cell r="H122" t="str">
            <v/>
          </cell>
          <cell r="I122" t="str">
            <v>UND</v>
          </cell>
          <cell r="J122">
            <v>1</v>
          </cell>
          <cell r="K122">
            <v>1</v>
          </cell>
          <cell r="L122" t="str">
            <v>C</v>
          </cell>
          <cell r="M122">
            <v>129</v>
          </cell>
          <cell r="N122" t="str">
            <v>C</v>
          </cell>
          <cell r="O122">
            <v>200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5</v>
          </cell>
          <cell r="U122">
            <v>5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5</v>
          </cell>
          <cell r="AA122">
            <v>1305</v>
          </cell>
          <cell r="AB122">
            <v>2175</v>
          </cell>
          <cell r="AC122">
            <v>0</v>
          </cell>
          <cell r="AD122">
            <v>2175</v>
          </cell>
          <cell r="AE122">
            <v>0</v>
          </cell>
          <cell r="AF122">
            <v>29</v>
          </cell>
          <cell r="AG122">
            <v>0.6</v>
          </cell>
        </row>
        <row r="123">
          <cell r="B123">
            <v>242201315</v>
          </cell>
          <cell r="C123" t="str">
            <v xml:space="preserve">  1115</v>
          </cell>
          <cell r="D123" t="str">
            <v>INMOVILIZADOR DE RODILLA 20" S - Marca Sanavit x Und</v>
          </cell>
          <cell r="E123" t="str">
            <v>SANAVIT</v>
          </cell>
          <cell r="F123" t="str">
            <v/>
          </cell>
          <cell r="G123" t="str">
            <v>TRAUMATOLOGIA INMOVILIZADOR RODILLA</v>
          </cell>
          <cell r="H123" t="str">
            <v/>
          </cell>
          <cell r="I123" t="str">
            <v>UND</v>
          </cell>
          <cell r="J123">
            <v>1</v>
          </cell>
          <cell r="K123">
            <v>1</v>
          </cell>
          <cell r="L123" t="str">
            <v>C</v>
          </cell>
          <cell r="M123">
            <v>271</v>
          </cell>
          <cell r="N123" t="str">
            <v>C</v>
          </cell>
          <cell r="O123">
            <v>339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45</v>
          </cell>
          <cell r="U123">
            <v>1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11</v>
          </cell>
          <cell r="AA123">
            <v>1305</v>
          </cell>
          <cell r="AB123">
            <v>2175</v>
          </cell>
          <cell r="AC123">
            <v>0</v>
          </cell>
          <cell r="AD123">
            <v>2175</v>
          </cell>
          <cell r="AE123">
            <v>0</v>
          </cell>
          <cell r="AF123">
            <v>29</v>
          </cell>
          <cell r="AG123">
            <v>0.6</v>
          </cell>
        </row>
        <row r="124">
          <cell r="B124">
            <v>242201321</v>
          </cell>
          <cell r="C124" t="str">
            <v>1116</v>
          </cell>
          <cell r="D124" t="str">
            <v>INMOVILIZADOR DE RODILLA 24" L - Marca Sanavit x Und</v>
          </cell>
          <cell r="E124" t="str">
            <v>SANAVIT</v>
          </cell>
          <cell r="F124" t="str">
            <v/>
          </cell>
          <cell r="G124" t="str">
            <v>TRAUMATOLOGIA INMOVILIZADOR RODILLA</v>
          </cell>
          <cell r="H124" t="str">
            <v/>
          </cell>
          <cell r="I124" t="str">
            <v>UND</v>
          </cell>
          <cell r="J124">
            <v>1</v>
          </cell>
          <cell r="K124">
            <v>1</v>
          </cell>
          <cell r="L124" t="str">
            <v>C</v>
          </cell>
          <cell r="M124">
            <v>122</v>
          </cell>
          <cell r="N124" t="str">
            <v>C</v>
          </cell>
          <cell r="O124">
            <v>175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46</v>
          </cell>
          <cell r="U124">
            <v>7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13</v>
          </cell>
          <cell r="AA124">
            <v>1530</v>
          </cell>
          <cell r="AB124">
            <v>2550</v>
          </cell>
          <cell r="AC124">
            <v>0</v>
          </cell>
          <cell r="AD124">
            <v>2550</v>
          </cell>
          <cell r="AE124">
            <v>0</v>
          </cell>
          <cell r="AF124">
            <v>34</v>
          </cell>
          <cell r="AG124">
            <v>0.6</v>
          </cell>
        </row>
        <row r="125">
          <cell r="B125">
            <v>242201320</v>
          </cell>
          <cell r="C125" t="str">
            <v>1116</v>
          </cell>
          <cell r="D125" t="str">
            <v>INMOVILIZADOR DE RODILLA 24" M - Marca Sanavit x Und</v>
          </cell>
          <cell r="E125" t="str">
            <v>SANAVIT</v>
          </cell>
          <cell r="F125" t="str">
            <v/>
          </cell>
          <cell r="G125" t="str">
            <v>TRAUMATOLOGIA INMOVILIZADOR RODILLA</v>
          </cell>
          <cell r="H125" t="str">
            <v/>
          </cell>
          <cell r="I125" t="str">
            <v>UND</v>
          </cell>
          <cell r="J125">
            <v>1</v>
          </cell>
          <cell r="K125">
            <v>1</v>
          </cell>
          <cell r="L125" t="str">
            <v>C</v>
          </cell>
          <cell r="M125">
            <v>29</v>
          </cell>
          <cell r="N125" t="str">
            <v>C</v>
          </cell>
          <cell r="O125">
            <v>220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305</v>
          </cell>
          <cell r="U125">
            <v>2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10</v>
          </cell>
          <cell r="AA125">
            <v>1530</v>
          </cell>
          <cell r="AB125">
            <v>2550</v>
          </cell>
          <cell r="AC125">
            <v>0</v>
          </cell>
          <cell r="AD125">
            <v>2550</v>
          </cell>
          <cell r="AE125">
            <v>0</v>
          </cell>
          <cell r="AF125">
            <v>34</v>
          </cell>
          <cell r="AG125">
            <v>0.6</v>
          </cell>
        </row>
        <row r="126">
          <cell r="B126">
            <v>242201323</v>
          </cell>
          <cell r="C126" t="str">
            <v>1116</v>
          </cell>
          <cell r="D126" t="str">
            <v>INMOVILIZADOR DE RODILLA 24" XL - Marca Sanavit x Und</v>
          </cell>
          <cell r="E126" t="str">
            <v>SANAVIT</v>
          </cell>
          <cell r="F126" t="str">
            <v/>
          </cell>
          <cell r="G126" t="str">
            <v>TRAUMATOLOGIA INMOVILIZADOR RODILLA</v>
          </cell>
          <cell r="H126" t="str">
            <v/>
          </cell>
          <cell r="I126" t="str">
            <v>UND</v>
          </cell>
          <cell r="J126">
            <v>1</v>
          </cell>
          <cell r="K126">
            <v>1</v>
          </cell>
          <cell r="L126" t="str">
            <v>C</v>
          </cell>
          <cell r="M126">
            <v>325</v>
          </cell>
          <cell r="N126" t="str">
            <v>C</v>
          </cell>
          <cell r="O126">
            <v>378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5</v>
          </cell>
          <cell r="U126">
            <v>4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1</v>
          </cell>
          <cell r="AA126">
            <v>1530</v>
          </cell>
          <cell r="AB126">
            <v>2550</v>
          </cell>
          <cell r="AC126">
            <v>0</v>
          </cell>
          <cell r="AD126">
            <v>2550</v>
          </cell>
          <cell r="AE126">
            <v>0</v>
          </cell>
          <cell r="AF126">
            <v>34</v>
          </cell>
          <cell r="AG126">
            <v>0.6</v>
          </cell>
        </row>
        <row r="127">
          <cell r="B127">
            <v>242201612</v>
          </cell>
          <cell r="C127" t="str">
            <v>7281981</v>
          </cell>
          <cell r="D127" t="str">
            <v>INMOVILIZADOR TIPO BOTA TALLA L - Marca BSN Medical x Und</v>
          </cell>
          <cell r="E127" t="str">
            <v>BSN MEDICAL</v>
          </cell>
          <cell r="F127" t="str">
            <v/>
          </cell>
          <cell r="G127" t="str">
            <v>TRAUMATOLOGIA INMOVILIZADOR BOTA</v>
          </cell>
          <cell r="H127" t="str">
            <v/>
          </cell>
          <cell r="I127" t="str">
            <v>CJX4</v>
          </cell>
          <cell r="J127">
            <v>1</v>
          </cell>
          <cell r="K127">
            <v>1</v>
          </cell>
          <cell r="L127" t="str">
            <v>C</v>
          </cell>
          <cell r="M127">
            <v>110</v>
          </cell>
          <cell r="N127" t="str">
            <v>C</v>
          </cell>
          <cell r="O127">
            <v>150</v>
          </cell>
          <cell r="P127">
            <v>0</v>
          </cell>
          <cell r="Q127">
            <v>8</v>
          </cell>
          <cell r="R127">
            <v>8</v>
          </cell>
          <cell r="S127">
            <v>0</v>
          </cell>
          <cell r="T127">
            <v>5</v>
          </cell>
          <cell r="U127">
            <v>1</v>
          </cell>
          <cell r="V127">
            <v>0</v>
          </cell>
          <cell r="W127">
            <v>0</v>
          </cell>
          <cell r="X127">
            <v>0</v>
          </cell>
          <cell r="Y127">
            <v>8</v>
          </cell>
          <cell r="Z127">
            <v>36</v>
          </cell>
          <cell r="AA127">
            <v>2488.5</v>
          </cell>
          <cell r="AB127">
            <v>3555</v>
          </cell>
          <cell r="AC127">
            <v>0</v>
          </cell>
          <cell r="AD127">
            <v>3555</v>
          </cell>
          <cell r="AE127">
            <v>0</v>
          </cell>
          <cell r="AF127">
            <v>55.3</v>
          </cell>
          <cell r="AG127">
            <v>0.7</v>
          </cell>
        </row>
        <row r="128">
          <cell r="B128">
            <v>242350810</v>
          </cell>
          <cell r="C128" t="str">
            <v/>
          </cell>
          <cell r="D128" t="str">
            <v>INT.PERCUT 8.5 FRX10 SI-09806 P/SWAN GANZ</v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  <cell r="I128" t="str">
            <v>UND</v>
          </cell>
          <cell r="J128">
            <v>1</v>
          </cell>
          <cell r="K128">
            <v>1</v>
          </cell>
          <cell r="L128" t="str">
            <v>C</v>
          </cell>
          <cell r="M128">
            <v>100</v>
          </cell>
          <cell r="N128" t="str">
            <v>C</v>
          </cell>
          <cell r="O128">
            <v>182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5</v>
          </cell>
          <cell r="U128">
            <v>4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10</v>
          </cell>
          <cell r="AA128">
            <v>4500</v>
          </cell>
          <cell r="AB128">
            <v>6428.57</v>
          </cell>
          <cell r="AC128">
            <v>0</v>
          </cell>
          <cell r="AD128">
            <v>6428.57</v>
          </cell>
          <cell r="AE128">
            <v>0</v>
          </cell>
          <cell r="AF128">
            <v>100</v>
          </cell>
          <cell r="AG128">
            <v>0.7</v>
          </cell>
        </row>
        <row r="129">
          <cell r="B129">
            <v>252100244</v>
          </cell>
          <cell r="C129" t="str">
            <v/>
          </cell>
          <cell r="D129" t="str">
            <v>JERINGA   3 ML 21 x 1 1/2 Marca Diphocare x Und</v>
          </cell>
          <cell r="E129" t="str">
            <v>ECOMED</v>
          </cell>
          <cell r="F129" t="str">
            <v/>
          </cell>
          <cell r="G129" t="str">
            <v/>
          </cell>
          <cell r="H129" t="str">
            <v/>
          </cell>
          <cell r="I129" t="str">
            <v>CJX100</v>
          </cell>
          <cell r="J129">
            <v>100</v>
          </cell>
          <cell r="K129">
            <v>1</v>
          </cell>
          <cell r="L129" t="str">
            <v>C</v>
          </cell>
          <cell r="M129">
            <v>389</v>
          </cell>
          <cell r="N129" t="str">
            <v>C</v>
          </cell>
          <cell r="O129">
            <v>191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238</v>
          </cell>
          <cell r="U129">
            <v>6900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3000</v>
          </cell>
          <cell r="AA129">
            <v>1.9530000000000001</v>
          </cell>
          <cell r="AB129">
            <v>2.44</v>
          </cell>
          <cell r="AC129">
            <v>0</v>
          </cell>
          <cell r="AD129">
            <v>2.44</v>
          </cell>
          <cell r="AE129">
            <v>0</v>
          </cell>
          <cell r="AF129">
            <v>4.3400000000000001E-2</v>
          </cell>
          <cell r="AG129">
            <v>0.8</v>
          </cell>
        </row>
        <row r="130">
          <cell r="B130">
            <v>252100107</v>
          </cell>
          <cell r="C130" t="str">
            <v/>
          </cell>
          <cell r="D130" t="str">
            <v>JERINGA   5 ML 21 x 1 1/2 Marca Diphocare x Und</v>
          </cell>
          <cell r="E130" t="str">
            <v>DIPHOSYC</v>
          </cell>
          <cell r="F130" t="str">
            <v/>
          </cell>
          <cell r="G130" t="str">
            <v>JERINGAS 5ML</v>
          </cell>
          <cell r="H130" t="str">
            <v/>
          </cell>
          <cell r="I130" t="str">
            <v>CJX100</v>
          </cell>
          <cell r="J130">
            <v>100</v>
          </cell>
          <cell r="K130">
            <v>1</v>
          </cell>
          <cell r="L130" t="str">
            <v>C</v>
          </cell>
          <cell r="M130">
            <v>425</v>
          </cell>
          <cell r="N130" t="str">
            <v>C</v>
          </cell>
          <cell r="O130">
            <v>106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238</v>
          </cell>
          <cell r="U130">
            <v>1500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3500</v>
          </cell>
          <cell r="AA130">
            <v>1.9710000000000001</v>
          </cell>
          <cell r="AB130">
            <v>2.4700000000000002</v>
          </cell>
          <cell r="AC130">
            <v>0</v>
          </cell>
          <cell r="AD130">
            <v>2.4700000000000002</v>
          </cell>
          <cell r="AE130">
            <v>0</v>
          </cell>
          <cell r="AF130">
            <v>4.3799999999999999E-2</v>
          </cell>
          <cell r="AG130">
            <v>0.8</v>
          </cell>
        </row>
        <row r="131">
          <cell r="B131">
            <v>252100206</v>
          </cell>
          <cell r="C131" t="str">
            <v>MSS011</v>
          </cell>
          <cell r="D131" t="str">
            <v>JERINGA 1 cc C/ROSCA MARCA MERITMEDICAL x Und</v>
          </cell>
          <cell r="E131" t="str">
            <v>GROSSMED</v>
          </cell>
          <cell r="F131" t="str">
            <v/>
          </cell>
          <cell r="G131" t="str">
            <v>JERINGAS INSULINA</v>
          </cell>
          <cell r="H131" t="str">
            <v/>
          </cell>
          <cell r="I131" t="str">
            <v>CJX25</v>
          </cell>
          <cell r="J131">
            <v>25</v>
          </cell>
          <cell r="K131">
            <v>1</v>
          </cell>
          <cell r="L131" t="str">
            <v>C</v>
          </cell>
          <cell r="M131">
            <v>397</v>
          </cell>
          <cell r="N131" t="str">
            <v>C</v>
          </cell>
          <cell r="O131">
            <v>392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317</v>
          </cell>
          <cell r="U131">
            <v>50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133.65</v>
          </cell>
          <cell r="AB131">
            <v>167.06</v>
          </cell>
          <cell r="AC131">
            <v>0</v>
          </cell>
          <cell r="AD131">
            <v>167.06</v>
          </cell>
          <cell r="AE131">
            <v>0</v>
          </cell>
          <cell r="AF131">
            <v>2.97</v>
          </cell>
          <cell r="AG131">
            <v>0.8</v>
          </cell>
        </row>
        <row r="132">
          <cell r="B132">
            <v>252100233</v>
          </cell>
          <cell r="C132" t="str">
            <v/>
          </cell>
          <cell r="D132" t="str">
            <v>JERINGA 10 ML 21 x 1 1/2 Marca Diphocare x Und</v>
          </cell>
          <cell r="E132" t="str">
            <v>DIPHOSYC</v>
          </cell>
          <cell r="F132" t="str">
            <v/>
          </cell>
          <cell r="G132" t="str">
            <v>JERINGAS 10ML</v>
          </cell>
          <cell r="H132" t="str">
            <v/>
          </cell>
          <cell r="I132" t="str">
            <v>CJX100</v>
          </cell>
          <cell r="J132">
            <v>100</v>
          </cell>
          <cell r="K132">
            <v>1</v>
          </cell>
          <cell r="L132" t="str">
            <v>C</v>
          </cell>
          <cell r="M132">
            <v>426</v>
          </cell>
          <cell r="N132" t="str">
            <v>C</v>
          </cell>
          <cell r="O132">
            <v>56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238</v>
          </cell>
          <cell r="U132">
            <v>4000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900</v>
          </cell>
          <cell r="AA132">
            <v>3.0825</v>
          </cell>
          <cell r="AB132">
            <v>3.85</v>
          </cell>
          <cell r="AC132">
            <v>0</v>
          </cell>
          <cell r="AD132">
            <v>3.85</v>
          </cell>
          <cell r="AE132">
            <v>0</v>
          </cell>
          <cell r="AF132">
            <v>6.8500000000000005E-2</v>
          </cell>
          <cell r="AG132">
            <v>0.8</v>
          </cell>
        </row>
        <row r="133">
          <cell r="B133">
            <v>252100120</v>
          </cell>
          <cell r="C133" t="str">
            <v/>
          </cell>
          <cell r="D133" t="str">
            <v>JERINGA 20 ML 21 x 1 1/2 Marca Diphocare x Und</v>
          </cell>
          <cell r="E133" t="str">
            <v>DIPHOSYC</v>
          </cell>
          <cell r="F133" t="str">
            <v/>
          </cell>
          <cell r="G133" t="str">
            <v>JERINGAS 20ML</v>
          </cell>
          <cell r="H133" t="str">
            <v/>
          </cell>
          <cell r="I133" t="str">
            <v>CJX50</v>
          </cell>
          <cell r="J133">
            <v>50</v>
          </cell>
          <cell r="K133">
            <v>1</v>
          </cell>
          <cell r="L133" t="str">
            <v>C</v>
          </cell>
          <cell r="M133">
            <v>287</v>
          </cell>
          <cell r="N133" t="str">
            <v>C</v>
          </cell>
          <cell r="O133">
            <v>245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238</v>
          </cell>
          <cell r="U133">
            <v>2650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600</v>
          </cell>
          <cell r="AA133">
            <v>4.6215000000000002</v>
          </cell>
          <cell r="AB133">
            <v>5.78</v>
          </cell>
          <cell r="AC133">
            <v>0</v>
          </cell>
          <cell r="AD133">
            <v>5.78</v>
          </cell>
          <cell r="AE133">
            <v>0</v>
          </cell>
          <cell r="AF133">
            <v>0.1027</v>
          </cell>
          <cell r="AG133">
            <v>0.8</v>
          </cell>
        </row>
        <row r="134">
          <cell r="B134">
            <v>252100306</v>
          </cell>
          <cell r="C134" t="str">
            <v>SY60WN</v>
          </cell>
          <cell r="D134" t="str">
            <v>JERINGA 60 ML CON ROSCA Marca Rospital x Und</v>
          </cell>
          <cell r="E134" t="str">
            <v>ROSPITAL</v>
          </cell>
          <cell r="F134" t="str">
            <v/>
          </cell>
          <cell r="G134" t="str">
            <v>JERINGAS 60ML</v>
          </cell>
          <cell r="H134" t="str">
            <v/>
          </cell>
          <cell r="I134" t="str">
            <v>CJX25</v>
          </cell>
          <cell r="J134">
            <v>25</v>
          </cell>
          <cell r="K134">
            <v>1</v>
          </cell>
          <cell r="L134" t="str">
            <v>C</v>
          </cell>
          <cell r="M134">
            <v>218</v>
          </cell>
          <cell r="N134" t="str">
            <v>B</v>
          </cell>
          <cell r="O134">
            <v>8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25</v>
          </cell>
          <cell r="U134">
            <v>3150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1825</v>
          </cell>
          <cell r="AA134">
            <v>24.3</v>
          </cell>
          <cell r="AB134">
            <v>30.38</v>
          </cell>
          <cell r="AC134">
            <v>0</v>
          </cell>
          <cell r="AD134">
            <v>30.38</v>
          </cell>
          <cell r="AE134">
            <v>0</v>
          </cell>
          <cell r="AF134">
            <v>0.54</v>
          </cell>
          <cell r="AG134">
            <v>0.8</v>
          </cell>
        </row>
        <row r="135">
          <cell r="B135">
            <v>252100502</v>
          </cell>
          <cell r="C135" t="str">
            <v/>
          </cell>
          <cell r="D135" t="str">
            <v>JERINGA 60 ML TIPO TOMMY Marca GROSSMED x Und</v>
          </cell>
          <cell r="E135" t="str">
            <v>GROSSMED</v>
          </cell>
          <cell r="F135" t="str">
            <v/>
          </cell>
          <cell r="G135" t="str">
            <v>JERINGAS TOMMY</v>
          </cell>
          <cell r="H135" t="str">
            <v/>
          </cell>
          <cell r="I135" t="str">
            <v>CJX20</v>
          </cell>
          <cell r="J135">
            <v>1</v>
          </cell>
          <cell r="K135">
            <v>1</v>
          </cell>
          <cell r="L135" t="str">
            <v>C</v>
          </cell>
          <cell r="M135">
            <v>239</v>
          </cell>
          <cell r="N135" t="str">
            <v>C</v>
          </cell>
          <cell r="O135">
            <v>85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5</v>
          </cell>
          <cell r="U135">
            <v>420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141</v>
          </cell>
          <cell r="AA135">
            <v>19.350000000000001</v>
          </cell>
          <cell r="AB135">
            <v>27.64</v>
          </cell>
          <cell r="AC135">
            <v>0</v>
          </cell>
          <cell r="AD135">
            <v>27.64</v>
          </cell>
          <cell r="AE135">
            <v>0</v>
          </cell>
          <cell r="AF135">
            <v>0.43</v>
          </cell>
          <cell r="AG135">
            <v>0.7</v>
          </cell>
        </row>
        <row r="136">
          <cell r="B136">
            <v>252100503</v>
          </cell>
          <cell r="C136" t="str">
            <v/>
          </cell>
          <cell r="D136" t="str">
            <v>JERINGA DE ASEPTO BULBO Marca Amsino (REF.AS011) x Und</v>
          </cell>
          <cell r="E136" t="str">
            <v>AMSINO</v>
          </cell>
          <cell r="F136" t="str">
            <v/>
          </cell>
          <cell r="G136" t="str">
            <v/>
          </cell>
          <cell r="H136" t="str">
            <v/>
          </cell>
          <cell r="I136" t="str">
            <v>CJX50</v>
          </cell>
          <cell r="J136">
            <v>1</v>
          </cell>
          <cell r="K136">
            <v>1</v>
          </cell>
          <cell r="L136" t="str">
            <v>C</v>
          </cell>
          <cell r="M136">
            <v>22</v>
          </cell>
          <cell r="N136" t="str">
            <v>C</v>
          </cell>
          <cell r="O136">
            <v>173</v>
          </cell>
          <cell r="P136">
            <v>0</v>
          </cell>
          <cell r="Q136">
            <v>100</v>
          </cell>
          <cell r="R136">
            <v>100</v>
          </cell>
          <cell r="S136">
            <v>0</v>
          </cell>
          <cell r="T136">
            <v>5</v>
          </cell>
          <cell r="U136">
            <v>357</v>
          </cell>
          <cell r="V136">
            <v>0</v>
          </cell>
          <cell r="W136">
            <v>0</v>
          </cell>
          <cell r="X136">
            <v>0</v>
          </cell>
          <cell r="Y136">
            <v>200</v>
          </cell>
          <cell r="Z136">
            <v>200</v>
          </cell>
          <cell r="AA136">
            <v>63.45</v>
          </cell>
          <cell r="AB136">
            <v>105.75</v>
          </cell>
          <cell r="AC136">
            <v>0</v>
          </cell>
          <cell r="AD136">
            <v>105.75</v>
          </cell>
          <cell r="AE136">
            <v>0</v>
          </cell>
          <cell r="AF136">
            <v>1.41</v>
          </cell>
          <cell r="AG136">
            <v>0.6</v>
          </cell>
        </row>
        <row r="137">
          <cell r="B137">
            <v>252100129</v>
          </cell>
          <cell r="C137" t="str">
            <v/>
          </cell>
          <cell r="D137" t="str">
            <v>JERINGA INSULINA 1 ML 27G x 1/2G Marca Diphocare^Presentación caja x 100 Unds.</v>
          </cell>
          <cell r="E137" t="str">
            <v>DIPHOSYC</v>
          </cell>
          <cell r="F137" t="str">
            <v/>
          </cell>
          <cell r="G137" t="str">
            <v>JERINGAS VIDRIO</v>
          </cell>
          <cell r="H137" t="str">
            <v/>
          </cell>
          <cell r="I137" t="str">
            <v>CJX100</v>
          </cell>
          <cell r="J137">
            <v>100</v>
          </cell>
          <cell r="K137">
            <v>1</v>
          </cell>
          <cell r="L137" t="str">
            <v>C</v>
          </cell>
          <cell r="M137">
            <v>396</v>
          </cell>
          <cell r="N137" t="str">
            <v>C</v>
          </cell>
          <cell r="O137">
            <v>255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154</v>
          </cell>
          <cell r="U137">
            <v>1800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1300</v>
          </cell>
          <cell r="AA137">
            <v>1.9215</v>
          </cell>
          <cell r="AB137">
            <v>2.4</v>
          </cell>
          <cell r="AC137">
            <v>0</v>
          </cell>
          <cell r="AD137">
            <v>2.4</v>
          </cell>
          <cell r="AE137">
            <v>0</v>
          </cell>
          <cell r="AF137">
            <v>4.2700000000000002E-2</v>
          </cell>
          <cell r="AG137">
            <v>0.8</v>
          </cell>
        </row>
        <row r="138">
          <cell r="B138">
            <v>242351202</v>
          </cell>
          <cell r="C138" t="str">
            <v/>
          </cell>
          <cell r="D138" t="str">
            <v>KIT DE PIERNERAS Marca Medic-Art x Par</v>
          </cell>
          <cell r="E138" t="str">
            <v>MEDIC-ART</v>
          </cell>
          <cell r="F138" t="str">
            <v/>
          </cell>
          <cell r="G138" t="str">
            <v/>
          </cell>
          <cell r="H138" t="str">
            <v/>
          </cell>
          <cell r="I138" t="str">
            <v>BTOX50</v>
          </cell>
          <cell r="J138">
            <v>1</v>
          </cell>
          <cell r="K138">
            <v>1</v>
          </cell>
          <cell r="L138" t="str">
            <v>C</v>
          </cell>
          <cell r="M138">
            <v>384</v>
          </cell>
          <cell r="N138" t="str">
            <v>C</v>
          </cell>
          <cell r="O138">
            <v>283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5</v>
          </cell>
          <cell r="U138">
            <v>54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100</v>
          </cell>
          <cell r="AA138">
            <v>96.3</v>
          </cell>
          <cell r="AB138">
            <v>128.4</v>
          </cell>
          <cell r="AC138">
            <v>0</v>
          </cell>
          <cell r="AD138">
            <v>128.4</v>
          </cell>
          <cell r="AE138">
            <v>0</v>
          </cell>
          <cell r="AF138">
            <v>2.14</v>
          </cell>
          <cell r="AG138">
            <v>0.75</v>
          </cell>
        </row>
        <row r="139">
          <cell r="B139">
            <v>242460114</v>
          </cell>
          <cell r="C139" t="str">
            <v/>
          </cell>
          <cell r="D139" t="str">
            <v>KIT p/ PACIENTE ( Bata-Gorro-C Bota) (Tela SMS 40grs) Marca Dexx Medical x Und</v>
          </cell>
          <cell r="E139" t="str">
            <v>SERIS</v>
          </cell>
          <cell r="F139" t="str">
            <v/>
          </cell>
          <cell r="G139" t="str">
            <v>LENCERIA KIT DE PACIENTE</v>
          </cell>
          <cell r="H139" t="str">
            <v/>
          </cell>
          <cell r="I139" t="str">
            <v>BTOX50</v>
          </cell>
          <cell r="J139">
            <v>1</v>
          </cell>
          <cell r="K139">
            <v>1</v>
          </cell>
          <cell r="L139" t="str">
            <v>C</v>
          </cell>
          <cell r="M139">
            <v>213</v>
          </cell>
          <cell r="N139" t="str">
            <v>C</v>
          </cell>
          <cell r="O139">
            <v>107</v>
          </cell>
          <cell r="P139">
            <v>0</v>
          </cell>
          <cell r="Q139">
            <v>1</v>
          </cell>
          <cell r="R139">
            <v>1</v>
          </cell>
          <cell r="S139">
            <v>0</v>
          </cell>
          <cell r="T139">
            <v>241</v>
          </cell>
          <cell r="U139">
            <v>184</v>
          </cell>
          <cell r="V139">
            <v>0</v>
          </cell>
          <cell r="W139">
            <v>0</v>
          </cell>
          <cell r="X139">
            <v>0</v>
          </cell>
          <cell r="Y139">
            <v>1</v>
          </cell>
          <cell r="Z139">
            <v>2500</v>
          </cell>
          <cell r="AA139">
            <v>31.05</v>
          </cell>
          <cell r="AB139">
            <v>38.81</v>
          </cell>
          <cell r="AC139">
            <v>0</v>
          </cell>
          <cell r="AD139">
            <v>38.81</v>
          </cell>
          <cell r="AE139">
            <v>0</v>
          </cell>
          <cell r="AF139">
            <v>0.69</v>
          </cell>
          <cell r="AG139">
            <v>0.8</v>
          </cell>
        </row>
        <row r="140">
          <cell r="B140">
            <v>242450106</v>
          </cell>
          <cell r="C140" t="str">
            <v>E2608-6</v>
          </cell>
          <cell r="D140" t="str">
            <v>LAPIZ SUCCION COAGULACION (Ref. E2608-6)  Marca Covidien x Und</v>
          </cell>
          <cell r="E140" t="str">
            <v>COVIDIEN</v>
          </cell>
          <cell r="F140" t="str">
            <v/>
          </cell>
          <cell r="G140" t="str">
            <v/>
          </cell>
          <cell r="H140" t="str">
            <v/>
          </cell>
          <cell r="I140" t="str">
            <v>UND</v>
          </cell>
          <cell r="J140">
            <v>1</v>
          </cell>
          <cell r="K140">
            <v>1</v>
          </cell>
          <cell r="L140" t="str">
            <v>C</v>
          </cell>
          <cell r="M140">
            <v>148</v>
          </cell>
          <cell r="N140" t="str">
            <v>C</v>
          </cell>
          <cell r="O140">
            <v>136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209</v>
          </cell>
          <cell r="U140">
            <v>26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30</v>
          </cell>
          <cell r="AA140">
            <v>562.5</v>
          </cell>
          <cell r="AB140">
            <v>937.5</v>
          </cell>
          <cell r="AC140">
            <v>0</v>
          </cell>
          <cell r="AD140">
            <v>937.5</v>
          </cell>
          <cell r="AE140">
            <v>0</v>
          </cell>
          <cell r="AF140">
            <v>12.5</v>
          </cell>
          <cell r="AG140">
            <v>0.6</v>
          </cell>
        </row>
        <row r="141">
          <cell r="B141">
            <v>242000502</v>
          </cell>
          <cell r="C141" t="str">
            <v/>
          </cell>
          <cell r="D141" t="str">
            <v>LLAVE DE TRES VIAS Marca DIPHOCARE x Und./\Presentacion Caja x 50 Unds.</v>
          </cell>
          <cell r="E141" t="str">
            <v>DIPHOSYC</v>
          </cell>
          <cell r="F141" t="str">
            <v/>
          </cell>
          <cell r="G141" t="str">
            <v>LLAVE LLAVES</v>
          </cell>
          <cell r="H141" t="str">
            <v/>
          </cell>
          <cell r="I141" t="str">
            <v>CJX50</v>
          </cell>
          <cell r="J141">
            <v>1</v>
          </cell>
          <cell r="K141">
            <v>1</v>
          </cell>
          <cell r="L141" t="str">
            <v>C</v>
          </cell>
          <cell r="M141">
            <v>277</v>
          </cell>
          <cell r="N141" t="str">
            <v>C</v>
          </cell>
          <cell r="O141">
            <v>54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115</v>
          </cell>
          <cell r="U141">
            <v>2000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900</v>
          </cell>
          <cell r="AA141">
            <v>7.65</v>
          </cell>
          <cell r="AB141">
            <v>12.75</v>
          </cell>
          <cell r="AC141">
            <v>0</v>
          </cell>
          <cell r="AD141">
            <v>12.75</v>
          </cell>
          <cell r="AE141">
            <v>0</v>
          </cell>
          <cell r="AF141">
            <v>0.17</v>
          </cell>
          <cell r="AG141">
            <v>0.60009999999999997</v>
          </cell>
        </row>
        <row r="142">
          <cell r="B142">
            <v>242001308</v>
          </cell>
          <cell r="C142" t="str">
            <v>DYNDTN1512</v>
          </cell>
          <cell r="D142" t="str">
            <v>MACROGOTERO 2 PUNTOS LIBRE DE AGUJA MEDLINE  x Und</v>
          </cell>
          <cell r="E142" t="str">
            <v>MEDLINE</v>
          </cell>
          <cell r="F142" t="str">
            <v/>
          </cell>
          <cell r="G142" t="str">
            <v/>
          </cell>
          <cell r="H142" t="str">
            <v/>
          </cell>
          <cell r="I142" t="str">
            <v>CJX50</v>
          </cell>
          <cell r="J142">
            <v>1</v>
          </cell>
          <cell r="K142">
            <v>1</v>
          </cell>
          <cell r="L142" t="str">
            <v>C</v>
          </cell>
          <cell r="M142">
            <v>141</v>
          </cell>
          <cell r="N142" t="str">
            <v>A</v>
          </cell>
          <cell r="O142">
            <v>4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5</v>
          </cell>
          <cell r="U142">
            <v>4220</v>
          </cell>
          <cell r="V142">
            <v>0</v>
          </cell>
          <cell r="W142">
            <v>1300</v>
          </cell>
          <cell r="X142">
            <v>0</v>
          </cell>
          <cell r="Y142">
            <v>0</v>
          </cell>
          <cell r="Z142">
            <v>2886</v>
          </cell>
          <cell r="AA142">
            <v>138.9375</v>
          </cell>
          <cell r="AB142">
            <v>173.67</v>
          </cell>
          <cell r="AC142">
            <v>0</v>
          </cell>
          <cell r="AD142">
            <v>173.67</v>
          </cell>
          <cell r="AE142">
            <v>0</v>
          </cell>
          <cell r="AF142">
            <v>3.0874999999999999</v>
          </cell>
          <cell r="AG142">
            <v>0.8</v>
          </cell>
        </row>
        <row r="143">
          <cell r="B143">
            <v>242000207</v>
          </cell>
          <cell r="C143" t="str">
            <v>S/REF</v>
          </cell>
          <cell r="D143" t="str">
            <v>MACROGOTERO EN Y Marca Grossmed x Und</v>
          </cell>
          <cell r="E143" t="str">
            <v>GROSSMED</v>
          </cell>
          <cell r="F143" t="str">
            <v/>
          </cell>
          <cell r="G143" t="str">
            <v/>
          </cell>
          <cell r="H143" t="str">
            <v/>
          </cell>
          <cell r="I143" t="str">
            <v>CJX25</v>
          </cell>
          <cell r="J143">
            <v>25</v>
          </cell>
          <cell r="K143">
            <v>1</v>
          </cell>
          <cell r="L143" t="str">
            <v>C</v>
          </cell>
          <cell r="M143">
            <v>323</v>
          </cell>
          <cell r="N143" t="str">
            <v>C</v>
          </cell>
          <cell r="O143">
            <v>86</v>
          </cell>
          <cell r="P143">
            <v>0</v>
          </cell>
          <cell r="Q143">
            <v>3500</v>
          </cell>
          <cell r="R143">
            <v>3500</v>
          </cell>
          <cell r="S143">
            <v>0</v>
          </cell>
          <cell r="T143">
            <v>5</v>
          </cell>
          <cell r="U143">
            <v>1875</v>
          </cell>
          <cell r="V143">
            <v>0</v>
          </cell>
          <cell r="W143">
            <v>0</v>
          </cell>
          <cell r="X143">
            <v>0</v>
          </cell>
          <cell r="Y143">
            <v>3500</v>
          </cell>
          <cell r="Z143">
            <v>3500</v>
          </cell>
          <cell r="AA143">
            <v>8.5500000000000007</v>
          </cell>
          <cell r="AB143">
            <v>10.69</v>
          </cell>
          <cell r="AC143">
            <v>0</v>
          </cell>
          <cell r="AD143">
            <v>10.69</v>
          </cell>
          <cell r="AE143">
            <v>0</v>
          </cell>
          <cell r="AF143">
            <v>0.19</v>
          </cell>
          <cell r="AG143">
            <v>0.8</v>
          </cell>
        </row>
        <row r="144">
          <cell r="B144">
            <v>243050101</v>
          </cell>
          <cell r="C144" t="str">
            <v>1682</v>
          </cell>
          <cell r="D144" t="str">
            <v>MANGUERA CORRUGADA Marca Huddson x 30 Metros</v>
          </cell>
          <cell r="E144" t="str">
            <v>HUDDSON</v>
          </cell>
          <cell r="F144" t="str">
            <v/>
          </cell>
          <cell r="G144" t="str">
            <v>MANGUERAS SUCCION 30MTS</v>
          </cell>
          <cell r="H144" t="str">
            <v/>
          </cell>
          <cell r="I144" t="str">
            <v>CJX30</v>
          </cell>
          <cell r="J144">
            <v>1</v>
          </cell>
          <cell r="K144">
            <v>1</v>
          </cell>
          <cell r="L144" t="str">
            <v>C</v>
          </cell>
          <cell r="M144">
            <v>211</v>
          </cell>
          <cell r="N144" t="str">
            <v>C</v>
          </cell>
          <cell r="O144">
            <v>116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5</v>
          </cell>
          <cell r="U144">
            <v>157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1680</v>
          </cell>
          <cell r="AA144">
            <v>1605.6</v>
          </cell>
          <cell r="AB144">
            <v>2140.8000000000002</v>
          </cell>
          <cell r="AC144">
            <v>0</v>
          </cell>
          <cell r="AD144">
            <v>2140.8000000000002</v>
          </cell>
          <cell r="AE144">
            <v>0</v>
          </cell>
          <cell r="AF144">
            <v>35.68</v>
          </cell>
          <cell r="AG144">
            <v>0.75</v>
          </cell>
        </row>
        <row r="145">
          <cell r="B145">
            <v>250600304</v>
          </cell>
          <cell r="C145" t="str">
            <v/>
          </cell>
          <cell r="D145" t="str">
            <v>MANGUERA NO CONDUCTIVA 6.35mm x 3.05 Mts. (Goma de Succion) - Marca Amsino</v>
          </cell>
          <cell r="E145" t="str">
            <v>CARDINAL HEALTH</v>
          </cell>
          <cell r="F145" t="str">
            <v/>
          </cell>
          <cell r="G145" t="str">
            <v/>
          </cell>
          <cell r="H145" t="str">
            <v/>
          </cell>
          <cell r="I145" t="str">
            <v>UND</v>
          </cell>
          <cell r="J145">
            <v>1</v>
          </cell>
          <cell r="K145">
            <v>1</v>
          </cell>
          <cell r="L145" t="str">
            <v>C</v>
          </cell>
          <cell r="M145">
            <v>304</v>
          </cell>
          <cell r="N145" t="str">
            <v>C</v>
          </cell>
          <cell r="O145">
            <v>258</v>
          </cell>
          <cell r="P145">
            <v>0</v>
          </cell>
          <cell r="Q145">
            <v>1</v>
          </cell>
          <cell r="R145">
            <v>1</v>
          </cell>
          <cell r="S145">
            <v>0</v>
          </cell>
          <cell r="T145">
            <v>257</v>
          </cell>
          <cell r="U145">
            <v>31</v>
          </cell>
          <cell r="V145">
            <v>0</v>
          </cell>
          <cell r="W145">
            <v>0</v>
          </cell>
          <cell r="X145">
            <v>0</v>
          </cell>
          <cell r="Y145">
            <v>1</v>
          </cell>
          <cell r="Z145">
            <v>3</v>
          </cell>
          <cell r="AA145">
            <v>140.73750000000001</v>
          </cell>
          <cell r="AB145">
            <v>187.65</v>
          </cell>
          <cell r="AC145">
            <v>0</v>
          </cell>
          <cell r="AD145">
            <v>187.65</v>
          </cell>
          <cell r="AE145">
            <v>0</v>
          </cell>
          <cell r="AF145">
            <v>3.1274999999999999</v>
          </cell>
          <cell r="AG145">
            <v>0.75</v>
          </cell>
        </row>
        <row r="146">
          <cell r="B146">
            <v>250600301</v>
          </cell>
          <cell r="C146" t="str">
            <v/>
          </cell>
          <cell r="D146" t="str">
            <v>MANGUERA NO CONDUCTIVA 7mm x 30 Mts./\(Goma de Succion - Precortado 1.8 Mts. C/ Conect.</v>
          </cell>
          <cell r="E146" t="str">
            <v>MCKESSON</v>
          </cell>
          <cell r="F146" t="str">
            <v/>
          </cell>
          <cell r="G146" t="str">
            <v>MANGUERAS SUCCION 30MTS</v>
          </cell>
          <cell r="H146" t="str">
            <v/>
          </cell>
          <cell r="I146" t="str">
            <v>UND</v>
          </cell>
          <cell r="J146">
            <v>1</v>
          </cell>
          <cell r="K146">
            <v>1</v>
          </cell>
          <cell r="L146" t="str">
            <v>C</v>
          </cell>
          <cell r="M146">
            <v>156</v>
          </cell>
          <cell r="N146" t="str">
            <v>C</v>
          </cell>
          <cell r="O146">
            <v>78</v>
          </cell>
          <cell r="P146">
            <v>0</v>
          </cell>
          <cell r="Q146">
            <v>1</v>
          </cell>
          <cell r="R146">
            <v>1</v>
          </cell>
          <cell r="S146">
            <v>0</v>
          </cell>
          <cell r="T146">
            <v>5</v>
          </cell>
          <cell r="U146">
            <v>81</v>
          </cell>
          <cell r="V146">
            <v>0</v>
          </cell>
          <cell r="W146">
            <v>6</v>
          </cell>
          <cell r="X146">
            <v>0</v>
          </cell>
          <cell r="Y146">
            <v>4</v>
          </cell>
          <cell r="Z146">
            <v>103</v>
          </cell>
          <cell r="AA146">
            <v>772.2</v>
          </cell>
          <cell r="AB146">
            <v>1029.5999999999999</v>
          </cell>
          <cell r="AC146">
            <v>0</v>
          </cell>
          <cell r="AD146">
            <v>1029.5999999999999</v>
          </cell>
          <cell r="AE146">
            <v>0</v>
          </cell>
          <cell r="AF146">
            <v>17.16</v>
          </cell>
          <cell r="AG146">
            <v>0.75</v>
          </cell>
        </row>
        <row r="147">
          <cell r="B147">
            <v>242350213</v>
          </cell>
          <cell r="C147" t="str">
            <v/>
          </cell>
          <cell r="D147" t="str">
            <v>MANOPLAS x Und</v>
          </cell>
          <cell r="E147" t="str">
            <v>DIASI</v>
          </cell>
          <cell r="F147" t="str">
            <v/>
          </cell>
          <cell r="G147" t="str">
            <v>LENCERIA MANOPLAS</v>
          </cell>
          <cell r="H147" t="str">
            <v/>
          </cell>
          <cell r="I147" t="str">
            <v>BTOX50</v>
          </cell>
          <cell r="J147">
            <v>1</v>
          </cell>
          <cell r="K147">
            <v>0</v>
          </cell>
          <cell r="L147" t="str">
            <v>C</v>
          </cell>
          <cell r="M147">
            <v>24</v>
          </cell>
          <cell r="N147" t="str">
            <v>C</v>
          </cell>
          <cell r="O147">
            <v>73</v>
          </cell>
          <cell r="P147">
            <v>0</v>
          </cell>
          <cell r="Q147">
            <v>20</v>
          </cell>
          <cell r="R147">
            <v>20</v>
          </cell>
          <cell r="S147">
            <v>0</v>
          </cell>
          <cell r="T147">
            <v>5</v>
          </cell>
          <cell r="U147">
            <v>4311</v>
          </cell>
          <cell r="V147">
            <v>0</v>
          </cell>
          <cell r="W147">
            <v>0</v>
          </cell>
          <cell r="X147">
            <v>0</v>
          </cell>
          <cell r="Y147">
            <v>20</v>
          </cell>
          <cell r="Z147">
            <v>2400</v>
          </cell>
          <cell r="AA147">
            <v>31.5</v>
          </cell>
          <cell r="AB147">
            <v>48.46</v>
          </cell>
          <cell r="AC147">
            <v>0</v>
          </cell>
          <cell r="AD147">
            <v>48.46</v>
          </cell>
          <cell r="AE147">
            <v>0</v>
          </cell>
          <cell r="AF147">
            <v>0.7</v>
          </cell>
          <cell r="AG147">
            <v>0.65</v>
          </cell>
        </row>
        <row r="148">
          <cell r="B148">
            <v>240650106</v>
          </cell>
          <cell r="C148" t="str">
            <v>DYNJSM01</v>
          </cell>
          <cell r="D148" t="str">
            <v>MARCADOR QUIRURGICO CON REGLA MEDLINE (REF.DYNJSM01) x Und</v>
          </cell>
          <cell r="E148" t="str">
            <v>MEDLINE</v>
          </cell>
          <cell r="F148" t="str">
            <v/>
          </cell>
          <cell r="G148" t="str">
            <v>MARCADOR QUIRURGICO MARCADOR QUIRURGICO</v>
          </cell>
          <cell r="H148" t="str">
            <v/>
          </cell>
          <cell r="I148" t="str">
            <v>CJX50</v>
          </cell>
          <cell r="J148">
            <v>1</v>
          </cell>
          <cell r="K148">
            <v>1</v>
          </cell>
          <cell r="L148" t="str">
            <v>C</v>
          </cell>
          <cell r="M148">
            <v>64</v>
          </cell>
          <cell r="N148" t="str">
            <v>C</v>
          </cell>
          <cell r="O148">
            <v>96</v>
          </cell>
          <cell r="P148">
            <v>0</v>
          </cell>
          <cell r="Q148">
            <v>486</v>
          </cell>
          <cell r="R148">
            <v>486</v>
          </cell>
          <cell r="S148">
            <v>0</v>
          </cell>
          <cell r="T148">
            <v>219</v>
          </cell>
          <cell r="U148">
            <v>860</v>
          </cell>
          <cell r="V148">
            <v>0</v>
          </cell>
          <cell r="W148">
            <v>0</v>
          </cell>
          <cell r="X148">
            <v>0</v>
          </cell>
          <cell r="Y148">
            <v>910</v>
          </cell>
          <cell r="Z148">
            <v>910</v>
          </cell>
          <cell r="AA148">
            <v>41.625</v>
          </cell>
          <cell r="AB148">
            <v>69.38</v>
          </cell>
          <cell r="AC148">
            <v>0</v>
          </cell>
          <cell r="AD148">
            <v>69.38</v>
          </cell>
          <cell r="AE148">
            <v>0</v>
          </cell>
          <cell r="AF148">
            <v>0.92500000000000004</v>
          </cell>
          <cell r="AG148">
            <v>0.6</v>
          </cell>
        </row>
        <row r="149">
          <cell r="B149">
            <v>240650207</v>
          </cell>
          <cell r="C149" t="str">
            <v/>
          </cell>
          <cell r="D149" t="str">
            <v>MARCADOR QUIRURGICO MINI SIN REGLA MC KENSSON (REF.19-1451) x Und</v>
          </cell>
          <cell r="E149" t="str">
            <v>MC KESSON</v>
          </cell>
          <cell r="F149" t="str">
            <v/>
          </cell>
          <cell r="G149" t="str">
            <v/>
          </cell>
          <cell r="H149" t="str">
            <v/>
          </cell>
          <cell r="I149" t="str">
            <v>CJX50</v>
          </cell>
          <cell r="J149">
            <v>1</v>
          </cell>
          <cell r="K149">
            <v>1</v>
          </cell>
          <cell r="L149" t="str">
            <v>C</v>
          </cell>
          <cell r="M149">
            <v>223</v>
          </cell>
          <cell r="N149" t="str">
            <v>C</v>
          </cell>
          <cell r="O149">
            <v>87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162</v>
          </cell>
          <cell r="U149">
            <v>291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190</v>
          </cell>
          <cell r="AA149">
            <v>29.25</v>
          </cell>
          <cell r="AB149">
            <v>30.79</v>
          </cell>
          <cell r="AC149">
            <v>0</v>
          </cell>
          <cell r="AD149">
            <v>30.79</v>
          </cell>
          <cell r="AE149">
            <v>0</v>
          </cell>
          <cell r="AF149">
            <v>0.65</v>
          </cell>
          <cell r="AG149">
            <v>0.95</v>
          </cell>
        </row>
        <row r="150">
          <cell r="B150">
            <v>243201204</v>
          </cell>
          <cell r="C150" t="str">
            <v>HCS4630</v>
          </cell>
          <cell r="D150" t="str">
            <v>MASCARA AEROSOL Marca medline x Und</v>
          </cell>
          <cell r="E150" t="str">
            <v>MEDLINE</v>
          </cell>
          <cell r="F150" t="str">
            <v/>
          </cell>
          <cell r="G150" t="str">
            <v>MASCARAS MICRO NEB ADULTO</v>
          </cell>
          <cell r="H150" t="str">
            <v/>
          </cell>
          <cell r="I150" t="str">
            <v>CJX50</v>
          </cell>
          <cell r="J150">
            <v>1</v>
          </cell>
          <cell r="K150">
            <v>1</v>
          </cell>
          <cell r="L150" t="str">
            <v>C</v>
          </cell>
          <cell r="M150">
            <v>381</v>
          </cell>
          <cell r="N150" t="str">
            <v>C</v>
          </cell>
          <cell r="O150">
            <v>226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5</v>
          </cell>
          <cell r="U150">
            <v>1136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1700</v>
          </cell>
          <cell r="AA150">
            <v>72</v>
          </cell>
          <cell r="AB150">
            <v>102.86</v>
          </cell>
          <cell r="AC150">
            <v>0</v>
          </cell>
          <cell r="AD150">
            <v>102.86</v>
          </cell>
          <cell r="AE150">
            <v>0</v>
          </cell>
          <cell r="AF150">
            <v>1.6</v>
          </cell>
          <cell r="AG150">
            <v>0.7</v>
          </cell>
        </row>
        <row r="151">
          <cell r="B151">
            <v>243050903</v>
          </cell>
          <cell r="C151" t="str">
            <v>HCS4640B</v>
          </cell>
          <cell r="D151" t="str">
            <v>MASCARA DE OXIGENO ADULTO C/RESERVORIO Marca Medline (Ref.HCS4640B) x Und</v>
          </cell>
          <cell r="E151" t="str">
            <v>MEDLINE</v>
          </cell>
          <cell r="F151" t="str">
            <v/>
          </cell>
          <cell r="G151" t="str">
            <v/>
          </cell>
          <cell r="H151" t="str">
            <v/>
          </cell>
          <cell r="I151" t="str">
            <v>CJX50</v>
          </cell>
          <cell r="J151">
            <v>1</v>
          </cell>
          <cell r="K151">
            <v>1</v>
          </cell>
          <cell r="L151" t="str">
            <v>C</v>
          </cell>
          <cell r="M151">
            <v>280</v>
          </cell>
          <cell r="N151" t="str">
            <v>C</v>
          </cell>
          <cell r="O151">
            <v>105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5</v>
          </cell>
          <cell r="U151">
            <v>853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100</v>
          </cell>
          <cell r="AA151">
            <v>88.65</v>
          </cell>
          <cell r="AB151">
            <v>126.64</v>
          </cell>
          <cell r="AC151">
            <v>0</v>
          </cell>
          <cell r="AD151">
            <v>126.64</v>
          </cell>
          <cell r="AE151">
            <v>0</v>
          </cell>
          <cell r="AF151">
            <v>1.97</v>
          </cell>
          <cell r="AG151">
            <v>0.7</v>
          </cell>
        </row>
        <row r="152">
          <cell r="B152">
            <v>243050403</v>
          </cell>
          <cell r="C152" t="str">
            <v>HCS4600B</v>
          </cell>
          <cell r="D152" t="str">
            <v>MASCARA DE OXIGENO ADULTO MEDLINE (Ref.HCS4600B) x Und</v>
          </cell>
          <cell r="E152" t="str">
            <v>MEDLINE</v>
          </cell>
          <cell r="F152" t="str">
            <v/>
          </cell>
          <cell r="G152" t="str">
            <v/>
          </cell>
          <cell r="H152" t="str">
            <v/>
          </cell>
          <cell r="I152" t="str">
            <v>CJX50</v>
          </cell>
          <cell r="J152">
            <v>1</v>
          </cell>
          <cell r="K152">
            <v>1</v>
          </cell>
          <cell r="L152" t="str">
            <v>C</v>
          </cell>
          <cell r="M152">
            <v>38</v>
          </cell>
          <cell r="N152" t="str">
            <v>C</v>
          </cell>
          <cell r="O152">
            <v>46</v>
          </cell>
          <cell r="P152">
            <v>0</v>
          </cell>
          <cell r="Q152">
            <v>450</v>
          </cell>
          <cell r="R152">
            <v>450</v>
          </cell>
          <cell r="S152">
            <v>0</v>
          </cell>
          <cell r="T152">
            <v>5</v>
          </cell>
          <cell r="U152">
            <v>2394</v>
          </cell>
          <cell r="V152">
            <v>0</v>
          </cell>
          <cell r="W152">
            <v>0</v>
          </cell>
          <cell r="X152">
            <v>0</v>
          </cell>
          <cell r="Y152">
            <v>800</v>
          </cell>
          <cell r="Z152">
            <v>800</v>
          </cell>
          <cell r="AA152">
            <v>85.5</v>
          </cell>
          <cell r="AB152">
            <v>122.14</v>
          </cell>
          <cell r="AC152">
            <v>0</v>
          </cell>
          <cell r="AD152">
            <v>122.14</v>
          </cell>
          <cell r="AE152">
            <v>0</v>
          </cell>
          <cell r="AF152">
            <v>1.9</v>
          </cell>
          <cell r="AG152">
            <v>0.7</v>
          </cell>
        </row>
        <row r="153">
          <cell r="B153">
            <v>243050410</v>
          </cell>
          <cell r="C153" t="str">
            <v>REF HCSU12</v>
          </cell>
          <cell r="D153" t="str">
            <v>MASCARA DE VENTURY ADULTO CON 6 VALVULAS (REF.HCSU120E) MEDLINEx Und</v>
          </cell>
          <cell r="E153" t="str">
            <v>MEDLINE</v>
          </cell>
          <cell r="F153" t="str">
            <v/>
          </cell>
          <cell r="G153" t="str">
            <v/>
          </cell>
          <cell r="H153" t="str">
            <v/>
          </cell>
          <cell r="I153" t="str">
            <v>UND</v>
          </cell>
          <cell r="J153">
            <v>1</v>
          </cell>
          <cell r="K153">
            <v>1</v>
          </cell>
          <cell r="L153" t="str">
            <v>C</v>
          </cell>
          <cell r="M153">
            <v>265</v>
          </cell>
          <cell r="N153" t="str">
            <v>C</v>
          </cell>
          <cell r="O153">
            <v>169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5</v>
          </cell>
          <cell r="U153">
            <v>149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1</v>
          </cell>
          <cell r="AA153">
            <v>108</v>
          </cell>
          <cell r="AB153">
            <v>154.29</v>
          </cell>
          <cell r="AC153">
            <v>0</v>
          </cell>
          <cell r="AD153">
            <v>154.29</v>
          </cell>
          <cell r="AE153">
            <v>0</v>
          </cell>
          <cell r="AF153">
            <v>2.4</v>
          </cell>
          <cell r="AG153">
            <v>0.7</v>
          </cell>
        </row>
        <row r="154">
          <cell r="B154">
            <v>263050210</v>
          </cell>
          <cell r="C154" t="str">
            <v>263050210</v>
          </cell>
          <cell r="D154" t="str">
            <v>MASCARA DE VENTURY CON 6 VALVULAS  MEDEXx Und</v>
          </cell>
          <cell r="E154" t="str">
            <v>MEDEX</v>
          </cell>
          <cell r="F154" t="str">
            <v/>
          </cell>
          <cell r="G154" t="str">
            <v/>
          </cell>
          <cell r="H154" t="str">
            <v/>
          </cell>
          <cell r="I154" t="str">
            <v>BTOX50</v>
          </cell>
          <cell r="J154">
            <v>1</v>
          </cell>
          <cell r="K154">
            <v>1</v>
          </cell>
          <cell r="L154" t="str">
            <v>C</v>
          </cell>
          <cell r="M154">
            <v>418</v>
          </cell>
          <cell r="N154" t="str">
            <v>C</v>
          </cell>
          <cell r="O154">
            <v>184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5</v>
          </cell>
          <cell r="U154">
            <v>10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108</v>
          </cell>
          <cell r="AB154">
            <v>154.29</v>
          </cell>
          <cell r="AC154">
            <v>0</v>
          </cell>
          <cell r="AD154">
            <v>154.29</v>
          </cell>
          <cell r="AE154">
            <v>0</v>
          </cell>
          <cell r="AF154">
            <v>2.4</v>
          </cell>
          <cell r="AG154">
            <v>0.7</v>
          </cell>
        </row>
        <row r="155">
          <cell r="B155">
            <v>243050208</v>
          </cell>
          <cell r="C155" t="str">
            <v/>
          </cell>
          <cell r="D155" t="str">
            <v>MASCARILLA 2 LIGAS Marca Mc Medical x Und./\Presentacion Bulto x 50 Unds.</v>
          </cell>
          <cell r="E155" t="str">
            <v>DIPHOSYC</v>
          </cell>
          <cell r="F155" t="str">
            <v/>
          </cell>
          <cell r="G155" t="str">
            <v>MASCARILLAS TAPA BOCA</v>
          </cell>
          <cell r="H155" t="str">
            <v/>
          </cell>
          <cell r="I155" t="str">
            <v>CJX50</v>
          </cell>
          <cell r="J155">
            <v>50</v>
          </cell>
          <cell r="K155">
            <v>1</v>
          </cell>
          <cell r="L155" t="str">
            <v>C</v>
          </cell>
          <cell r="M155">
            <v>310</v>
          </cell>
          <cell r="N155" t="str">
            <v>C</v>
          </cell>
          <cell r="O155">
            <v>102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235</v>
          </cell>
          <cell r="U155">
            <v>4050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3000</v>
          </cell>
          <cell r="AA155">
            <v>1.26</v>
          </cell>
          <cell r="AB155">
            <v>1.8</v>
          </cell>
          <cell r="AC155">
            <v>0</v>
          </cell>
          <cell r="AD155">
            <v>1.8</v>
          </cell>
          <cell r="AE155">
            <v>0</v>
          </cell>
          <cell r="AF155">
            <v>2.8000000000000001E-2</v>
          </cell>
          <cell r="AG155">
            <v>0.7</v>
          </cell>
        </row>
        <row r="156">
          <cell r="B156">
            <v>243050218</v>
          </cell>
          <cell r="C156" t="str">
            <v/>
          </cell>
          <cell r="D156" t="str">
            <v>MASCARILLA 4 TIRAS Marca FVD x Und</v>
          </cell>
          <cell r="E156" t="str">
            <v>FVD</v>
          </cell>
          <cell r="F156" t="str">
            <v/>
          </cell>
          <cell r="G156" t="str">
            <v/>
          </cell>
          <cell r="H156" t="str">
            <v/>
          </cell>
          <cell r="I156" t="str">
            <v>BTOX3000</v>
          </cell>
          <cell r="J156">
            <v>1</v>
          </cell>
          <cell r="K156">
            <v>1</v>
          </cell>
          <cell r="L156" t="str">
            <v>C</v>
          </cell>
          <cell r="M156">
            <v>390</v>
          </cell>
          <cell r="N156" t="str">
            <v>C</v>
          </cell>
          <cell r="O156">
            <v>186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5</v>
          </cell>
          <cell r="U156">
            <v>7800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3000</v>
          </cell>
          <cell r="AA156">
            <v>4.5</v>
          </cell>
          <cell r="AB156">
            <v>5.63</v>
          </cell>
          <cell r="AC156">
            <v>0</v>
          </cell>
          <cell r="AD156">
            <v>5.63</v>
          </cell>
          <cell r="AE156">
            <v>0</v>
          </cell>
          <cell r="AF156">
            <v>0.1</v>
          </cell>
          <cell r="AG156">
            <v>0.8</v>
          </cell>
        </row>
        <row r="157">
          <cell r="B157">
            <v>243450201</v>
          </cell>
          <cell r="C157" t="str">
            <v/>
          </cell>
          <cell r="D157" t="str">
            <v>MASCARILLA 4 TIRAS Marca Rospital x Und</v>
          </cell>
          <cell r="E157" t="str">
            <v>SAMAR</v>
          </cell>
          <cell r="F157" t="str">
            <v/>
          </cell>
          <cell r="G157" t="str">
            <v>MASCARILLAS TAPABOCA</v>
          </cell>
          <cell r="H157" t="str">
            <v/>
          </cell>
          <cell r="I157" t="str">
            <v>CJX50</v>
          </cell>
          <cell r="J157">
            <v>1</v>
          </cell>
          <cell r="K157">
            <v>1</v>
          </cell>
          <cell r="L157" t="str">
            <v>C</v>
          </cell>
          <cell r="M157">
            <v>410</v>
          </cell>
          <cell r="N157" t="str">
            <v>C</v>
          </cell>
          <cell r="O157">
            <v>273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5</v>
          </cell>
          <cell r="U157">
            <v>7348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13000</v>
          </cell>
          <cell r="AA157">
            <v>4.5</v>
          </cell>
          <cell r="AB157">
            <v>5.63</v>
          </cell>
          <cell r="AC157">
            <v>0</v>
          </cell>
          <cell r="AD157">
            <v>5.63</v>
          </cell>
          <cell r="AE157">
            <v>0</v>
          </cell>
          <cell r="AF157">
            <v>0.1</v>
          </cell>
          <cell r="AG157">
            <v>0.8</v>
          </cell>
        </row>
        <row r="158">
          <cell r="B158">
            <v>243050213</v>
          </cell>
          <cell r="C158" t="str">
            <v/>
          </cell>
          <cell r="D158" t="str">
            <v>MASCARILLA 4 TIRAS Marca Samar x Und</v>
          </cell>
          <cell r="E158" t="str">
            <v>SAMAR</v>
          </cell>
          <cell r="F158" t="str">
            <v/>
          </cell>
          <cell r="G158" t="str">
            <v>MASCARAS LARINGEA</v>
          </cell>
          <cell r="H158" t="str">
            <v/>
          </cell>
          <cell r="I158" t="str">
            <v>BTOX1000</v>
          </cell>
          <cell r="J158">
            <v>50</v>
          </cell>
          <cell r="K158">
            <v>1</v>
          </cell>
          <cell r="L158" t="str">
            <v>C</v>
          </cell>
          <cell r="M158">
            <v>412</v>
          </cell>
          <cell r="N158" t="str">
            <v>C</v>
          </cell>
          <cell r="O158">
            <v>402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5</v>
          </cell>
          <cell r="U158">
            <v>300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6100</v>
          </cell>
          <cell r="AA158">
            <v>4.5</v>
          </cell>
          <cell r="AB158">
            <v>5.63</v>
          </cell>
          <cell r="AC158">
            <v>0</v>
          </cell>
          <cell r="AD158">
            <v>5.63</v>
          </cell>
          <cell r="AE158">
            <v>0</v>
          </cell>
          <cell r="AF158">
            <v>0.1</v>
          </cell>
          <cell r="AG158">
            <v>0.8</v>
          </cell>
        </row>
        <row r="159">
          <cell r="B159">
            <v>243200203</v>
          </cell>
          <cell r="C159" t="str">
            <v>11420002</v>
          </cell>
          <cell r="D159" t="str">
            <v>MICRONEBULIZADOR C/MASCARA ADULTO Marca Forsure x Und./\Presentacion Caja x 50 Unds.</v>
          </cell>
          <cell r="E159" t="str">
            <v>FORSURE</v>
          </cell>
          <cell r="F159" t="str">
            <v/>
          </cell>
          <cell r="G159" t="str">
            <v>MASCARAS MICRON NEB ADULTO</v>
          </cell>
          <cell r="H159" t="str">
            <v/>
          </cell>
          <cell r="I159" t="str">
            <v>CJX50</v>
          </cell>
          <cell r="J159">
            <v>1</v>
          </cell>
          <cell r="K159">
            <v>1</v>
          </cell>
          <cell r="L159" t="str">
            <v>C</v>
          </cell>
          <cell r="M159">
            <v>316</v>
          </cell>
          <cell r="N159" t="str">
            <v>C</v>
          </cell>
          <cell r="O159">
            <v>179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251</v>
          </cell>
          <cell r="U159">
            <v>1000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80.55</v>
          </cell>
          <cell r="AB159">
            <v>115.07</v>
          </cell>
          <cell r="AC159">
            <v>0</v>
          </cell>
          <cell r="AD159">
            <v>115.07</v>
          </cell>
          <cell r="AE159">
            <v>0</v>
          </cell>
          <cell r="AF159">
            <v>1.79</v>
          </cell>
          <cell r="AG159">
            <v>0.7</v>
          </cell>
        </row>
        <row r="160">
          <cell r="B160">
            <v>243201303</v>
          </cell>
          <cell r="C160" t="str">
            <v>RHS705U</v>
          </cell>
          <cell r="D160" t="str">
            <v>MICRONEBULIZADOR C/MASCARA ADULTO Marca HUDSON x Und</v>
          </cell>
          <cell r="E160" t="str">
            <v>HUDDSON</v>
          </cell>
          <cell r="F160" t="str">
            <v/>
          </cell>
          <cell r="G160" t="str">
            <v/>
          </cell>
          <cell r="H160" t="str">
            <v/>
          </cell>
          <cell r="I160" t="str">
            <v>CJX50</v>
          </cell>
          <cell r="J160">
            <v>1</v>
          </cell>
          <cell r="K160">
            <v>1</v>
          </cell>
          <cell r="L160" t="str">
            <v>C</v>
          </cell>
          <cell r="M160">
            <v>375</v>
          </cell>
          <cell r="N160" t="str">
            <v>C</v>
          </cell>
          <cell r="O160">
            <v>236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28</v>
          </cell>
          <cell r="U160">
            <v>335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100</v>
          </cell>
          <cell r="AA160">
            <v>80.55</v>
          </cell>
          <cell r="AB160">
            <v>115.07</v>
          </cell>
          <cell r="AC160">
            <v>0</v>
          </cell>
          <cell r="AD160">
            <v>115.07</v>
          </cell>
          <cell r="AE160">
            <v>0</v>
          </cell>
          <cell r="AF160">
            <v>1.79</v>
          </cell>
          <cell r="AG160">
            <v>0.7</v>
          </cell>
        </row>
        <row r="161">
          <cell r="B161">
            <v>243200204</v>
          </cell>
          <cell r="C161" t="str">
            <v>11420001</v>
          </cell>
          <cell r="D161" t="str">
            <v>MICRONEBULIZADOR C/MASCARA PEDIATRICO Marca Forsure x Und./\Presentacion Caja x 50 Unds.</v>
          </cell>
          <cell r="E161" t="str">
            <v>FORSURE</v>
          </cell>
          <cell r="F161" t="str">
            <v/>
          </cell>
          <cell r="G161" t="str">
            <v>MASCARAS MICRO NEB PEDRIATICO</v>
          </cell>
          <cell r="H161" t="str">
            <v/>
          </cell>
          <cell r="I161" t="str">
            <v>CJX50</v>
          </cell>
          <cell r="J161">
            <v>1</v>
          </cell>
          <cell r="K161">
            <v>1</v>
          </cell>
          <cell r="L161" t="str">
            <v>C</v>
          </cell>
          <cell r="M161">
            <v>317</v>
          </cell>
          <cell r="N161" t="str">
            <v>C</v>
          </cell>
          <cell r="O161">
            <v>180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251</v>
          </cell>
          <cell r="U161">
            <v>1000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80.55</v>
          </cell>
          <cell r="AB161">
            <v>115.07</v>
          </cell>
          <cell r="AC161">
            <v>0</v>
          </cell>
          <cell r="AD161">
            <v>115.07</v>
          </cell>
          <cell r="AE161">
            <v>0</v>
          </cell>
          <cell r="AF161">
            <v>1.79</v>
          </cell>
          <cell r="AG161">
            <v>0.7</v>
          </cell>
        </row>
        <row r="162">
          <cell r="B162">
            <v>243201404</v>
          </cell>
          <cell r="C162" t="str">
            <v>HCS4486</v>
          </cell>
          <cell r="D162" t="str">
            <v>MICRONEBULIZADOR C/MASCARA PEDIATRICO Marca Medline x unidad</v>
          </cell>
          <cell r="E162" t="str">
            <v>MEDLINE</v>
          </cell>
          <cell r="F162" t="str">
            <v/>
          </cell>
          <cell r="G162" t="str">
            <v/>
          </cell>
          <cell r="H162" t="str">
            <v/>
          </cell>
          <cell r="I162" t="str">
            <v>UND</v>
          </cell>
          <cell r="J162">
            <v>1</v>
          </cell>
          <cell r="K162">
            <v>1</v>
          </cell>
          <cell r="L162" t="str">
            <v>C</v>
          </cell>
          <cell r="M162">
            <v>313</v>
          </cell>
          <cell r="N162" t="str">
            <v>C</v>
          </cell>
          <cell r="O162">
            <v>244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256</v>
          </cell>
          <cell r="U162">
            <v>109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100</v>
          </cell>
          <cell r="AA162">
            <v>80.55</v>
          </cell>
          <cell r="AB162">
            <v>115.07</v>
          </cell>
          <cell r="AC162">
            <v>0</v>
          </cell>
          <cell r="AD162">
            <v>115.07</v>
          </cell>
          <cell r="AE162">
            <v>0</v>
          </cell>
          <cell r="AF162">
            <v>1.79</v>
          </cell>
          <cell r="AG162">
            <v>0.7</v>
          </cell>
        </row>
        <row r="163">
          <cell r="B163">
            <v>243300209</v>
          </cell>
          <cell r="C163" t="str">
            <v/>
          </cell>
          <cell r="D163" t="str">
            <v>MONO PARA CIRUJANO TALLA "M" Marca MMQ 50GR x Und</v>
          </cell>
          <cell r="E163" t="str">
            <v>MMQ</v>
          </cell>
          <cell r="F163" t="str">
            <v/>
          </cell>
          <cell r="G163" t="str">
            <v>LENCERIA MONOS</v>
          </cell>
          <cell r="H163" t="str">
            <v/>
          </cell>
          <cell r="I163" t="str">
            <v>CJX50</v>
          </cell>
          <cell r="J163">
            <v>1</v>
          </cell>
          <cell r="K163">
            <v>1</v>
          </cell>
          <cell r="L163" t="str">
            <v>C</v>
          </cell>
          <cell r="M163">
            <v>301</v>
          </cell>
          <cell r="N163" t="str">
            <v>C</v>
          </cell>
          <cell r="O163">
            <v>190</v>
          </cell>
          <cell r="P163">
            <v>0</v>
          </cell>
          <cell r="Q163">
            <v>208</v>
          </cell>
          <cell r="R163">
            <v>208</v>
          </cell>
          <cell r="S163">
            <v>0</v>
          </cell>
          <cell r="T163">
            <v>5</v>
          </cell>
          <cell r="U163">
            <v>271</v>
          </cell>
          <cell r="V163">
            <v>0</v>
          </cell>
          <cell r="W163">
            <v>0</v>
          </cell>
          <cell r="X163">
            <v>0</v>
          </cell>
          <cell r="Y163">
            <v>208</v>
          </cell>
          <cell r="Z163">
            <v>1550</v>
          </cell>
          <cell r="AA163">
            <v>54</v>
          </cell>
          <cell r="AB163">
            <v>72</v>
          </cell>
          <cell r="AC163">
            <v>0</v>
          </cell>
          <cell r="AD163">
            <v>72</v>
          </cell>
          <cell r="AE163">
            <v>0</v>
          </cell>
          <cell r="AF163">
            <v>1.2</v>
          </cell>
          <cell r="AG163">
            <v>0.75</v>
          </cell>
        </row>
        <row r="164">
          <cell r="B164">
            <v>250501323</v>
          </cell>
          <cell r="C164" t="str">
            <v/>
          </cell>
          <cell r="D164" t="str">
            <v>MONO PARA CIRUJANO TALLA "S" Marca DISMED 40GR  x Und</v>
          </cell>
          <cell r="E164" t="str">
            <v>DISMED</v>
          </cell>
          <cell r="F164" t="str">
            <v/>
          </cell>
          <cell r="G164" t="str">
            <v>LENCERIA MONOS</v>
          </cell>
          <cell r="H164" t="str">
            <v/>
          </cell>
          <cell r="I164" t="str">
            <v>CJX40</v>
          </cell>
          <cell r="J164">
            <v>1</v>
          </cell>
          <cell r="K164">
            <v>1</v>
          </cell>
          <cell r="L164" t="str">
            <v>C</v>
          </cell>
          <cell r="M164">
            <v>399</v>
          </cell>
          <cell r="N164" t="str">
            <v>C</v>
          </cell>
          <cell r="O164">
            <v>285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5</v>
          </cell>
          <cell r="U164">
            <v>486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200</v>
          </cell>
          <cell r="AA164">
            <v>54</v>
          </cell>
          <cell r="AB164">
            <v>63.53</v>
          </cell>
          <cell r="AC164">
            <v>0</v>
          </cell>
          <cell r="AD164">
            <v>63.53</v>
          </cell>
          <cell r="AE164">
            <v>0</v>
          </cell>
          <cell r="AF164">
            <v>1.2</v>
          </cell>
          <cell r="AG164">
            <v>0.85</v>
          </cell>
        </row>
        <row r="165">
          <cell r="B165">
            <v>243050102</v>
          </cell>
          <cell r="C165" t="str">
            <v/>
          </cell>
          <cell r="D165" t="str">
            <v>NARIZ ARTIFICIAL (Flexible) Marca Portex  Ref. 002841 x Und</v>
          </cell>
          <cell r="E165" t="str">
            <v>PORTEX</v>
          </cell>
          <cell r="F165" t="str">
            <v/>
          </cell>
          <cell r="G165" t="str">
            <v>OTROS OTROS</v>
          </cell>
          <cell r="H165" t="str">
            <v/>
          </cell>
          <cell r="I165" t="str">
            <v>CJX20</v>
          </cell>
          <cell r="J165">
            <v>1</v>
          </cell>
          <cell r="K165">
            <v>1</v>
          </cell>
          <cell r="L165" t="str">
            <v>C</v>
          </cell>
          <cell r="M165">
            <v>219</v>
          </cell>
          <cell r="N165" t="str">
            <v>C</v>
          </cell>
          <cell r="O165">
            <v>274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5</v>
          </cell>
          <cell r="U165">
            <v>1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300</v>
          </cell>
          <cell r="AA165">
            <v>147.9375</v>
          </cell>
          <cell r="AB165">
            <v>211.34</v>
          </cell>
          <cell r="AC165">
            <v>0</v>
          </cell>
          <cell r="AD165">
            <v>211.34</v>
          </cell>
          <cell r="AE165">
            <v>0</v>
          </cell>
          <cell r="AF165">
            <v>3.2875000000000001</v>
          </cell>
          <cell r="AG165">
            <v>0.7</v>
          </cell>
        </row>
        <row r="166">
          <cell r="B166">
            <v>243050302</v>
          </cell>
          <cell r="C166" t="str">
            <v/>
          </cell>
          <cell r="D166" t="str">
            <v>NARIZ ARTIFICIAL (Flexible) Marca Teleflex  Ref. 17732 x Und</v>
          </cell>
          <cell r="E166" t="str">
            <v>TELEFLEX</v>
          </cell>
          <cell r="F166" t="str">
            <v/>
          </cell>
          <cell r="G166" t="str">
            <v/>
          </cell>
          <cell r="H166" t="str">
            <v/>
          </cell>
          <cell r="I166" t="str">
            <v>CJX20</v>
          </cell>
          <cell r="J166">
            <v>1</v>
          </cell>
          <cell r="K166">
            <v>1</v>
          </cell>
          <cell r="L166" t="str">
            <v>C</v>
          </cell>
          <cell r="M166">
            <v>208</v>
          </cell>
          <cell r="N166" t="str">
            <v>C</v>
          </cell>
          <cell r="O166">
            <v>42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5</v>
          </cell>
          <cell r="U166">
            <v>542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530</v>
          </cell>
          <cell r="AA166">
            <v>247.5</v>
          </cell>
          <cell r="AB166">
            <v>353.57</v>
          </cell>
          <cell r="AC166">
            <v>0</v>
          </cell>
          <cell r="AD166">
            <v>353.57</v>
          </cell>
          <cell r="AE166">
            <v>0</v>
          </cell>
          <cell r="AF166">
            <v>5.5</v>
          </cell>
          <cell r="AG166">
            <v>0.7</v>
          </cell>
        </row>
        <row r="167">
          <cell r="B167">
            <v>242010702</v>
          </cell>
          <cell r="C167" t="str">
            <v/>
          </cell>
          <cell r="D167" t="str">
            <v>OBTURADOR HEPARINIZADO AMARILLO x Und</v>
          </cell>
          <cell r="E167" t="str">
            <v>HS</v>
          </cell>
          <cell r="F167" t="str">
            <v/>
          </cell>
          <cell r="G167" t="str">
            <v>KIT DE VIA OBTURADOR</v>
          </cell>
          <cell r="H167" t="str">
            <v/>
          </cell>
          <cell r="I167" t="str">
            <v>CJX200</v>
          </cell>
          <cell r="J167">
            <v>100</v>
          </cell>
          <cell r="K167">
            <v>1</v>
          </cell>
          <cell r="L167" t="str">
            <v>C</v>
          </cell>
          <cell r="M167">
            <v>374</v>
          </cell>
          <cell r="N167" t="str">
            <v>C</v>
          </cell>
          <cell r="O167">
            <v>187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101</v>
          </cell>
          <cell r="U167">
            <v>2100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600</v>
          </cell>
          <cell r="AA167">
            <v>5.85</v>
          </cell>
          <cell r="AB167">
            <v>6.5</v>
          </cell>
          <cell r="AC167">
            <v>0</v>
          </cell>
          <cell r="AD167">
            <v>6.5</v>
          </cell>
          <cell r="AE167">
            <v>0</v>
          </cell>
          <cell r="AF167">
            <v>0.13</v>
          </cell>
          <cell r="AG167">
            <v>0.90029999999999999</v>
          </cell>
        </row>
        <row r="168">
          <cell r="B168">
            <v>241000202</v>
          </cell>
          <cell r="C168" t="str">
            <v/>
          </cell>
          <cell r="D168" t="str">
            <v>OXISENSORES SFP-NCR-18A</v>
          </cell>
          <cell r="E168" t="str">
            <v>SENSORONICS</v>
          </cell>
          <cell r="F168" t="str">
            <v/>
          </cell>
          <cell r="G168" t="str">
            <v>OTROS OTROS</v>
          </cell>
          <cell r="H168" t="str">
            <v/>
          </cell>
          <cell r="I168" t="str">
            <v>CJX24</v>
          </cell>
          <cell r="J168">
            <v>1</v>
          </cell>
          <cell r="K168">
            <v>1</v>
          </cell>
          <cell r="L168" t="str">
            <v>C</v>
          </cell>
          <cell r="M168">
            <v>132</v>
          </cell>
          <cell r="N168" t="str">
            <v>C</v>
          </cell>
          <cell r="O168">
            <v>4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5</v>
          </cell>
          <cell r="U168">
            <v>228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578</v>
          </cell>
          <cell r="AA168">
            <v>457.2</v>
          </cell>
          <cell r="AB168">
            <v>571.5</v>
          </cell>
          <cell r="AC168">
            <v>0</v>
          </cell>
          <cell r="AD168">
            <v>571.5</v>
          </cell>
          <cell r="AE168">
            <v>0</v>
          </cell>
          <cell r="AF168">
            <v>10.16</v>
          </cell>
          <cell r="AG168">
            <v>0.8</v>
          </cell>
        </row>
        <row r="169">
          <cell r="B169">
            <v>272100250</v>
          </cell>
          <cell r="C169" t="str">
            <v/>
          </cell>
          <cell r="D169" t="str">
            <v>PANTALLA PARA BOMBA SINOMAT</v>
          </cell>
          <cell r="E169" t="str">
            <v/>
          </cell>
          <cell r="F169" t="str">
            <v/>
          </cell>
          <cell r="G169" t="str">
            <v/>
          </cell>
          <cell r="H169" t="str">
            <v/>
          </cell>
          <cell r="I169" t="str">
            <v>UND</v>
          </cell>
          <cell r="J169">
            <v>1</v>
          </cell>
          <cell r="K169">
            <v>1</v>
          </cell>
          <cell r="L169" t="str">
            <v>C</v>
          </cell>
          <cell r="M169">
            <v>330</v>
          </cell>
          <cell r="N169" t="str">
            <v>C</v>
          </cell>
          <cell r="O169">
            <v>19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259</v>
          </cell>
          <cell r="U169">
            <v>11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10</v>
          </cell>
          <cell r="AA169">
            <v>2418.75</v>
          </cell>
          <cell r="AB169">
            <v>3023.44</v>
          </cell>
          <cell r="AC169">
            <v>0</v>
          </cell>
          <cell r="AD169">
            <v>3023.44</v>
          </cell>
          <cell r="AE169">
            <v>0</v>
          </cell>
          <cell r="AF169">
            <v>53.75</v>
          </cell>
          <cell r="AG169">
            <v>0.8</v>
          </cell>
        </row>
        <row r="170">
          <cell r="B170">
            <v>240350108</v>
          </cell>
          <cell r="C170" t="str">
            <v/>
          </cell>
          <cell r="D170" t="str">
            <v>PAPEL POLIPROPILENO 0.76 x 0.76 (50 GR. SSMMS)  Marca MMQ x Und</v>
          </cell>
          <cell r="E170" t="str">
            <v>MEDIC-ART</v>
          </cell>
          <cell r="F170" t="str">
            <v/>
          </cell>
          <cell r="G170" t="str">
            <v>ESTERILIZACIÓN PAPEL DE POLIPROPILENO</v>
          </cell>
          <cell r="H170" t="str">
            <v/>
          </cell>
          <cell r="I170" t="str">
            <v>BTOX300</v>
          </cell>
          <cell r="J170">
            <v>1</v>
          </cell>
          <cell r="K170">
            <v>1</v>
          </cell>
          <cell r="L170" t="str">
            <v>C</v>
          </cell>
          <cell r="M170">
            <v>274</v>
          </cell>
          <cell r="N170" t="str">
            <v>C</v>
          </cell>
          <cell r="O170">
            <v>6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5</v>
          </cell>
          <cell r="U170">
            <v>4396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3000</v>
          </cell>
          <cell r="AA170">
            <v>22.5</v>
          </cell>
          <cell r="AB170">
            <v>45</v>
          </cell>
          <cell r="AC170">
            <v>0</v>
          </cell>
          <cell r="AD170">
            <v>45</v>
          </cell>
          <cell r="AE170">
            <v>0</v>
          </cell>
          <cell r="AF170">
            <v>0.5</v>
          </cell>
          <cell r="AG170">
            <v>0.5</v>
          </cell>
        </row>
        <row r="171">
          <cell r="B171">
            <v>240350112</v>
          </cell>
          <cell r="C171" t="str">
            <v/>
          </cell>
          <cell r="D171" t="str">
            <v>PAPEL POLIPROPILENO 1.20 x 1.20 (50 GR SSMMS) Marca MMQ x Und</v>
          </cell>
          <cell r="E171" t="str">
            <v>MEDIC-ART</v>
          </cell>
          <cell r="F171" t="str">
            <v/>
          </cell>
          <cell r="G171" t="str">
            <v>ESTERILIZACIÓN PAPEL DE POLIPROPILENO</v>
          </cell>
          <cell r="H171" t="str">
            <v/>
          </cell>
          <cell r="I171" t="str">
            <v>CJX100</v>
          </cell>
          <cell r="J171">
            <v>1</v>
          </cell>
          <cell r="K171">
            <v>1</v>
          </cell>
          <cell r="L171" t="str">
            <v>C</v>
          </cell>
          <cell r="M171">
            <v>259</v>
          </cell>
          <cell r="N171" t="str">
            <v>B</v>
          </cell>
          <cell r="O171">
            <v>10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5</v>
          </cell>
          <cell r="U171">
            <v>5110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17400</v>
          </cell>
          <cell r="AA171">
            <v>36</v>
          </cell>
          <cell r="AB171">
            <v>72</v>
          </cell>
          <cell r="AC171">
            <v>0</v>
          </cell>
          <cell r="AD171">
            <v>72</v>
          </cell>
          <cell r="AE171">
            <v>0</v>
          </cell>
          <cell r="AF171">
            <v>0.8</v>
          </cell>
          <cell r="AG171">
            <v>0.5</v>
          </cell>
        </row>
        <row r="172">
          <cell r="B172">
            <v>240450316</v>
          </cell>
          <cell r="C172" t="str">
            <v/>
          </cell>
          <cell r="D172" t="str">
            <v>POSICIONADOR DE CABEZA PAC/BOCA ABAJO/ADULTO</v>
          </cell>
          <cell r="E172" t="str">
            <v>WESTMED</v>
          </cell>
          <cell r="F172" t="str">
            <v/>
          </cell>
          <cell r="G172" t="str">
            <v/>
          </cell>
          <cell r="H172" t="str">
            <v/>
          </cell>
          <cell r="I172" t="str">
            <v>UND</v>
          </cell>
          <cell r="J172">
            <v>1</v>
          </cell>
          <cell r="K172">
            <v>1</v>
          </cell>
          <cell r="L172" t="str">
            <v>C</v>
          </cell>
          <cell r="M172">
            <v>154</v>
          </cell>
          <cell r="N172" t="str">
            <v>C</v>
          </cell>
          <cell r="O172">
            <v>247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5</v>
          </cell>
          <cell r="U172">
            <v>1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3</v>
          </cell>
          <cell r="AA172">
            <v>432.5625</v>
          </cell>
          <cell r="AB172">
            <v>617.94000000000005</v>
          </cell>
          <cell r="AC172">
            <v>0</v>
          </cell>
          <cell r="AD172">
            <v>617.94000000000005</v>
          </cell>
          <cell r="AE172">
            <v>0</v>
          </cell>
          <cell r="AF172">
            <v>9.6125000000000007</v>
          </cell>
          <cell r="AG172">
            <v>0.7</v>
          </cell>
        </row>
        <row r="173">
          <cell r="B173">
            <v>241260102</v>
          </cell>
          <cell r="C173" t="str">
            <v/>
          </cell>
          <cell r="D173" t="str">
            <v>RECOLECTOR DE ORINA ( UROLAC ) Marca Dexx x Und./\Presentacion Caja x 250 Unds.</v>
          </cell>
          <cell r="E173" t="str">
            <v>DEXX MEDICAL</v>
          </cell>
          <cell r="F173" t="str">
            <v/>
          </cell>
          <cell r="G173" t="str">
            <v>RECOLECTOR CYSTOFLO</v>
          </cell>
          <cell r="H173" t="str">
            <v/>
          </cell>
          <cell r="I173" t="str">
            <v>CJ</v>
          </cell>
          <cell r="J173">
            <v>250</v>
          </cell>
          <cell r="K173">
            <v>1</v>
          </cell>
          <cell r="L173" t="str">
            <v>C</v>
          </cell>
          <cell r="M173">
            <v>290</v>
          </cell>
          <cell r="N173" t="str">
            <v>C</v>
          </cell>
          <cell r="O173">
            <v>139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241</v>
          </cell>
          <cell r="U173">
            <v>750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1000</v>
          </cell>
          <cell r="AA173">
            <v>3.609</v>
          </cell>
          <cell r="AB173">
            <v>4.51</v>
          </cell>
          <cell r="AC173">
            <v>0</v>
          </cell>
          <cell r="AD173">
            <v>4.51</v>
          </cell>
          <cell r="AE173">
            <v>0</v>
          </cell>
          <cell r="AF173">
            <v>8.0199999999999994E-2</v>
          </cell>
          <cell r="AG173">
            <v>0.79959999999999998</v>
          </cell>
        </row>
        <row r="174">
          <cell r="B174">
            <v>241260902</v>
          </cell>
          <cell r="C174" t="str">
            <v>DYNC1674</v>
          </cell>
          <cell r="D174" t="str">
            <v>RECOLECTOR DE ORINA 2000cc (Cystoflo) Marca Medline x Und</v>
          </cell>
          <cell r="E174" t="str">
            <v>MEDLINE</v>
          </cell>
          <cell r="F174" t="str">
            <v/>
          </cell>
          <cell r="G174" t="str">
            <v/>
          </cell>
          <cell r="H174" t="str">
            <v/>
          </cell>
          <cell r="I174" t="str">
            <v>CJX20</v>
          </cell>
          <cell r="J174">
            <v>1</v>
          </cell>
          <cell r="K174">
            <v>1</v>
          </cell>
          <cell r="L174" t="str">
            <v>C</v>
          </cell>
          <cell r="M174">
            <v>229</v>
          </cell>
          <cell r="N174" t="str">
            <v>C</v>
          </cell>
          <cell r="O174">
            <v>53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5</v>
          </cell>
          <cell r="U174">
            <v>950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140</v>
          </cell>
          <cell r="AA174">
            <v>128.25</v>
          </cell>
          <cell r="AB174">
            <v>183.21</v>
          </cell>
          <cell r="AC174">
            <v>0</v>
          </cell>
          <cell r="AD174">
            <v>183.21</v>
          </cell>
          <cell r="AE174">
            <v>0</v>
          </cell>
          <cell r="AF174">
            <v>2.85</v>
          </cell>
          <cell r="AG174">
            <v>0.7</v>
          </cell>
        </row>
        <row r="175">
          <cell r="B175">
            <v>241270103</v>
          </cell>
          <cell r="C175" t="str">
            <v/>
          </cell>
          <cell r="D175" t="str">
            <v>RECOLECTOR PARA HECES (Paquete x 100 Unid) MARCA DEXX MEDICAL</v>
          </cell>
          <cell r="E175" t="str">
            <v>DEXX MEDICAL</v>
          </cell>
          <cell r="F175" t="str">
            <v/>
          </cell>
          <cell r="G175" t="str">
            <v>PLASTICOS RECOLECTOR DE HECES</v>
          </cell>
          <cell r="H175" t="str">
            <v/>
          </cell>
          <cell r="I175" t="str">
            <v>BTOX100</v>
          </cell>
          <cell r="J175">
            <v>100</v>
          </cell>
          <cell r="K175">
            <v>1</v>
          </cell>
          <cell r="L175" t="str">
            <v>C</v>
          </cell>
          <cell r="M175">
            <v>302</v>
          </cell>
          <cell r="N175" t="str">
            <v>C</v>
          </cell>
          <cell r="O175">
            <v>162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241</v>
          </cell>
          <cell r="U175">
            <v>799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800</v>
          </cell>
          <cell r="AA175">
            <v>2.25</v>
          </cell>
          <cell r="AB175">
            <v>3.21</v>
          </cell>
          <cell r="AC175">
            <v>0</v>
          </cell>
          <cell r="AD175">
            <v>3.21</v>
          </cell>
          <cell r="AE175">
            <v>0</v>
          </cell>
          <cell r="AF175">
            <v>0.05</v>
          </cell>
          <cell r="AG175">
            <v>0.70030000000000003</v>
          </cell>
        </row>
        <row r="176">
          <cell r="B176">
            <v>252000901</v>
          </cell>
          <cell r="C176" t="str">
            <v>GM030201</v>
          </cell>
          <cell r="D176" t="str">
            <v>REGULADOR DE FLUJO (CUENTA GOTAS) Grossmed x Und./\Presentacion Bulto x 50 Unds.</v>
          </cell>
          <cell r="E176" t="str">
            <v>GROSSMED</v>
          </cell>
          <cell r="F176" t="str">
            <v>COMPRO 1.15 PASCUR/0.85 DROFARMA, LA MEDIA</v>
          </cell>
          <cell r="G176" t="str">
            <v>REGULADOR CUENTA GOTAS</v>
          </cell>
          <cell r="H176" t="str">
            <v/>
          </cell>
          <cell r="I176" t="str">
            <v>UND</v>
          </cell>
          <cell r="J176">
            <v>10</v>
          </cell>
          <cell r="K176">
            <v>1</v>
          </cell>
          <cell r="L176" t="str">
            <v>C</v>
          </cell>
          <cell r="M176">
            <v>275</v>
          </cell>
          <cell r="N176" t="str">
            <v>C</v>
          </cell>
          <cell r="O176">
            <v>134</v>
          </cell>
          <cell r="P176">
            <v>0</v>
          </cell>
          <cell r="Q176">
            <v>40</v>
          </cell>
          <cell r="R176">
            <v>40</v>
          </cell>
          <cell r="S176">
            <v>0</v>
          </cell>
          <cell r="T176">
            <v>314</v>
          </cell>
          <cell r="U176">
            <v>360</v>
          </cell>
          <cell r="V176">
            <v>0</v>
          </cell>
          <cell r="W176">
            <v>0</v>
          </cell>
          <cell r="X176">
            <v>0</v>
          </cell>
          <cell r="Y176">
            <v>40</v>
          </cell>
          <cell r="Z176">
            <v>800</v>
          </cell>
          <cell r="AA176">
            <v>31.5</v>
          </cell>
          <cell r="AB176">
            <v>39.380000000000003</v>
          </cell>
          <cell r="AC176">
            <v>0</v>
          </cell>
          <cell r="AD176">
            <v>39.380000000000003</v>
          </cell>
          <cell r="AE176">
            <v>0</v>
          </cell>
          <cell r="AF176">
            <v>0.7</v>
          </cell>
          <cell r="AG176">
            <v>0.8</v>
          </cell>
        </row>
        <row r="177">
          <cell r="B177">
            <v>250500319</v>
          </cell>
          <cell r="C177" t="str">
            <v/>
          </cell>
          <cell r="D177" t="str">
            <v>RESERVORIO 100cc Marca JACKSON - PRATT x Und</v>
          </cell>
          <cell r="E177" t="str">
            <v/>
          </cell>
          <cell r="F177" t="str">
            <v/>
          </cell>
          <cell r="G177" t="str">
            <v>DRENAJES RESERVORIOS 100CC</v>
          </cell>
          <cell r="H177" t="str">
            <v/>
          </cell>
          <cell r="I177" t="str">
            <v>UND</v>
          </cell>
          <cell r="J177">
            <v>1</v>
          </cell>
          <cell r="K177">
            <v>1</v>
          </cell>
          <cell r="L177" t="str">
            <v>C</v>
          </cell>
          <cell r="M177">
            <v>303</v>
          </cell>
          <cell r="N177" t="str">
            <v>C</v>
          </cell>
          <cell r="O177">
            <v>218</v>
          </cell>
          <cell r="P177">
            <v>0</v>
          </cell>
          <cell r="Q177">
            <v>20</v>
          </cell>
          <cell r="R177">
            <v>20</v>
          </cell>
          <cell r="S177">
            <v>0</v>
          </cell>
          <cell r="T177">
            <v>52</v>
          </cell>
          <cell r="U177">
            <v>166</v>
          </cell>
          <cell r="V177">
            <v>0</v>
          </cell>
          <cell r="W177">
            <v>0</v>
          </cell>
          <cell r="X177">
            <v>0</v>
          </cell>
          <cell r="Y177">
            <v>20</v>
          </cell>
          <cell r="Z177">
            <v>991</v>
          </cell>
          <cell r="AA177">
            <v>209.7</v>
          </cell>
          <cell r="AB177">
            <v>299.57</v>
          </cell>
          <cell r="AC177">
            <v>0</v>
          </cell>
          <cell r="AD177">
            <v>299.57</v>
          </cell>
          <cell r="AE177">
            <v>0</v>
          </cell>
          <cell r="AF177">
            <v>4.66</v>
          </cell>
          <cell r="AG177">
            <v>0.7</v>
          </cell>
        </row>
        <row r="178">
          <cell r="B178">
            <v>250510319</v>
          </cell>
          <cell r="C178" t="str">
            <v/>
          </cell>
          <cell r="D178" t="str">
            <v>RESERVORIO 400cc Marca BRANDEN x Und</v>
          </cell>
          <cell r="E178" t="str">
            <v>BRANDEN</v>
          </cell>
          <cell r="F178" t="str">
            <v/>
          </cell>
          <cell r="G178" t="str">
            <v>DRENAJES RESERVORIOS 400CC</v>
          </cell>
          <cell r="H178" t="str">
            <v/>
          </cell>
          <cell r="I178" t="str">
            <v>UND</v>
          </cell>
          <cell r="J178">
            <v>1</v>
          </cell>
          <cell r="K178">
            <v>1</v>
          </cell>
          <cell r="L178" t="str">
            <v>C</v>
          </cell>
          <cell r="M178">
            <v>379</v>
          </cell>
          <cell r="N178" t="str">
            <v>C</v>
          </cell>
          <cell r="O178">
            <v>240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5</v>
          </cell>
          <cell r="U178">
            <v>380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400</v>
          </cell>
          <cell r="AA178">
            <v>209.7</v>
          </cell>
          <cell r="AB178">
            <v>299.57</v>
          </cell>
          <cell r="AC178">
            <v>0</v>
          </cell>
          <cell r="AD178">
            <v>299.57</v>
          </cell>
          <cell r="AE178">
            <v>0</v>
          </cell>
          <cell r="AF178">
            <v>4.66</v>
          </cell>
          <cell r="AG178">
            <v>0.7</v>
          </cell>
        </row>
        <row r="179">
          <cell r="B179">
            <v>250503320</v>
          </cell>
          <cell r="C179" t="str">
            <v>S/REF</v>
          </cell>
          <cell r="D179" t="str">
            <v>RESERVORIO PARA CANISTER DE SUCCION 1500CC CARDINAL HEALTH x Und (Base a Presión)</v>
          </cell>
          <cell r="E179" t="str">
            <v>CARDINAL HEALTH</v>
          </cell>
          <cell r="F179" t="str">
            <v/>
          </cell>
          <cell r="G179" t="str">
            <v>DRENAJES RESERVORIO CANISTER</v>
          </cell>
          <cell r="H179" t="str">
            <v/>
          </cell>
          <cell r="I179" t="str">
            <v>UND</v>
          </cell>
          <cell r="J179">
            <v>1</v>
          </cell>
          <cell r="K179">
            <v>1</v>
          </cell>
          <cell r="L179" t="str">
            <v>C</v>
          </cell>
          <cell r="M179">
            <v>150</v>
          </cell>
          <cell r="N179" t="str">
            <v>C</v>
          </cell>
          <cell r="O179">
            <v>92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5</v>
          </cell>
          <cell r="U179">
            <v>58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100</v>
          </cell>
          <cell r="AA179">
            <v>1350</v>
          </cell>
          <cell r="AB179">
            <v>1928.57</v>
          </cell>
          <cell r="AC179">
            <v>0</v>
          </cell>
          <cell r="AD179">
            <v>1928.57</v>
          </cell>
          <cell r="AE179">
            <v>0</v>
          </cell>
          <cell r="AF179">
            <v>30</v>
          </cell>
          <cell r="AG179">
            <v>0.7</v>
          </cell>
        </row>
        <row r="180">
          <cell r="B180">
            <v>250503321</v>
          </cell>
          <cell r="C180" t="str">
            <v>65652-631</v>
          </cell>
          <cell r="D180" t="str">
            <v>RESERVORIO PARA CANISTER DE SUCCION 3000CC CARDINAL HEALTH x Und (Base a Presión)</v>
          </cell>
          <cell r="E180" t="str">
            <v>CARDINAL HEALTH</v>
          </cell>
          <cell r="F180" t="str">
            <v/>
          </cell>
          <cell r="G180" t="str">
            <v/>
          </cell>
          <cell r="H180" t="str">
            <v/>
          </cell>
          <cell r="I180" t="str">
            <v>UND</v>
          </cell>
          <cell r="J180">
            <v>1</v>
          </cell>
          <cell r="K180">
            <v>1</v>
          </cell>
          <cell r="L180" t="str">
            <v>C</v>
          </cell>
          <cell r="M180">
            <v>125</v>
          </cell>
          <cell r="N180" t="str">
            <v>C</v>
          </cell>
          <cell r="O180">
            <v>82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5</v>
          </cell>
          <cell r="U180">
            <v>40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8</v>
          </cell>
          <cell r="AA180">
            <v>1800</v>
          </cell>
          <cell r="AB180">
            <v>2571.4299999999998</v>
          </cell>
          <cell r="AC180">
            <v>0</v>
          </cell>
          <cell r="AD180">
            <v>2571.4299999999998</v>
          </cell>
          <cell r="AE180">
            <v>0</v>
          </cell>
          <cell r="AF180">
            <v>40</v>
          </cell>
          <cell r="AG180">
            <v>0.7</v>
          </cell>
        </row>
        <row r="181">
          <cell r="B181">
            <v>242050101</v>
          </cell>
          <cell r="C181" t="str">
            <v/>
          </cell>
          <cell r="D181" t="str">
            <v>SET DE IRRIGACION EN Y MARCA MEDLINE x Und</v>
          </cell>
          <cell r="E181" t="str">
            <v>MEDLINE</v>
          </cell>
          <cell r="F181" t="str">
            <v/>
          </cell>
          <cell r="G181" t="str">
            <v>EQUIPO IRRIGACION EN Y</v>
          </cell>
          <cell r="H181" t="str">
            <v/>
          </cell>
          <cell r="I181" t="str">
            <v>CJX20</v>
          </cell>
          <cell r="J181">
            <v>1</v>
          </cell>
          <cell r="K181">
            <v>1</v>
          </cell>
          <cell r="L181" t="str">
            <v>C</v>
          </cell>
          <cell r="M181">
            <v>318</v>
          </cell>
          <cell r="N181" t="str">
            <v>C</v>
          </cell>
          <cell r="O181">
            <v>253</v>
          </cell>
          <cell r="P181">
            <v>0</v>
          </cell>
          <cell r="Q181">
            <v>10</v>
          </cell>
          <cell r="R181">
            <v>10</v>
          </cell>
          <cell r="S181">
            <v>0</v>
          </cell>
          <cell r="T181">
            <v>307</v>
          </cell>
          <cell r="U181">
            <v>258</v>
          </cell>
          <cell r="V181">
            <v>0</v>
          </cell>
          <cell r="W181">
            <v>0</v>
          </cell>
          <cell r="X181">
            <v>0</v>
          </cell>
          <cell r="Y181">
            <v>10</v>
          </cell>
          <cell r="Z181">
            <v>52</v>
          </cell>
          <cell r="AA181">
            <v>305.55</v>
          </cell>
          <cell r="AB181">
            <v>1018.5</v>
          </cell>
          <cell r="AC181">
            <v>0</v>
          </cell>
          <cell r="AD181">
            <v>1018.5</v>
          </cell>
          <cell r="AE181">
            <v>0</v>
          </cell>
          <cell r="AF181">
            <v>6.79</v>
          </cell>
          <cell r="AG181">
            <v>0.3</v>
          </cell>
        </row>
        <row r="182">
          <cell r="B182">
            <v>253400033</v>
          </cell>
          <cell r="C182" t="str">
            <v/>
          </cell>
          <cell r="D182" t="str">
            <v>SET LINEA ART.AXILAR 20G ARR-NS-04100-SN</v>
          </cell>
          <cell r="E182" t="str">
            <v/>
          </cell>
          <cell r="F182" t="str">
            <v/>
          </cell>
          <cell r="G182" t="str">
            <v/>
          </cell>
          <cell r="H182" t="str">
            <v/>
          </cell>
          <cell r="I182" t="str">
            <v>UND</v>
          </cell>
          <cell r="J182">
            <v>1</v>
          </cell>
          <cell r="K182">
            <v>1</v>
          </cell>
          <cell r="L182" t="str">
            <v>C</v>
          </cell>
          <cell r="M182">
            <v>74</v>
          </cell>
          <cell r="N182" t="str">
            <v>C</v>
          </cell>
          <cell r="O182">
            <v>114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5</v>
          </cell>
          <cell r="U182">
            <v>7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1</v>
          </cell>
          <cell r="AA182">
            <v>5008.5</v>
          </cell>
          <cell r="AB182">
            <v>7155</v>
          </cell>
          <cell r="AC182">
            <v>0</v>
          </cell>
          <cell r="AD182">
            <v>7155</v>
          </cell>
          <cell r="AE182">
            <v>0</v>
          </cell>
          <cell r="AF182">
            <v>111.3</v>
          </cell>
          <cell r="AG182">
            <v>0.7</v>
          </cell>
        </row>
        <row r="183">
          <cell r="B183">
            <v>250500812</v>
          </cell>
          <cell r="C183" t="str">
            <v/>
          </cell>
          <cell r="D183" t="str">
            <v>SET TRANSFER PHARM-ASSITS DISPENSING  REF:PA01</v>
          </cell>
          <cell r="E183" t="str">
            <v/>
          </cell>
          <cell r="F183" t="str">
            <v/>
          </cell>
          <cell r="G183" t="str">
            <v/>
          </cell>
          <cell r="H183" t="str">
            <v/>
          </cell>
          <cell r="I183" t="str">
            <v>UND</v>
          </cell>
          <cell r="J183">
            <v>1</v>
          </cell>
          <cell r="K183">
            <v>1</v>
          </cell>
          <cell r="L183" t="str">
            <v>C</v>
          </cell>
          <cell r="M183">
            <v>174</v>
          </cell>
          <cell r="N183" t="str">
            <v>C</v>
          </cell>
          <cell r="O183">
            <v>159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5</v>
          </cell>
          <cell r="U183">
            <v>28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31</v>
          </cell>
          <cell r="AA183">
            <v>503.55</v>
          </cell>
          <cell r="AB183">
            <v>719.36</v>
          </cell>
          <cell r="AC183">
            <v>0</v>
          </cell>
          <cell r="AD183">
            <v>719.36</v>
          </cell>
          <cell r="AE183">
            <v>0</v>
          </cell>
          <cell r="AF183">
            <v>11.19</v>
          </cell>
          <cell r="AG183">
            <v>0.7</v>
          </cell>
        </row>
        <row r="184">
          <cell r="B184">
            <v>250450910</v>
          </cell>
          <cell r="C184" t="str">
            <v/>
          </cell>
          <cell r="D184" t="str">
            <v>SOLUCION FISIOLOGICA 500 ML  - MARCA SUMIC-HEALTH x Und</v>
          </cell>
          <cell r="E184" t="str">
            <v>BAXTER</v>
          </cell>
          <cell r="F184" t="str">
            <v/>
          </cell>
          <cell r="G184" t="str">
            <v/>
          </cell>
          <cell r="H184" t="str">
            <v/>
          </cell>
          <cell r="I184" t="str">
            <v>CJX30</v>
          </cell>
          <cell r="J184">
            <v>1</v>
          </cell>
          <cell r="K184">
            <v>1</v>
          </cell>
          <cell r="L184" t="str">
            <v>C</v>
          </cell>
          <cell r="M184">
            <v>52</v>
          </cell>
          <cell r="N184" t="str">
            <v>B</v>
          </cell>
          <cell r="O184">
            <v>35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246</v>
          </cell>
          <cell r="U184">
            <v>969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5000</v>
          </cell>
          <cell r="AA184">
            <v>36</v>
          </cell>
          <cell r="AB184">
            <v>40</v>
          </cell>
          <cell r="AC184">
            <v>0</v>
          </cell>
          <cell r="AD184">
            <v>40</v>
          </cell>
          <cell r="AE184">
            <v>0</v>
          </cell>
          <cell r="AF184">
            <v>0.8</v>
          </cell>
          <cell r="AG184">
            <v>0.9</v>
          </cell>
        </row>
        <row r="185">
          <cell r="B185">
            <v>252800018</v>
          </cell>
          <cell r="C185" t="str">
            <v>OPA-28</v>
          </cell>
          <cell r="D185" t="str">
            <v>SOLUCION OPA/28  MARCA MC KESSON  x Und</v>
          </cell>
          <cell r="E185" t="str">
            <v>MC KESSON</v>
          </cell>
          <cell r="F185" t="str">
            <v/>
          </cell>
          <cell r="G185" t="str">
            <v/>
          </cell>
          <cell r="H185" t="str">
            <v/>
          </cell>
          <cell r="I185" t="str">
            <v/>
          </cell>
          <cell r="J185">
            <v>1</v>
          </cell>
          <cell r="K185">
            <v>1</v>
          </cell>
          <cell r="L185" t="str">
            <v>C</v>
          </cell>
          <cell r="M185">
            <v>315</v>
          </cell>
          <cell r="N185" t="str">
            <v>C</v>
          </cell>
          <cell r="O185">
            <v>278</v>
          </cell>
          <cell r="P185">
            <v>0</v>
          </cell>
          <cell r="Q185">
            <v>2</v>
          </cell>
          <cell r="R185">
            <v>2</v>
          </cell>
          <cell r="S185">
            <v>0</v>
          </cell>
          <cell r="T185">
            <v>5</v>
          </cell>
          <cell r="U185">
            <v>9</v>
          </cell>
          <cell r="V185">
            <v>0</v>
          </cell>
          <cell r="W185">
            <v>0</v>
          </cell>
          <cell r="X185">
            <v>0</v>
          </cell>
          <cell r="Y185">
            <v>2</v>
          </cell>
          <cell r="Z185">
            <v>2</v>
          </cell>
          <cell r="AA185">
            <v>1964.7</v>
          </cell>
          <cell r="AB185">
            <v>2455.88</v>
          </cell>
          <cell r="AC185">
            <v>0</v>
          </cell>
          <cell r="AD185">
            <v>2455.88</v>
          </cell>
          <cell r="AE185">
            <v>0</v>
          </cell>
          <cell r="AF185">
            <v>43.66</v>
          </cell>
          <cell r="AG185">
            <v>0.8</v>
          </cell>
        </row>
        <row r="186">
          <cell r="B186">
            <v>240550616</v>
          </cell>
          <cell r="C186" t="str">
            <v>20-7432</v>
          </cell>
          <cell r="D186" t="str">
            <v>SONDA CORFLO ULTRA # 12 FR. 43 PULG. 3 GM # 20-7432 - Marca Avanos x Und</v>
          </cell>
          <cell r="E186" t="str">
            <v>AVANOS</v>
          </cell>
          <cell r="F186" t="str">
            <v/>
          </cell>
          <cell r="G186" t="str">
            <v/>
          </cell>
          <cell r="H186" t="str">
            <v/>
          </cell>
          <cell r="I186" t="str">
            <v>UND</v>
          </cell>
          <cell r="J186">
            <v>1</v>
          </cell>
          <cell r="K186">
            <v>1</v>
          </cell>
          <cell r="L186" t="str">
            <v>C</v>
          </cell>
          <cell r="M186">
            <v>105</v>
          </cell>
          <cell r="N186" t="str">
            <v>C</v>
          </cell>
          <cell r="O186">
            <v>192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5</v>
          </cell>
          <cell r="U186">
            <v>4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2</v>
          </cell>
          <cell r="AA186">
            <v>2103.75</v>
          </cell>
          <cell r="AB186">
            <v>2629.69</v>
          </cell>
          <cell r="AC186">
            <v>0</v>
          </cell>
          <cell r="AD186">
            <v>2629.69</v>
          </cell>
          <cell r="AE186">
            <v>0</v>
          </cell>
          <cell r="AF186">
            <v>46.75</v>
          </cell>
          <cell r="AG186">
            <v>0.8</v>
          </cell>
        </row>
        <row r="187">
          <cell r="B187">
            <v>240550607</v>
          </cell>
          <cell r="C187" t="str">
            <v>20-7432</v>
          </cell>
          <cell r="D187" t="str">
            <v>SONDA CORFLO ULTRA # 12 FR. 43 PULG. 3 GM # 20-7432 - Marca Halyard x Und</v>
          </cell>
          <cell r="E187" t="str">
            <v>HALYARD</v>
          </cell>
          <cell r="F187" t="str">
            <v/>
          </cell>
          <cell r="G187" t="str">
            <v>SONDAS LEVIN</v>
          </cell>
          <cell r="H187" t="str">
            <v/>
          </cell>
          <cell r="I187" t="str">
            <v>UND</v>
          </cell>
          <cell r="J187">
            <v>1</v>
          </cell>
          <cell r="K187">
            <v>1</v>
          </cell>
          <cell r="L187" t="str">
            <v>C</v>
          </cell>
          <cell r="M187">
            <v>104</v>
          </cell>
          <cell r="N187" t="str">
            <v>C</v>
          </cell>
          <cell r="O187">
            <v>117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5</v>
          </cell>
          <cell r="U187">
            <v>16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10</v>
          </cell>
          <cell r="AA187">
            <v>2103.75</v>
          </cell>
          <cell r="AB187">
            <v>2629.69</v>
          </cell>
          <cell r="AC187">
            <v>0</v>
          </cell>
          <cell r="AD187">
            <v>2629.69</v>
          </cell>
          <cell r="AE187">
            <v>0</v>
          </cell>
          <cell r="AF187">
            <v>46.75</v>
          </cell>
          <cell r="AG187">
            <v>0.8</v>
          </cell>
        </row>
        <row r="188">
          <cell r="B188">
            <v>240550613</v>
          </cell>
          <cell r="C188" t="str">
            <v>20-7438</v>
          </cell>
          <cell r="D188" t="str">
            <v>SONDA CORFLO ULTRA # 8 FR. 43 PULG. 3 GM # 20-7438 - Marca Corpak x Und</v>
          </cell>
          <cell r="E188" t="str">
            <v>CORPAK</v>
          </cell>
          <cell r="F188" t="str">
            <v/>
          </cell>
          <cell r="G188" t="str">
            <v>SONDAS ALIMENTACION</v>
          </cell>
          <cell r="H188" t="str">
            <v/>
          </cell>
          <cell r="I188" t="str">
            <v>UND</v>
          </cell>
          <cell r="J188">
            <v>1</v>
          </cell>
          <cell r="K188">
            <v>1</v>
          </cell>
          <cell r="L188" t="str">
            <v>C</v>
          </cell>
          <cell r="M188">
            <v>292</v>
          </cell>
          <cell r="N188" t="str">
            <v>C</v>
          </cell>
          <cell r="O188">
            <v>355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305</v>
          </cell>
          <cell r="U188">
            <v>3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200</v>
          </cell>
          <cell r="AA188">
            <v>2103.75</v>
          </cell>
          <cell r="AB188">
            <v>2629.69</v>
          </cell>
          <cell r="AC188">
            <v>0</v>
          </cell>
          <cell r="AD188">
            <v>2629.69</v>
          </cell>
          <cell r="AE188">
            <v>0</v>
          </cell>
          <cell r="AF188">
            <v>46.75</v>
          </cell>
          <cell r="AG188">
            <v>0.8</v>
          </cell>
        </row>
        <row r="189">
          <cell r="B189">
            <v>240550611</v>
          </cell>
          <cell r="C189" t="str">
            <v>8884711006</v>
          </cell>
          <cell r="D189" t="str">
            <v>SONDA DE ALIMENTACION DOBB HOFF 10Fr (Nasogastrica) - Ref. 8884711006 x Und</v>
          </cell>
          <cell r="E189" t="str">
            <v>0</v>
          </cell>
          <cell r="F189" t="str">
            <v/>
          </cell>
          <cell r="G189" t="str">
            <v>SONDAS ALIMENTACION</v>
          </cell>
          <cell r="H189" t="str">
            <v/>
          </cell>
          <cell r="I189" t="str">
            <v>UND</v>
          </cell>
          <cell r="J189">
            <v>1</v>
          </cell>
          <cell r="K189">
            <v>1</v>
          </cell>
          <cell r="L189" t="str">
            <v>C</v>
          </cell>
          <cell r="M189">
            <v>288</v>
          </cell>
          <cell r="N189" t="str">
            <v>C</v>
          </cell>
          <cell r="O189">
            <v>246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5</v>
          </cell>
          <cell r="U189">
            <v>27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1</v>
          </cell>
          <cell r="AA189">
            <v>904.5</v>
          </cell>
          <cell r="AB189">
            <v>1206</v>
          </cell>
          <cell r="AC189">
            <v>0</v>
          </cell>
          <cell r="AD189">
            <v>1206</v>
          </cell>
          <cell r="AE189">
            <v>0</v>
          </cell>
          <cell r="AF189">
            <v>20.100000000000001</v>
          </cell>
          <cell r="AG189">
            <v>0.75</v>
          </cell>
        </row>
        <row r="190">
          <cell r="B190">
            <v>240550612</v>
          </cell>
          <cell r="C190" t="str">
            <v>8884711253</v>
          </cell>
          <cell r="D190" t="str">
            <v>SONDA DE ALIMENTACION DOBB HOFF 12Fr - (Nasogastrica) - Ref. 8884711253 x Und</v>
          </cell>
          <cell r="E190" t="str">
            <v/>
          </cell>
          <cell r="F190" t="str">
            <v/>
          </cell>
          <cell r="G190" t="str">
            <v>SONDAS ALIMENTACION</v>
          </cell>
          <cell r="H190" t="str">
            <v/>
          </cell>
          <cell r="I190" t="str">
            <v>UND</v>
          </cell>
          <cell r="J190">
            <v>1</v>
          </cell>
          <cell r="K190">
            <v>1</v>
          </cell>
          <cell r="L190" t="str">
            <v>C</v>
          </cell>
          <cell r="M190">
            <v>289</v>
          </cell>
          <cell r="N190" t="str">
            <v>C</v>
          </cell>
          <cell r="O190">
            <v>257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5</v>
          </cell>
          <cell r="U190">
            <v>21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10</v>
          </cell>
          <cell r="AA190">
            <v>931.5</v>
          </cell>
          <cell r="AB190">
            <v>1242</v>
          </cell>
          <cell r="AC190">
            <v>0</v>
          </cell>
          <cell r="AD190">
            <v>1242</v>
          </cell>
          <cell r="AE190">
            <v>0</v>
          </cell>
          <cell r="AF190">
            <v>20.7</v>
          </cell>
          <cell r="AG190">
            <v>0.75</v>
          </cell>
        </row>
        <row r="191">
          <cell r="B191">
            <v>240551406</v>
          </cell>
          <cell r="C191" t="str">
            <v>S/REF</v>
          </cell>
          <cell r="D191" t="str">
            <v>SONDA FOLEY 12 Fr 2V 100% SILICON Marca ROSPITAL x Und</v>
          </cell>
          <cell r="E191" t="str">
            <v>ROSPITAL</v>
          </cell>
          <cell r="F191" t="str">
            <v/>
          </cell>
          <cell r="G191" t="str">
            <v>SONDAS FOLEY 2V</v>
          </cell>
          <cell r="H191" t="str">
            <v/>
          </cell>
          <cell r="I191" t="str">
            <v>CJX10</v>
          </cell>
          <cell r="J191">
            <v>1</v>
          </cell>
          <cell r="K191">
            <v>1</v>
          </cell>
          <cell r="L191" t="str">
            <v>C</v>
          </cell>
          <cell r="M191">
            <v>263</v>
          </cell>
          <cell r="N191" t="str">
            <v>C</v>
          </cell>
          <cell r="O191">
            <v>74</v>
          </cell>
          <cell r="P191">
            <v>0</v>
          </cell>
          <cell r="Q191">
            <v>6</v>
          </cell>
          <cell r="R191">
            <v>6</v>
          </cell>
          <cell r="S191">
            <v>0</v>
          </cell>
          <cell r="T191">
            <v>5</v>
          </cell>
          <cell r="U191">
            <v>834</v>
          </cell>
          <cell r="V191">
            <v>0</v>
          </cell>
          <cell r="W191">
            <v>0</v>
          </cell>
          <cell r="X191">
            <v>0</v>
          </cell>
          <cell r="Y191">
            <v>6</v>
          </cell>
          <cell r="Z191">
            <v>730</v>
          </cell>
          <cell r="AA191">
            <v>107.55</v>
          </cell>
          <cell r="AB191">
            <v>153.63999999999999</v>
          </cell>
          <cell r="AC191">
            <v>0</v>
          </cell>
          <cell r="AD191">
            <v>153.63999999999999</v>
          </cell>
          <cell r="AE191">
            <v>0</v>
          </cell>
          <cell r="AF191">
            <v>2.39</v>
          </cell>
          <cell r="AG191">
            <v>0.7</v>
          </cell>
        </row>
        <row r="192">
          <cell r="B192">
            <v>242202546</v>
          </cell>
          <cell r="C192" t="str">
            <v>S/REF</v>
          </cell>
          <cell r="D192" t="str">
            <v>SONDA FOLEY 14 Fr 2V 100% SILICON Marca ROSPITAL x Und</v>
          </cell>
          <cell r="E192" t="str">
            <v>ROSPITAL</v>
          </cell>
          <cell r="F192" t="str">
            <v/>
          </cell>
          <cell r="G192" t="str">
            <v/>
          </cell>
          <cell r="H192" t="str">
            <v/>
          </cell>
          <cell r="I192" t="str">
            <v>CJX10</v>
          </cell>
          <cell r="J192">
            <v>1</v>
          </cell>
          <cell r="K192">
            <v>1</v>
          </cell>
          <cell r="L192" t="str">
            <v>C</v>
          </cell>
          <cell r="M192">
            <v>255</v>
          </cell>
          <cell r="N192" t="str">
            <v>C</v>
          </cell>
          <cell r="O192">
            <v>68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5</v>
          </cell>
          <cell r="U192">
            <v>758</v>
          </cell>
          <cell r="V192">
            <v>0</v>
          </cell>
          <cell r="W192">
            <v>40</v>
          </cell>
          <cell r="X192">
            <v>0</v>
          </cell>
          <cell r="Y192">
            <v>0</v>
          </cell>
          <cell r="Z192">
            <v>90</v>
          </cell>
          <cell r="AA192">
            <v>107.55</v>
          </cell>
          <cell r="AB192">
            <v>153.63999999999999</v>
          </cell>
          <cell r="AC192">
            <v>0</v>
          </cell>
          <cell r="AD192">
            <v>153.63999999999999</v>
          </cell>
          <cell r="AE192">
            <v>0</v>
          </cell>
          <cell r="AF192">
            <v>2.39</v>
          </cell>
          <cell r="AG192">
            <v>0.7</v>
          </cell>
        </row>
        <row r="193">
          <cell r="B193">
            <v>242202790</v>
          </cell>
          <cell r="C193" t="str">
            <v>S/REF</v>
          </cell>
          <cell r="D193" t="str">
            <v>SONDA FOLEY 16 Fr 2V 100% SILICON Marca ROSPITAL x Und</v>
          </cell>
          <cell r="E193" t="str">
            <v>ROSPITAL</v>
          </cell>
          <cell r="F193" t="str">
            <v/>
          </cell>
          <cell r="G193" t="str">
            <v/>
          </cell>
          <cell r="H193" t="str">
            <v/>
          </cell>
          <cell r="I193" t="str">
            <v>CJX10</v>
          </cell>
          <cell r="J193">
            <v>1</v>
          </cell>
          <cell r="K193">
            <v>1</v>
          </cell>
          <cell r="L193" t="str">
            <v>C</v>
          </cell>
          <cell r="M193">
            <v>253</v>
          </cell>
          <cell r="N193" t="str">
            <v>C</v>
          </cell>
          <cell r="O193">
            <v>88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5</v>
          </cell>
          <cell r="U193">
            <v>484</v>
          </cell>
          <cell r="V193">
            <v>0</v>
          </cell>
          <cell r="W193">
            <v>20</v>
          </cell>
          <cell r="X193">
            <v>0</v>
          </cell>
          <cell r="Y193">
            <v>0</v>
          </cell>
          <cell r="Z193">
            <v>220</v>
          </cell>
          <cell r="AA193">
            <v>107.55</v>
          </cell>
          <cell r="AB193">
            <v>153.63999999999999</v>
          </cell>
          <cell r="AC193">
            <v>0</v>
          </cell>
          <cell r="AD193">
            <v>153.63999999999999</v>
          </cell>
          <cell r="AE193">
            <v>0</v>
          </cell>
          <cell r="AF193">
            <v>2.39</v>
          </cell>
          <cell r="AG193">
            <v>0.7</v>
          </cell>
        </row>
        <row r="194">
          <cell r="B194">
            <v>241270102</v>
          </cell>
          <cell r="C194" t="str">
            <v>S/REF</v>
          </cell>
          <cell r="D194" t="str">
            <v>SONDA FOLEY 18 Fr 2V 100% SILICON Marca ROSPITAL x Und</v>
          </cell>
          <cell r="E194" t="str">
            <v>ROSPITAL</v>
          </cell>
          <cell r="F194" t="str">
            <v/>
          </cell>
          <cell r="G194" t="str">
            <v>SONDAS FOLEY 2V</v>
          </cell>
          <cell r="H194" t="str">
            <v/>
          </cell>
          <cell r="I194" t="str">
            <v>CJX10</v>
          </cell>
          <cell r="J194">
            <v>1</v>
          </cell>
          <cell r="K194">
            <v>1</v>
          </cell>
          <cell r="L194" t="str">
            <v>C</v>
          </cell>
          <cell r="M194">
            <v>257</v>
          </cell>
          <cell r="N194" t="str">
            <v>C</v>
          </cell>
          <cell r="O194">
            <v>60</v>
          </cell>
          <cell r="P194">
            <v>0</v>
          </cell>
          <cell r="Q194">
            <v>10</v>
          </cell>
          <cell r="R194">
            <v>10</v>
          </cell>
          <cell r="S194">
            <v>0</v>
          </cell>
          <cell r="T194">
            <v>5</v>
          </cell>
          <cell r="U194">
            <v>950</v>
          </cell>
          <cell r="V194">
            <v>0</v>
          </cell>
          <cell r="W194">
            <v>0</v>
          </cell>
          <cell r="X194">
            <v>0</v>
          </cell>
          <cell r="Y194">
            <v>10</v>
          </cell>
          <cell r="Z194">
            <v>250</v>
          </cell>
          <cell r="AA194">
            <v>107.55</v>
          </cell>
          <cell r="AB194">
            <v>153.63999999999999</v>
          </cell>
          <cell r="AC194">
            <v>0</v>
          </cell>
          <cell r="AD194">
            <v>153.63999999999999</v>
          </cell>
          <cell r="AE194">
            <v>0</v>
          </cell>
          <cell r="AF194">
            <v>2.39</v>
          </cell>
          <cell r="AG194">
            <v>0.7</v>
          </cell>
        </row>
        <row r="195">
          <cell r="B195">
            <v>242201690</v>
          </cell>
          <cell r="C195" t="str">
            <v>S/REF</v>
          </cell>
          <cell r="D195" t="str">
            <v>SONDA FOLEY 20 Fr 2V 100% SILICON Marca ROSPITAL x Und</v>
          </cell>
          <cell r="E195" t="str">
            <v>ROSPITAL</v>
          </cell>
          <cell r="F195" t="str">
            <v/>
          </cell>
          <cell r="G195" t="str">
            <v/>
          </cell>
          <cell r="H195" t="str">
            <v/>
          </cell>
          <cell r="I195" t="str">
            <v>UND</v>
          </cell>
          <cell r="J195">
            <v>1</v>
          </cell>
          <cell r="K195">
            <v>1</v>
          </cell>
          <cell r="L195" t="str">
            <v>C</v>
          </cell>
          <cell r="M195">
            <v>256</v>
          </cell>
          <cell r="N195" t="str">
            <v>C</v>
          </cell>
          <cell r="O195">
            <v>124</v>
          </cell>
          <cell r="P195">
            <v>0</v>
          </cell>
          <cell r="Q195">
            <v>3</v>
          </cell>
          <cell r="R195">
            <v>3</v>
          </cell>
          <cell r="S195">
            <v>0</v>
          </cell>
          <cell r="T195">
            <v>5</v>
          </cell>
          <cell r="U195">
            <v>298</v>
          </cell>
          <cell r="V195">
            <v>0</v>
          </cell>
          <cell r="W195">
            <v>0</v>
          </cell>
          <cell r="X195">
            <v>0</v>
          </cell>
          <cell r="Y195">
            <v>3</v>
          </cell>
          <cell r="Z195">
            <v>50</v>
          </cell>
          <cell r="AA195">
            <v>107.55</v>
          </cell>
          <cell r="AB195">
            <v>153.63999999999999</v>
          </cell>
          <cell r="AC195">
            <v>0</v>
          </cell>
          <cell r="AD195">
            <v>153.63999999999999</v>
          </cell>
          <cell r="AE195">
            <v>0</v>
          </cell>
          <cell r="AF195">
            <v>2.39</v>
          </cell>
          <cell r="AG195">
            <v>0.7</v>
          </cell>
        </row>
        <row r="196">
          <cell r="B196">
            <v>240550511</v>
          </cell>
          <cell r="C196" t="str">
            <v/>
          </cell>
          <cell r="D196" t="str">
            <v>SONDA FOLEY 20 Fr 3V 100% SILICON Marca ROSPITAL x Und</v>
          </cell>
          <cell r="E196" t="str">
            <v>ROSPITAL</v>
          </cell>
          <cell r="F196" t="str">
            <v/>
          </cell>
          <cell r="G196" t="str">
            <v/>
          </cell>
          <cell r="H196" t="str">
            <v/>
          </cell>
          <cell r="I196" t="str">
            <v>CJX10</v>
          </cell>
          <cell r="J196">
            <v>1</v>
          </cell>
          <cell r="K196">
            <v>1</v>
          </cell>
          <cell r="L196" t="str">
            <v>C</v>
          </cell>
          <cell r="M196">
            <v>254</v>
          </cell>
          <cell r="N196" t="str">
            <v>C</v>
          </cell>
          <cell r="O196">
            <v>189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5</v>
          </cell>
          <cell r="U196">
            <v>82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10</v>
          </cell>
          <cell r="AA196">
            <v>107.55</v>
          </cell>
          <cell r="AB196">
            <v>153.63999999999999</v>
          </cell>
          <cell r="AC196">
            <v>0</v>
          </cell>
          <cell r="AD196">
            <v>153.63999999999999</v>
          </cell>
          <cell r="AE196">
            <v>0</v>
          </cell>
          <cell r="AF196">
            <v>2.39</v>
          </cell>
          <cell r="AG196">
            <v>0.7</v>
          </cell>
        </row>
        <row r="197">
          <cell r="B197">
            <v>240550701</v>
          </cell>
          <cell r="C197" t="str">
            <v>8888264929</v>
          </cell>
          <cell r="D197" t="str">
            <v>SONDA SALEM 12 Fr. Marca COVIDIEN x Und</v>
          </cell>
          <cell r="E197" t="str">
            <v>MEDOVATIONS</v>
          </cell>
          <cell r="F197" t="str">
            <v/>
          </cell>
          <cell r="G197" t="str">
            <v>SONDAS SALEM</v>
          </cell>
          <cell r="H197" t="str">
            <v/>
          </cell>
          <cell r="I197" t="str">
            <v>CJX10</v>
          </cell>
          <cell r="J197">
            <v>1</v>
          </cell>
          <cell r="K197">
            <v>1</v>
          </cell>
          <cell r="L197" t="str">
            <v>C</v>
          </cell>
          <cell r="M197">
            <v>393</v>
          </cell>
          <cell r="N197" t="str">
            <v>C</v>
          </cell>
          <cell r="O197">
            <v>284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5</v>
          </cell>
          <cell r="U197">
            <v>112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30</v>
          </cell>
          <cell r="AA197">
            <v>69.75</v>
          </cell>
          <cell r="AB197">
            <v>99.64</v>
          </cell>
          <cell r="AC197">
            <v>0</v>
          </cell>
          <cell r="AD197">
            <v>99.64</v>
          </cell>
          <cell r="AE197">
            <v>0</v>
          </cell>
          <cell r="AF197">
            <v>1.55</v>
          </cell>
          <cell r="AG197">
            <v>0.7</v>
          </cell>
        </row>
        <row r="198">
          <cell r="B198">
            <v>240550902</v>
          </cell>
          <cell r="C198" t="str">
            <v>8888264945</v>
          </cell>
          <cell r="D198" t="str">
            <v>SONDA SALEM 14 Fr. Marca COVIDIEN x Und</v>
          </cell>
          <cell r="E198" t="str">
            <v>COVIDIEN</v>
          </cell>
          <cell r="F198" t="str">
            <v/>
          </cell>
          <cell r="G198" t="str">
            <v/>
          </cell>
          <cell r="H198" t="str">
            <v/>
          </cell>
          <cell r="I198" t="str">
            <v>CJX10</v>
          </cell>
          <cell r="J198">
            <v>1</v>
          </cell>
          <cell r="K198">
            <v>1</v>
          </cell>
          <cell r="L198" t="str">
            <v>C</v>
          </cell>
          <cell r="M198">
            <v>90</v>
          </cell>
          <cell r="N198" t="str">
            <v>C</v>
          </cell>
          <cell r="O198">
            <v>103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24</v>
          </cell>
          <cell r="U198">
            <v>292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50</v>
          </cell>
          <cell r="AA198">
            <v>69.75</v>
          </cell>
          <cell r="AB198">
            <v>99.64</v>
          </cell>
          <cell r="AC198">
            <v>0</v>
          </cell>
          <cell r="AD198">
            <v>99.64</v>
          </cell>
          <cell r="AE198">
            <v>0</v>
          </cell>
          <cell r="AF198">
            <v>1.55</v>
          </cell>
          <cell r="AG198">
            <v>0.7</v>
          </cell>
        </row>
        <row r="199">
          <cell r="B199">
            <v>240550706</v>
          </cell>
          <cell r="C199" t="str">
            <v>8888264960</v>
          </cell>
          <cell r="D199" t="str">
            <v>SONDA SALEM 16 Fr. Marca COVIDIEN x Und</v>
          </cell>
          <cell r="E199" t="str">
            <v>COVIDIEN</v>
          </cell>
          <cell r="F199" t="str">
            <v>REF 8888264960</v>
          </cell>
          <cell r="G199" t="str">
            <v/>
          </cell>
          <cell r="H199" t="str">
            <v/>
          </cell>
          <cell r="I199" t="str">
            <v>CJX10</v>
          </cell>
          <cell r="J199">
            <v>1</v>
          </cell>
          <cell r="K199">
            <v>1</v>
          </cell>
          <cell r="L199" t="str">
            <v>C</v>
          </cell>
          <cell r="M199">
            <v>230</v>
          </cell>
          <cell r="N199" t="str">
            <v>C</v>
          </cell>
          <cell r="O199">
            <v>143</v>
          </cell>
          <cell r="P199">
            <v>0</v>
          </cell>
          <cell r="Q199">
            <v>40</v>
          </cell>
          <cell r="R199">
            <v>40</v>
          </cell>
          <cell r="S199">
            <v>0</v>
          </cell>
          <cell r="T199">
            <v>5</v>
          </cell>
          <cell r="U199">
            <v>97</v>
          </cell>
          <cell r="V199">
            <v>0</v>
          </cell>
          <cell r="W199">
            <v>0</v>
          </cell>
          <cell r="X199">
            <v>0</v>
          </cell>
          <cell r="Y199">
            <v>40</v>
          </cell>
          <cell r="Z199">
            <v>134</v>
          </cell>
          <cell r="AA199">
            <v>104.85</v>
          </cell>
          <cell r="AB199">
            <v>149.79</v>
          </cell>
          <cell r="AC199">
            <v>0</v>
          </cell>
          <cell r="AD199">
            <v>149.79</v>
          </cell>
          <cell r="AE199">
            <v>0</v>
          </cell>
          <cell r="AF199">
            <v>2.33</v>
          </cell>
          <cell r="AG199">
            <v>0.7</v>
          </cell>
        </row>
        <row r="200">
          <cell r="B200">
            <v>240550906</v>
          </cell>
          <cell r="C200" t="str">
            <v>8888160333</v>
          </cell>
          <cell r="D200" t="str">
            <v>SONDA SALEM 18 Fr. Marca COVIDIEN x Und</v>
          </cell>
          <cell r="E200" t="str">
            <v>COVIDIEN</v>
          </cell>
          <cell r="F200" t="str">
            <v/>
          </cell>
          <cell r="G200" t="str">
            <v/>
          </cell>
          <cell r="H200" t="str">
            <v/>
          </cell>
          <cell r="I200" t="str">
            <v>UND</v>
          </cell>
          <cell r="J200">
            <v>1</v>
          </cell>
          <cell r="K200">
            <v>1</v>
          </cell>
          <cell r="L200" t="str">
            <v>C</v>
          </cell>
          <cell r="M200">
            <v>298</v>
          </cell>
          <cell r="N200" t="str">
            <v>C</v>
          </cell>
          <cell r="O200">
            <v>268</v>
          </cell>
          <cell r="P200">
            <v>0</v>
          </cell>
          <cell r="Q200">
            <v>25</v>
          </cell>
          <cell r="R200">
            <v>25</v>
          </cell>
          <cell r="S200">
            <v>0</v>
          </cell>
          <cell r="T200">
            <v>309</v>
          </cell>
          <cell r="U200">
            <v>11</v>
          </cell>
          <cell r="V200">
            <v>0</v>
          </cell>
          <cell r="W200">
            <v>0</v>
          </cell>
          <cell r="X200">
            <v>0</v>
          </cell>
          <cell r="Y200">
            <v>25</v>
          </cell>
          <cell r="Z200">
            <v>25</v>
          </cell>
          <cell r="AA200">
            <v>104.85</v>
          </cell>
          <cell r="AB200">
            <v>149.79</v>
          </cell>
          <cell r="AC200">
            <v>0</v>
          </cell>
          <cell r="AD200">
            <v>149.79</v>
          </cell>
          <cell r="AE200">
            <v>0</v>
          </cell>
          <cell r="AF200">
            <v>2.33</v>
          </cell>
          <cell r="AG200">
            <v>0.7</v>
          </cell>
        </row>
        <row r="201">
          <cell r="B201">
            <v>240550409</v>
          </cell>
          <cell r="C201" t="str">
            <v>570622</v>
          </cell>
          <cell r="D201" t="str">
            <v>SONDA SIMPLASTIC COUVALIER 3 VIAS 22 FR. Marca Rusch x Und</v>
          </cell>
          <cell r="E201" t="str">
            <v>RUSCH</v>
          </cell>
          <cell r="F201" t="str">
            <v>(REF 570622)</v>
          </cell>
          <cell r="G201" t="str">
            <v>SONDAS COUVALIER</v>
          </cell>
          <cell r="H201" t="str">
            <v/>
          </cell>
          <cell r="I201" t="str">
            <v>CJX10</v>
          </cell>
          <cell r="J201">
            <v>1</v>
          </cell>
          <cell r="K201">
            <v>1</v>
          </cell>
          <cell r="L201" t="str">
            <v>C</v>
          </cell>
          <cell r="M201">
            <v>47</v>
          </cell>
          <cell r="N201" t="str">
            <v>B</v>
          </cell>
          <cell r="O201">
            <v>13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5</v>
          </cell>
          <cell r="U201">
            <v>160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16</v>
          </cell>
          <cell r="AA201">
            <v>1454.4</v>
          </cell>
          <cell r="AB201">
            <v>2077.71</v>
          </cell>
          <cell r="AC201">
            <v>0</v>
          </cell>
          <cell r="AD201">
            <v>2077.71</v>
          </cell>
          <cell r="AE201">
            <v>0</v>
          </cell>
          <cell r="AF201">
            <v>32.32</v>
          </cell>
          <cell r="AG201">
            <v>0.7</v>
          </cell>
        </row>
        <row r="202">
          <cell r="B202">
            <v>240550419</v>
          </cell>
          <cell r="C202" t="str">
            <v>570624</v>
          </cell>
          <cell r="D202" t="str">
            <v>SONDA SIMPLASTIC COUVALIER 3 VIAS 24 FR. Marca Rusch x Und</v>
          </cell>
          <cell r="E202" t="str">
            <v>RUSCH</v>
          </cell>
          <cell r="F202" t="str">
            <v>REF 570624</v>
          </cell>
          <cell r="G202" t="str">
            <v>SONDAS COUVALIER</v>
          </cell>
          <cell r="H202" t="str">
            <v/>
          </cell>
          <cell r="I202" t="str">
            <v>CJX10</v>
          </cell>
          <cell r="J202">
            <v>1</v>
          </cell>
          <cell r="K202">
            <v>1</v>
          </cell>
          <cell r="L202" t="str">
            <v>C</v>
          </cell>
          <cell r="M202">
            <v>57</v>
          </cell>
          <cell r="N202" t="str">
            <v>B</v>
          </cell>
          <cell r="O202">
            <v>33</v>
          </cell>
          <cell r="P202">
            <v>0</v>
          </cell>
          <cell r="Q202">
            <v>1</v>
          </cell>
          <cell r="R202">
            <v>1</v>
          </cell>
          <cell r="S202">
            <v>0</v>
          </cell>
          <cell r="T202">
            <v>5</v>
          </cell>
          <cell r="U202">
            <v>192</v>
          </cell>
          <cell r="V202">
            <v>0</v>
          </cell>
          <cell r="W202">
            <v>0</v>
          </cell>
          <cell r="X202">
            <v>0</v>
          </cell>
          <cell r="Y202">
            <v>1</v>
          </cell>
          <cell r="Z202">
            <v>29</v>
          </cell>
          <cell r="AA202">
            <v>1454.4</v>
          </cell>
          <cell r="AB202">
            <v>2077.71</v>
          </cell>
          <cell r="AC202">
            <v>0</v>
          </cell>
          <cell r="AD202">
            <v>2077.71</v>
          </cell>
          <cell r="AE202">
            <v>0</v>
          </cell>
          <cell r="AF202">
            <v>32.32</v>
          </cell>
          <cell r="AG202">
            <v>0.7</v>
          </cell>
        </row>
        <row r="203">
          <cell r="B203">
            <v>242201463</v>
          </cell>
          <cell r="C203" t="str">
            <v/>
          </cell>
          <cell r="D203" t="str">
            <v>SUJETADOR DE SONDA NASOGASTRICA MARCA DALE x Und</v>
          </cell>
          <cell r="E203" t="str">
            <v>DALE</v>
          </cell>
          <cell r="F203" t="str">
            <v/>
          </cell>
          <cell r="G203" t="str">
            <v/>
          </cell>
          <cell r="H203" t="str">
            <v/>
          </cell>
          <cell r="I203" t="str">
            <v>CJX50</v>
          </cell>
          <cell r="J203">
            <v>1</v>
          </cell>
          <cell r="K203">
            <v>1</v>
          </cell>
          <cell r="L203" t="str">
            <v>C</v>
          </cell>
          <cell r="M203">
            <v>58</v>
          </cell>
          <cell r="N203" t="str">
            <v>C</v>
          </cell>
          <cell r="O203">
            <v>131</v>
          </cell>
          <cell r="P203">
            <v>0</v>
          </cell>
          <cell r="Q203">
            <v>20</v>
          </cell>
          <cell r="R203">
            <v>20</v>
          </cell>
          <cell r="S203">
            <v>0</v>
          </cell>
          <cell r="T203">
            <v>140</v>
          </cell>
          <cell r="U203">
            <v>81</v>
          </cell>
          <cell r="V203">
            <v>0</v>
          </cell>
          <cell r="W203">
            <v>10</v>
          </cell>
          <cell r="X203">
            <v>0</v>
          </cell>
          <cell r="Y203">
            <v>20</v>
          </cell>
          <cell r="Z203">
            <v>82</v>
          </cell>
          <cell r="AA203">
            <v>137.25</v>
          </cell>
          <cell r="AB203">
            <v>228.75</v>
          </cell>
          <cell r="AC203">
            <v>0</v>
          </cell>
          <cell r="AD203">
            <v>228.75</v>
          </cell>
          <cell r="AE203">
            <v>0</v>
          </cell>
          <cell r="AF203">
            <v>3.05</v>
          </cell>
          <cell r="AG203">
            <v>0.6</v>
          </cell>
        </row>
        <row r="204">
          <cell r="B204">
            <v>242201466</v>
          </cell>
          <cell r="C204" t="str">
            <v/>
          </cell>
          <cell r="D204" t="str">
            <v>SUJETADOR DE VIA VENOSA  Talla Larga (Venoclisis) x Und</v>
          </cell>
          <cell r="E204" t="str">
            <v>DIASI</v>
          </cell>
          <cell r="F204" t="str">
            <v/>
          </cell>
          <cell r="G204" t="str">
            <v>SUJETADORES DE VIA</v>
          </cell>
          <cell r="H204" t="str">
            <v/>
          </cell>
          <cell r="I204" t="str">
            <v>UND</v>
          </cell>
          <cell r="J204">
            <v>1</v>
          </cell>
          <cell r="K204">
            <v>1</v>
          </cell>
          <cell r="L204" t="str">
            <v>C</v>
          </cell>
          <cell r="M204">
            <v>212</v>
          </cell>
          <cell r="N204" t="str">
            <v>C</v>
          </cell>
          <cell r="O204">
            <v>13</v>
          </cell>
          <cell r="P204">
            <v>0</v>
          </cell>
          <cell r="Q204">
            <v>8</v>
          </cell>
          <cell r="R204">
            <v>8</v>
          </cell>
          <cell r="S204">
            <v>0</v>
          </cell>
          <cell r="T204">
            <v>5</v>
          </cell>
          <cell r="U204">
            <v>1055</v>
          </cell>
          <cell r="V204">
            <v>0</v>
          </cell>
          <cell r="W204">
            <v>0</v>
          </cell>
          <cell r="X204">
            <v>0</v>
          </cell>
          <cell r="Y204">
            <v>8</v>
          </cell>
          <cell r="Z204">
            <v>2500</v>
          </cell>
          <cell r="AA204">
            <v>270</v>
          </cell>
          <cell r="AB204">
            <v>600</v>
          </cell>
          <cell r="AC204">
            <v>0</v>
          </cell>
          <cell r="AD204">
            <v>600</v>
          </cell>
          <cell r="AE204">
            <v>0</v>
          </cell>
          <cell r="AF204">
            <v>6</v>
          </cell>
          <cell r="AG204">
            <v>0.45</v>
          </cell>
        </row>
        <row r="205">
          <cell r="B205">
            <v>242201465</v>
          </cell>
          <cell r="C205" t="str">
            <v/>
          </cell>
          <cell r="D205" t="str">
            <v>SUJETADOR DE VIA VENOSA Talla Neonatal  (Venoclisis) x Und</v>
          </cell>
          <cell r="E205" t="str">
            <v>DIASI</v>
          </cell>
          <cell r="F205" t="str">
            <v/>
          </cell>
          <cell r="G205" t="str">
            <v>SUJETADORES DE VIA</v>
          </cell>
          <cell r="H205" t="str">
            <v/>
          </cell>
          <cell r="I205" t="str">
            <v>UND</v>
          </cell>
          <cell r="J205">
            <v>1</v>
          </cell>
          <cell r="K205">
            <v>1</v>
          </cell>
          <cell r="L205" t="str">
            <v>C</v>
          </cell>
          <cell r="M205">
            <v>71</v>
          </cell>
          <cell r="N205" t="str">
            <v>C</v>
          </cell>
          <cell r="O205">
            <v>22</v>
          </cell>
          <cell r="P205">
            <v>0</v>
          </cell>
          <cell r="Q205">
            <v>55</v>
          </cell>
          <cell r="R205">
            <v>55</v>
          </cell>
          <cell r="S205">
            <v>0</v>
          </cell>
          <cell r="T205">
            <v>5</v>
          </cell>
          <cell r="U205">
            <v>2140</v>
          </cell>
          <cell r="V205">
            <v>0</v>
          </cell>
          <cell r="W205">
            <v>500</v>
          </cell>
          <cell r="X205">
            <v>0</v>
          </cell>
          <cell r="Y205">
            <v>55</v>
          </cell>
          <cell r="Z205">
            <v>210</v>
          </cell>
          <cell r="AA205">
            <v>67.5</v>
          </cell>
          <cell r="AB205">
            <v>150</v>
          </cell>
          <cell r="AC205">
            <v>0</v>
          </cell>
          <cell r="AD205">
            <v>150</v>
          </cell>
          <cell r="AE205">
            <v>0</v>
          </cell>
          <cell r="AF205">
            <v>1.5</v>
          </cell>
          <cell r="AG205">
            <v>0.45</v>
          </cell>
        </row>
        <row r="206">
          <cell r="B206">
            <v>242201468</v>
          </cell>
          <cell r="C206" t="str">
            <v/>
          </cell>
          <cell r="D206" t="str">
            <v>SUJETADOR DE VIA VENOSA Talla S  (Venoclisis) x Und</v>
          </cell>
          <cell r="E206" t="str">
            <v>DIASI</v>
          </cell>
          <cell r="F206" t="str">
            <v/>
          </cell>
          <cell r="G206" t="str">
            <v/>
          </cell>
          <cell r="H206" t="str">
            <v/>
          </cell>
          <cell r="I206" t="str">
            <v>UND</v>
          </cell>
          <cell r="J206">
            <v>1</v>
          </cell>
          <cell r="K206">
            <v>1</v>
          </cell>
          <cell r="L206" t="str">
            <v>C</v>
          </cell>
          <cell r="M206">
            <v>6</v>
          </cell>
          <cell r="N206" t="str">
            <v>B</v>
          </cell>
          <cell r="O206">
            <v>22</v>
          </cell>
          <cell r="P206">
            <v>0</v>
          </cell>
          <cell r="Q206">
            <v>70</v>
          </cell>
          <cell r="R206">
            <v>70</v>
          </cell>
          <cell r="S206">
            <v>0</v>
          </cell>
          <cell r="T206">
            <v>5</v>
          </cell>
          <cell r="U206">
            <v>1875</v>
          </cell>
          <cell r="V206">
            <v>0</v>
          </cell>
          <cell r="W206">
            <v>500</v>
          </cell>
          <cell r="X206">
            <v>0</v>
          </cell>
          <cell r="Y206">
            <v>70</v>
          </cell>
          <cell r="Z206">
            <v>144</v>
          </cell>
          <cell r="AA206">
            <v>90</v>
          </cell>
          <cell r="AB206">
            <v>200</v>
          </cell>
          <cell r="AC206">
            <v>0</v>
          </cell>
          <cell r="AD206">
            <v>200</v>
          </cell>
          <cell r="AE206">
            <v>0</v>
          </cell>
          <cell r="AF206">
            <v>2</v>
          </cell>
          <cell r="AG206">
            <v>0.45</v>
          </cell>
        </row>
        <row r="207">
          <cell r="B207">
            <v>242201362</v>
          </cell>
          <cell r="C207" t="str">
            <v/>
          </cell>
          <cell r="D207" t="str">
            <v>SUJETADOR P/SONDA FOLEY x Und</v>
          </cell>
          <cell r="E207" t="str">
            <v>DIASI</v>
          </cell>
          <cell r="F207" t="str">
            <v/>
          </cell>
          <cell r="G207" t="str">
            <v>SUJETADORES DE SONDA</v>
          </cell>
          <cell r="H207" t="str">
            <v/>
          </cell>
          <cell r="I207" t="str">
            <v>CJX50</v>
          </cell>
          <cell r="J207">
            <v>1</v>
          </cell>
          <cell r="K207">
            <v>1</v>
          </cell>
          <cell r="L207" t="str">
            <v>C</v>
          </cell>
          <cell r="M207">
            <v>33</v>
          </cell>
          <cell r="N207" t="str">
            <v>C</v>
          </cell>
          <cell r="O207">
            <v>45</v>
          </cell>
          <cell r="P207">
            <v>0</v>
          </cell>
          <cell r="Q207">
            <v>410</v>
          </cell>
          <cell r="R207">
            <v>410</v>
          </cell>
          <cell r="S207">
            <v>0</v>
          </cell>
          <cell r="T207">
            <v>5</v>
          </cell>
          <cell r="U207">
            <v>2727</v>
          </cell>
          <cell r="V207">
            <v>0</v>
          </cell>
          <cell r="W207">
            <v>1500</v>
          </cell>
          <cell r="X207">
            <v>0</v>
          </cell>
          <cell r="Y207">
            <v>410</v>
          </cell>
          <cell r="Z207">
            <v>750</v>
          </cell>
          <cell r="AA207">
            <v>40.5</v>
          </cell>
          <cell r="AB207">
            <v>162</v>
          </cell>
          <cell r="AC207">
            <v>0</v>
          </cell>
          <cell r="AD207">
            <v>162</v>
          </cell>
          <cell r="AE207">
            <v>0</v>
          </cell>
          <cell r="AF207">
            <v>0.9</v>
          </cell>
          <cell r="AG207">
            <v>0.25</v>
          </cell>
        </row>
        <row r="208">
          <cell r="B208">
            <v>242202364</v>
          </cell>
          <cell r="C208" t="str">
            <v/>
          </cell>
          <cell r="D208" t="str">
            <v>SUJETADOR P/TRANSDUCTOR 3 VIAS x Und</v>
          </cell>
          <cell r="E208" t="str">
            <v>DIASI</v>
          </cell>
          <cell r="F208" t="str">
            <v/>
          </cell>
          <cell r="G208" t="str">
            <v/>
          </cell>
          <cell r="H208" t="str">
            <v/>
          </cell>
          <cell r="I208" t="str">
            <v>UND</v>
          </cell>
          <cell r="J208">
            <v>1</v>
          </cell>
          <cell r="K208">
            <v>1</v>
          </cell>
          <cell r="L208" t="str">
            <v>C</v>
          </cell>
          <cell r="M208">
            <v>377</v>
          </cell>
          <cell r="N208" t="str">
            <v>C</v>
          </cell>
          <cell r="O208">
            <v>223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5</v>
          </cell>
          <cell r="U208">
            <v>740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120</v>
          </cell>
          <cell r="AA208">
            <v>225</v>
          </cell>
          <cell r="AB208">
            <v>321.43</v>
          </cell>
          <cell r="AC208">
            <v>0</v>
          </cell>
          <cell r="AD208">
            <v>321.43</v>
          </cell>
          <cell r="AE208">
            <v>0</v>
          </cell>
          <cell r="AF208">
            <v>5</v>
          </cell>
          <cell r="AG208">
            <v>0.7</v>
          </cell>
        </row>
        <row r="209">
          <cell r="B209">
            <v>242201364</v>
          </cell>
          <cell r="C209" t="str">
            <v/>
          </cell>
          <cell r="D209" t="str">
            <v>SUJETADOR P/TRAQUEOSTOMO x Und</v>
          </cell>
          <cell r="E209" t="str">
            <v>DIASI</v>
          </cell>
          <cell r="F209" t="str">
            <v/>
          </cell>
          <cell r="G209" t="str">
            <v>SUJETADORES TRAQUEOSTOMO</v>
          </cell>
          <cell r="H209" t="str">
            <v/>
          </cell>
          <cell r="I209" t="str">
            <v>CJX50</v>
          </cell>
          <cell r="J209">
            <v>1</v>
          </cell>
          <cell r="K209">
            <v>1</v>
          </cell>
          <cell r="L209" t="str">
            <v>C</v>
          </cell>
          <cell r="M209">
            <v>260</v>
          </cell>
          <cell r="N209" t="str">
            <v>C</v>
          </cell>
          <cell r="O209">
            <v>112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5</v>
          </cell>
          <cell r="U209">
            <v>431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50</v>
          </cell>
          <cell r="AA209">
            <v>101.25</v>
          </cell>
          <cell r="AB209">
            <v>144.63999999999999</v>
          </cell>
          <cell r="AC209">
            <v>0</v>
          </cell>
          <cell r="AD209">
            <v>144.63999999999999</v>
          </cell>
          <cell r="AE209">
            <v>0</v>
          </cell>
          <cell r="AF209">
            <v>2.25</v>
          </cell>
          <cell r="AG209">
            <v>0.7</v>
          </cell>
        </row>
        <row r="210">
          <cell r="B210">
            <v>242201464</v>
          </cell>
          <cell r="C210" t="str">
            <v/>
          </cell>
          <cell r="D210" t="str">
            <v>SUJETADOR P/TRAQUEOTOMO MARCA DALE x Und</v>
          </cell>
          <cell r="E210" t="str">
            <v>DALE</v>
          </cell>
          <cell r="F210" t="str">
            <v/>
          </cell>
          <cell r="G210" t="str">
            <v/>
          </cell>
          <cell r="H210" t="str">
            <v/>
          </cell>
          <cell r="I210" t="str">
            <v>CJX50</v>
          </cell>
          <cell r="J210">
            <v>1</v>
          </cell>
          <cell r="K210">
            <v>1</v>
          </cell>
          <cell r="L210" t="str">
            <v>C</v>
          </cell>
          <cell r="M210">
            <v>226</v>
          </cell>
          <cell r="N210" t="str">
            <v>C</v>
          </cell>
          <cell r="O210">
            <v>79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5</v>
          </cell>
          <cell r="U210">
            <v>406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20</v>
          </cell>
          <cell r="AA210">
            <v>175.5</v>
          </cell>
          <cell r="AB210">
            <v>219.38</v>
          </cell>
          <cell r="AC210">
            <v>0</v>
          </cell>
          <cell r="AD210">
            <v>219.38</v>
          </cell>
          <cell r="AE210">
            <v>0</v>
          </cell>
          <cell r="AF210">
            <v>3.9</v>
          </cell>
          <cell r="AG210">
            <v>0.8</v>
          </cell>
        </row>
        <row r="211">
          <cell r="B211">
            <v>252650045</v>
          </cell>
          <cell r="C211" t="str">
            <v>8886261753</v>
          </cell>
          <cell r="D211" t="str">
            <v>SUT. ACERO HILO P/Marcapaso 2-0 SH/RECTA C=(Covidien Flexon Cardiac 8886261753) x Und</v>
          </cell>
          <cell r="E211" t="str">
            <v>COVIDIEN</v>
          </cell>
          <cell r="F211" t="str">
            <v/>
          </cell>
          <cell r="G211" t="str">
            <v/>
          </cell>
          <cell r="H211" t="str">
            <v/>
          </cell>
          <cell r="I211" t="str">
            <v>CJX12</v>
          </cell>
          <cell r="J211">
            <v>12</v>
          </cell>
          <cell r="K211">
            <v>1</v>
          </cell>
          <cell r="L211" t="str">
            <v>C</v>
          </cell>
          <cell r="M211">
            <v>108</v>
          </cell>
          <cell r="N211" t="str">
            <v>C</v>
          </cell>
          <cell r="O211">
            <v>95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5</v>
          </cell>
          <cell r="U211">
            <v>24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12</v>
          </cell>
          <cell r="AA211">
            <v>1085.8499999999999</v>
          </cell>
          <cell r="AB211">
            <v>1357.31</v>
          </cell>
          <cell r="AC211">
            <v>0</v>
          </cell>
          <cell r="AD211">
            <v>1357.31</v>
          </cell>
          <cell r="AE211">
            <v>0</v>
          </cell>
          <cell r="AF211">
            <v>24.13</v>
          </cell>
          <cell r="AG211">
            <v>0.8</v>
          </cell>
        </row>
        <row r="212">
          <cell r="B212">
            <v>252800921</v>
          </cell>
          <cell r="C212" t="str">
            <v/>
          </cell>
          <cell r="D212" t="str">
            <v>SUT. CHROMIC CATGUT CC1120036B0P (CROMICO 0 812T)  70cm  1/2  Aguja Curva 36mm DCT-1</v>
          </cell>
          <cell r="E212" t="str">
            <v>DEMETECH</v>
          </cell>
          <cell r="F212" t="str">
            <v/>
          </cell>
          <cell r="G212" t="str">
            <v/>
          </cell>
          <cell r="H212" t="str">
            <v/>
          </cell>
          <cell r="I212" t="str">
            <v>CJX12</v>
          </cell>
          <cell r="J212">
            <v>12</v>
          </cell>
          <cell r="K212">
            <v>1</v>
          </cell>
          <cell r="L212" t="str">
            <v>C</v>
          </cell>
          <cell r="M212">
            <v>166</v>
          </cell>
          <cell r="N212" t="str">
            <v>C</v>
          </cell>
          <cell r="O212">
            <v>49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241</v>
          </cell>
          <cell r="U212">
            <v>192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96</v>
          </cell>
          <cell r="AA212">
            <v>78.3</v>
          </cell>
          <cell r="AB212">
            <v>97.88</v>
          </cell>
          <cell r="AC212">
            <v>0</v>
          </cell>
          <cell r="AD212">
            <v>97.88</v>
          </cell>
          <cell r="AE212">
            <v>0</v>
          </cell>
          <cell r="AF212">
            <v>1.74</v>
          </cell>
          <cell r="AG212">
            <v>0.8</v>
          </cell>
        </row>
        <row r="213">
          <cell r="B213">
            <v>252800923</v>
          </cell>
          <cell r="C213" t="str">
            <v/>
          </cell>
          <cell r="D213" t="str">
            <v>SUT. CHROMIC CATGUT CC1120136B0P (CROMICO 1 813T) 70CM Aguja curva Round Bodied DCT1 1/2 36MM  MUSCULO,NASAL,FARINGE,PIEL</v>
          </cell>
          <cell r="E213" t="str">
            <v>DEMETECH</v>
          </cell>
          <cell r="F213" t="str">
            <v/>
          </cell>
          <cell r="G213" t="str">
            <v/>
          </cell>
          <cell r="H213" t="str">
            <v/>
          </cell>
          <cell r="I213" t="str">
            <v>CJX12</v>
          </cell>
          <cell r="J213">
            <v>12</v>
          </cell>
          <cell r="K213">
            <v>1</v>
          </cell>
          <cell r="L213" t="str">
            <v>C</v>
          </cell>
          <cell r="M213">
            <v>167</v>
          </cell>
          <cell r="N213" t="str">
            <v>C</v>
          </cell>
          <cell r="O213">
            <v>50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241</v>
          </cell>
          <cell r="U213">
            <v>192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96</v>
          </cell>
          <cell r="AA213">
            <v>78.3</v>
          </cell>
          <cell r="AB213">
            <v>97.88</v>
          </cell>
          <cell r="AC213">
            <v>0</v>
          </cell>
          <cell r="AD213">
            <v>97.88</v>
          </cell>
          <cell r="AE213">
            <v>0</v>
          </cell>
          <cell r="AF213">
            <v>1.74</v>
          </cell>
          <cell r="AG213">
            <v>0.8</v>
          </cell>
        </row>
        <row r="214">
          <cell r="B214">
            <v>252800924</v>
          </cell>
          <cell r="C214" t="str">
            <v/>
          </cell>
          <cell r="D214" t="str">
            <v>SUT. CHROMIC CATGUT CC1122036BOP (CROMICO 2-0  811T )   70cm   1/2 Aguja Curva 36mm  DCT-1</v>
          </cell>
          <cell r="E214" t="str">
            <v>DEMETECH</v>
          </cell>
          <cell r="F214" t="str">
            <v/>
          </cell>
          <cell r="G214" t="str">
            <v/>
          </cell>
          <cell r="H214" t="str">
            <v/>
          </cell>
          <cell r="I214" t="str">
            <v>CJX12</v>
          </cell>
          <cell r="J214">
            <v>12</v>
          </cell>
          <cell r="K214">
            <v>1</v>
          </cell>
          <cell r="L214" t="str">
            <v>C</v>
          </cell>
          <cell r="M214">
            <v>168</v>
          </cell>
          <cell r="N214" t="str">
            <v>C</v>
          </cell>
          <cell r="O214">
            <v>51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241</v>
          </cell>
          <cell r="U214">
            <v>156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144</v>
          </cell>
          <cell r="AA214">
            <v>78.3</v>
          </cell>
          <cell r="AB214">
            <v>97.88</v>
          </cell>
          <cell r="AC214">
            <v>0</v>
          </cell>
          <cell r="AD214">
            <v>97.88</v>
          </cell>
          <cell r="AE214">
            <v>0</v>
          </cell>
          <cell r="AF214">
            <v>1.74</v>
          </cell>
          <cell r="AG214">
            <v>0.8</v>
          </cell>
        </row>
        <row r="215">
          <cell r="B215">
            <v>252650417</v>
          </cell>
          <cell r="C215" t="str">
            <v/>
          </cell>
          <cell r="D215" t="str">
            <v>SUT. CHROMIC GUT 4-0 UG203 x Und</v>
          </cell>
          <cell r="E215" t="str">
            <v>ETHICON</v>
          </cell>
          <cell r="F215" t="str">
            <v>U203H COVIDIEN</v>
          </cell>
          <cell r="G215" t="str">
            <v/>
          </cell>
          <cell r="H215" t="str">
            <v/>
          </cell>
          <cell r="I215" t="str">
            <v>CJX36</v>
          </cell>
          <cell r="J215">
            <v>36</v>
          </cell>
          <cell r="K215">
            <v>1</v>
          </cell>
          <cell r="L215" t="str">
            <v>C</v>
          </cell>
          <cell r="M215">
            <v>194</v>
          </cell>
          <cell r="N215" t="str">
            <v>C</v>
          </cell>
          <cell r="O215">
            <v>166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5</v>
          </cell>
          <cell r="U215">
            <v>36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406.35</v>
          </cell>
          <cell r="AB215">
            <v>507.94</v>
          </cell>
          <cell r="AC215">
            <v>0</v>
          </cell>
          <cell r="AD215">
            <v>507.94</v>
          </cell>
          <cell r="AE215">
            <v>0</v>
          </cell>
          <cell r="AF215">
            <v>9.0299999999999994</v>
          </cell>
          <cell r="AG215">
            <v>0.8</v>
          </cell>
        </row>
        <row r="216">
          <cell r="B216">
            <v>252800022</v>
          </cell>
          <cell r="C216" t="str">
            <v/>
          </cell>
          <cell r="D216" t="str">
            <v>SUT. COV V-LOC 180 ABSORBIBLE. 0 GS-21 (15 Cm.) REF:L0306 x Und</v>
          </cell>
          <cell r="E216" t="str">
            <v>COVIDIEN</v>
          </cell>
          <cell r="F216" t="str">
            <v/>
          </cell>
          <cell r="G216" t="str">
            <v/>
          </cell>
          <cell r="H216" t="str">
            <v/>
          </cell>
          <cell r="I216" t="str">
            <v>CJX12</v>
          </cell>
          <cell r="J216">
            <v>12</v>
          </cell>
          <cell r="K216">
            <v>1</v>
          </cell>
          <cell r="L216" t="str">
            <v>C</v>
          </cell>
          <cell r="M216">
            <v>170</v>
          </cell>
          <cell r="N216" t="str">
            <v>C</v>
          </cell>
          <cell r="O216">
            <v>163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5</v>
          </cell>
          <cell r="U216">
            <v>24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12</v>
          </cell>
          <cell r="AA216">
            <v>2999.7</v>
          </cell>
          <cell r="AB216">
            <v>3749.63</v>
          </cell>
          <cell r="AC216">
            <v>0</v>
          </cell>
          <cell r="AD216">
            <v>3749.63</v>
          </cell>
          <cell r="AE216">
            <v>0</v>
          </cell>
          <cell r="AF216">
            <v>66.66</v>
          </cell>
          <cell r="AG216">
            <v>0.8</v>
          </cell>
        </row>
        <row r="217">
          <cell r="B217">
            <v>252800021</v>
          </cell>
          <cell r="C217" t="str">
            <v/>
          </cell>
          <cell r="D217" t="str">
            <v>SUT. COV V-LOC 180 ABSORBIBLE. 0 GS-21 (30 Cm.) REF:L0316 x Und</v>
          </cell>
          <cell r="E217" t="str">
            <v>COVIDIEN</v>
          </cell>
          <cell r="F217" t="str">
            <v/>
          </cell>
          <cell r="G217" t="str">
            <v/>
          </cell>
          <cell r="H217" t="str">
            <v/>
          </cell>
          <cell r="I217" t="str">
            <v>CJX12</v>
          </cell>
          <cell r="J217">
            <v>12</v>
          </cell>
          <cell r="K217">
            <v>1</v>
          </cell>
          <cell r="L217" t="str">
            <v>C</v>
          </cell>
          <cell r="M217">
            <v>36</v>
          </cell>
          <cell r="N217" t="str">
            <v>C</v>
          </cell>
          <cell r="O217">
            <v>32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18</v>
          </cell>
          <cell r="U217">
            <v>12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24</v>
          </cell>
          <cell r="AA217">
            <v>446.4</v>
          </cell>
          <cell r="AB217">
            <v>558</v>
          </cell>
          <cell r="AC217">
            <v>0</v>
          </cell>
          <cell r="AD217">
            <v>558</v>
          </cell>
          <cell r="AE217">
            <v>0</v>
          </cell>
          <cell r="AF217">
            <v>9.92</v>
          </cell>
          <cell r="AG217">
            <v>0.8</v>
          </cell>
        </row>
        <row r="218">
          <cell r="B218">
            <v>252800518</v>
          </cell>
          <cell r="C218" t="str">
            <v/>
          </cell>
          <cell r="D218" t="str">
            <v>SUT. COV V-LOC 90 ABSORBIBLE. 3-0 GU-46 REF:M1744  x Und</v>
          </cell>
          <cell r="E218" t="str">
            <v>COVIDIEN</v>
          </cell>
          <cell r="F218" t="str">
            <v/>
          </cell>
          <cell r="G218" t="str">
            <v/>
          </cell>
          <cell r="H218" t="str">
            <v/>
          </cell>
          <cell r="I218" t="str">
            <v>CJX12</v>
          </cell>
          <cell r="J218">
            <v>12</v>
          </cell>
          <cell r="K218">
            <v>1</v>
          </cell>
          <cell r="L218" t="str">
            <v>C</v>
          </cell>
          <cell r="M218">
            <v>89</v>
          </cell>
          <cell r="N218" t="str">
            <v>C</v>
          </cell>
          <cell r="O218">
            <v>66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5</v>
          </cell>
          <cell r="U218">
            <v>24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2476.8000000000002</v>
          </cell>
          <cell r="AB218">
            <v>3096</v>
          </cell>
          <cell r="AC218">
            <v>0</v>
          </cell>
          <cell r="AD218">
            <v>3096</v>
          </cell>
          <cell r="AE218">
            <v>0</v>
          </cell>
          <cell r="AF218">
            <v>55.04</v>
          </cell>
          <cell r="AG218">
            <v>0.8</v>
          </cell>
        </row>
        <row r="219">
          <cell r="B219">
            <v>252650419</v>
          </cell>
          <cell r="C219" t="str">
            <v>CG-48</v>
          </cell>
          <cell r="D219" t="str">
            <v>SUT. CROMICO 1 GUT CG-48 BP- 27x Und</v>
          </cell>
          <cell r="E219" t="str">
            <v>COVIDIEN</v>
          </cell>
          <cell r="F219" t="str">
            <v/>
          </cell>
          <cell r="G219" t="str">
            <v/>
          </cell>
          <cell r="H219" t="str">
            <v/>
          </cell>
          <cell r="I219" t="str">
            <v>CJX24</v>
          </cell>
          <cell r="J219">
            <v>24</v>
          </cell>
          <cell r="K219">
            <v>1</v>
          </cell>
          <cell r="L219" t="str">
            <v>C</v>
          </cell>
          <cell r="M219">
            <v>111</v>
          </cell>
          <cell r="N219" t="str">
            <v>C</v>
          </cell>
          <cell r="O219">
            <v>37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5</v>
          </cell>
          <cell r="U219">
            <v>72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1520.1</v>
          </cell>
          <cell r="AB219">
            <v>1900.13</v>
          </cell>
          <cell r="AC219">
            <v>0</v>
          </cell>
          <cell r="AD219">
            <v>1900.13</v>
          </cell>
          <cell r="AE219">
            <v>0</v>
          </cell>
          <cell r="AF219">
            <v>33.78</v>
          </cell>
          <cell r="AG219">
            <v>0.8</v>
          </cell>
        </row>
        <row r="220">
          <cell r="B220">
            <v>252800608</v>
          </cell>
          <cell r="C220" t="str">
            <v/>
          </cell>
          <cell r="D220" t="str">
            <v>SUT. ETHIBOND 2-0 SH/SH PXX82 SIN TELFA x Und</v>
          </cell>
          <cell r="E220" t="str">
            <v>ETHICON</v>
          </cell>
          <cell r="F220" t="str">
            <v/>
          </cell>
          <cell r="G220" t="str">
            <v/>
          </cell>
          <cell r="H220" t="str">
            <v/>
          </cell>
          <cell r="I220" t="str">
            <v>CJX12</v>
          </cell>
          <cell r="J220">
            <v>1</v>
          </cell>
          <cell r="K220">
            <v>1</v>
          </cell>
          <cell r="L220" t="str">
            <v>C</v>
          </cell>
          <cell r="M220">
            <v>139</v>
          </cell>
          <cell r="N220" t="str">
            <v>C</v>
          </cell>
          <cell r="O220">
            <v>168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5</v>
          </cell>
          <cell r="U220">
            <v>12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12</v>
          </cell>
          <cell r="AA220">
            <v>1875.15</v>
          </cell>
          <cell r="AB220">
            <v>2343.94</v>
          </cell>
          <cell r="AC220">
            <v>0</v>
          </cell>
          <cell r="AD220">
            <v>2343.94</v>
          </cell>
          <cell r="AE220">
            <v>0</v>
          </cell>
          <cell r="AF220">
            <v>41.67</v>
          </cell>
          <cell r="AG220">
            <v>0.8</v>
          </cell>
        </row>
        <row r="221">
          <cell r="B221">
            <v>252800621</v>
          </cell>
          <cell r="C221" t="str">
            <v>X563H</v>
          </cell>
          <cell r="D221" t="str">
            <v>SUT. ETHIBOND 2-0SH X563H SIN TELFA x Und</v>
          </cell>
          <cell r="E221" t="str">
            <v>J&amp;J</v>
          </cell>
          <cell r="F221" t="str">
            <v/>
          </cell>
          <cell r="G221" t="str">
            <v/>
          </cell>
          <cell r="H221" t="str">
            <v/>
          </cell>
          <cell r="I221" t="str">
            <v>CJX36</v>
          </cell>
          <cell r="J221">
            <v>1</v>
          </cell>
          <cell r="K221">
            <v>1</v>
          </cell>
          <cell r="L221" t="str">
            <v>C</v>
          </cell>
          <cell r="M221">
            <v>149</v>
          </cell>
          <cell r="N221" t="str">
            <v>C</v>
          </cell>
          <cell r="O221">
            <v>125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5</v>
          </cell>
          <cell r="U221">
            <v>36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940.05</v>
          </cell>
          <cell r="AB221">
            <v>1175.06</v>
          </cell>
          <cell r="AC221">
            <v>0</v>
          </cell>
          <cell r="AD221">
            <v>1175.06</v>
          </cell>
          <cell r="AE221">
            <v>0</v>
          </cell>
          <cell r="AF221">
            <v>20.89</v>
          </cell>
          <cell r="AG221">
            <v>0.8</v>
          </cell>
        </row>
        <row r="222">
          <cell r="B222">
            <v>252800101</v>
          </cell>
          <cell r="C222" t="str">
            <v/>
          </cell>
          <cell r="D222" t="str">
            <v>SUT. MONOSOF 2-0 18" 45CM  (SN 764-164T) x Und./\Presentacion Caja x 36 Unds.</v>
          </cell>
          <cell r="E222" t="str">
            <v>COVIDIEN</v>
          </cell>
          <cell r="F222" t="str">
            <v>SN-764 COVIDIEN/664H ETHICON//</v>
          </cell>
          <cell r="G222" t="str">
            <v>SUTURAS DAFILON</v>
          </cell>
          <cell r="H222" t="str">
            <v/>
          </cell>
          <cell r="I222" t="str">
            <v>CJ</v>
          </cell>
          <cell r="J222">
            <v>36</v>
          </cell>
          <cell r="K222">
            <v>1</v>
          </cell>
          <cell r="L222" t="str">
            <v>C</v>
          </cell>
          <cell r="M222">
            <v>222</v>
          </cell>
          <cell r="N222" t="str">
            <v>C</v>
          </cell>
          <cell r="O222">
            <v>201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5</v>
          </cell>
          <cell r="U222">
            <v>36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85.95</v>
          </cell>
          <cell r="AB222">
            <v>107.44</v>
          </cell>
          <cell r="AC222">
            <v>0</v>
          </cell>
          <cell r="AD222">
            <v>107.44</v>
          </cell>
          <cell r="AE222">
            <v>0</v>
          </cell>
          <cell r="AF222">
            <v>1.91</v>
          </cell>
          <cell r="AG222">
            <v>0.8</v>
          </cell>
        </row>
        <row r="223">
          <cell r="B223">
            <v>252800932</v>
          </cell>
          <cell r="C223" t="str">
            <v/>
          </cell>
          <cell r="D223" t="str">
            <v>SUT. NYLON MONOFILAMENT NL163024F4P (ETHILON 3-0 163T) 45cm Aguja curva reverse cutting DFS-1 3/8 24mm PIEL</v>
          </cell>
          <cell r="E223" t="str">
            <v>DEMETECH</v>
          </cell>
          <cell r="F223" t="str">
            <v/>
          </cell>
          <cell r="G223" t="str">
            <v/>
          </cell>
          <cell r="H223" t="str">
            <v/>
          </cell>
          <cell r="I223" t="str">
            <v>CJX12</v>
          </cell>
          <cell r="J223">
            <v>1</v>
          </cell>
          <cell r="K223">
            <v>1</v>
          </cell>
          <cell r="L223" t="str">
            <v>C</v>
          </cell>
          <cell r="M223">
            <v>179</v>
          </cell>
          <cell r="N223" t="str">
            <v>C</v>
          </cell>
          <cell r="O223">
            <v>67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241</v>
          </cell>
          <cell r="U223">
            <v>180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48</v>
          </cell>
          <cell r="AA223">
            <v>61.65</v>
          </cell>
          <cell r="AB223">
            <v>77.06</v>
          </cell>
          <cell r="AC223">
            <v>0</v>
          </cell>
          <cell r="AD223">
            <v>77.06</v>
          </cell>
          <cell r="AE223">
            <v>0</v>
          </cell>
          <cell r="AF223">
            <v>1.37</v>
          </cell>
          <cell r="AG223">
            <v>0.8</v>
          </cell>
        </row>
        <row r="224">
          <cell r="B224">
            <v>252600167</v>
          </cell>
          <cell r="C224" t="str">
            <v>Z496G</v>
          </cell>
          <cell r="D224" t="str">
            <v>SUT. PDS II 4-0  Z496G x Und</v>
          </cell>
          <cell r="E224" t="str">
            <v>J&amp;J</v>
          </cell>
          <cell r="F224" t="str">
            <v/>
          </cell>
          <cell r="G224" t="str">
            <v/>
          </cell>
          <cell r="H224" t="str">
            <v/>
          </cell>
          <cell r="I224" t="str">
            <v>CJX12</v>
          </cell>
          <cell r="J224">
            <v>12</v>
          </cell>
          <cell r="K224">
            <v>1</v>
          </cell>
          <cell r="L224" t="str">
            <v>C</v>
          </cell>
          <cell r="M224">
            <v>130</v>
          </cell>
          <cell r="N224" t="str">
            <v>C</v>
          </cell>
          <cell r="O224">
            <v>71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5</v>
          </cell>
          <cell r="U224">
            <v>36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232.65</v>
          </cell>
          <cell r="AB224">
            <v>290.81</v>
          </cell>
          <cell r="AC224">
            <v>0</v>
          </cell>
          <cell r="AD224">
            <v>290.81</v>
          </cell>
          <cell r="AE224">
            <v>0</v>
          </cell>
          <cell r="AF224">
            <v>5.17</v>
          </cell>
          <cell r="AG224">
            <v>0.8</v>
          </cell>
        </row>
        <row r="225">
          <cell r="B225">
            <v>252600168</v>
          </cell>
          <cell r="C225" t="str">
            <v>Z493G</v>
          </cell>
          <cell r="D225" t="str">
            <v>SUT. PDS II 5-0  Z493G x Und</v>
          </cell>
          <cell r="E225" t="str">
            <v>ETHICON</v>
          </cell>
          <cell r="F225" t="str">
            <v/>
          </cell>
          <cell r="G225" t="str">
            <v/>
          </cell>
          <cell r="H225" t="str">
            <v/>
          </cell>
          <cell r="I225" t="str">
            <v>CJX12</v>
          </cell>
          <cell r="J225">
            <v>12</v>
          </cell>
          <cell r="K225">
            <v>1</v>
          </cell>
          <cell r="L225" t="str">
            <v>C</v>
          </cell>
          <cell r="M225">
            <v>127</v>
          </cell>
          <cell r="N225" t="str">
            <v>C</v>
          </cell>
          <cell r="O225">
            <v>121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24</v>
          </cell>
          <cell r="U225">
            <v>24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633.6</v>
          </cell>
          <cell r="AB225">
            <v>792</v>
          </cell>
          <cell r="AC225">
            <v>0</v>
          </cell>
          <cell r="AD225">
            <v>792</v>
          </cell>
          <cell r="AE225">
            <v>0</v>
          </cell>
          <cell r="AF225">
            <v>14.08</v>
          </cell>
          <cell r="AG225">
            <v>0.8</v>
          </cell>
        </row>
        <row r="226">
          <cell r="B226">
            <v>252600166</v>
          </cell>
          <cell r="C226" t="str">
            <v>Z123H</v>
          </cell>
          <cell r="D226" t="str">
            <v>SUT. PDS II 6-0  Z123H x Und</v>
          </cell>
          <cell r="E226" t="str">
            <v>J&amp;J</v>
          </cell>
          <cell r="F226" t="str">
            <v/>
          </cell>
          <cell r="G226" t="str">
            <v/>
          </cell>
          <cell r="H226" t="str">
            <v/>
          </cell>
          <cell r="I226" t="str">
            <v>CJX36</v>
          </cell>
          <cell r="J226">
            <v>36</v>
          </cell>
          <cell r="K226">
            <v>1</v>
          </cell>
          <cell r="L226" t="str">
            <v>C</v>
          </cell>
          <cell r="M226">
            <v>87</v>
          </cell>
          <cell r="N226" t="str">
            <v>C</v>
          </cell>
          <cell r="O226">
            <v>40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5</v>
          </cell>
          <cell r="U226">
            <v>36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36</v>
          </cell>
          <cell r="AA226">
            <v>677.7</v>
          </cell>
          <cell r="AB226">
            <v>847.13</v>
          </cell>
          <cell r="AC226">
            <v>0</v>
          </cell>
          <cell r="AD226">
            <v>847.13</v>
          </cell>
          <cell r="AE226">
            <v>0</v>
          </cell>
          <cell r="AF226">
            <v>15.06</v>
          </cell>
          <cell r="AG226">
            <v>0.8</v>
          </cell>
        </row>
        <row r="227">
          <cell r="B227">
            <v>252650410</v>
          </cell>
          <cell r="C227" t="str">
            <v>J341H</v>
          </cell>
          <cell r="D227" t="str">
            <v>SUT. POLYGLACTIN 910 G1180136B0P (VICRYL 1  J341H)/70 cm Aguja Curva Round Bodied DCT-1 1/2 36mm x Und.^Marca DEMETECH</v>
          </cell>
          <cell r="E227" t="str">
            <v>DEMETECH</v>
          </cell>
          <cell r="F227" t="str">
            <v/>
          </cell>
          <cell r="G227" t="str">
            <v>SUTURAS SAFIL</v>
          </cell>
          <cell r="H227" t="str">
            <v/>
          </cell>
          <cell r="I227" t="str">
            <v>CJX12</v>
          </cell>
          <cell r="J227">
            <v>12</v>
          </cell>
          <cell r="K227">
            <v>1</v>
          </cell>
          <cell r="L227" t="str">
            <v>C</v>
          </cell>
          <cell r="M227">
            <v>142</v>
          </cell>
          <cell r="N227" t="str">
            <v>C</v>
          </cell>
          <cell r="O227">
            <v>27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241</v>
          </cell>
          <cell r="U227">
            <v>168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648</v>
          </cell>
          <cell r="AA227">
            <v>118.8</v>
          </cell>
          <cell r="AB227">
            <v>148.5</v>
          </cell>
          <cell r="AC227">
            <v>0</v>
          </cell>
          <cell r="AD227">
            <v>148.5</v>
          </cell>
          <cell r="AE227">
            <v>0</v>
          </cell>
          <cell r="AF227">
            <v>2.64</v>
          </cell>
          <cell r="AG227">
            <v>0.8</v>
          </cell>
        </row>
        <row r="228">
          <cell r="B228">
            <v>252650844</v>
          </cell>
          <cell r="C228" t="str">
            <v>SL690</v>
          </cell>
          <cell r="D228" t="str">
            <v>SUT. POLYSORB 5/0 AGUJA C-13 REF SL690 (COVIDIEN) x Und</v>
          </cell>
          <cell r="E228" t="str">
            <v>COVIDIEN</v>
          </cell>
          <cell r="F228" t="str">
            <v/>
          </cell>
          <cell r="G228" t="str">
            <v/>
          </cell>
          <cell r="H228" t="str">
            <v/>
          </cell>
          <cell r="I228" t="str">
            <v>CJX36</v>
          </cell>
          <cell r="J228">
            <v>36</v>
          </cell>
          <cell r="K228">
            <v>1</v>
          </cell>
          <cell r="L228" t="str">
            <v>C</v>
          </cell>
          <cell r="M228">
            <v>177</v>
          </cell>
          <cell r="N228" t="str">
            <v>C</v>
          </cell>
          <cell r="O228">
            <v>148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5</v>
          </cell>
          <cell r="U228">
            <v>36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435.6</v>
          </cell>
          <cell r="AB228">
            <v>544.5</v>
          </cell>
          <cell r="AC228">
            <v>0</v>
          </cell>
          <cell r="AD228">
            <v>544.5</v>
          </cell>
          <cell r="AE228">
            <v>0</v>
          </cell>
          <cell r="AF228">
            <v>9.68</v>
          </cell>
          <cell r="AG228">
            <v>0.8</v>
          </cell>
        </row>
        <row r="229">
          <cell r="B229">
            <v>252800419</v>
          </cell>
          <cell r="C229" t="str">
            <v>8521H</v>
          </cell>
          <cell r="D229" t="str">
            <v>SUT. PROLENE 4-0, ag SH/SH, (8521H) Marca Johnson &amp; Johnson x Und</v>
          </cell>
          <cell r="E229" t="str">
            <v>J&amp;J</v>
          </cell>
          <cell r="F229" t="str">
            <v/>
          </cell>
          <cell r="G229" t="str">
            <v/>
          </cell>
          <cell r="H229" t="str">
            <v/>
          </cell>
          <cell r="I229" t="str">
            <v>CJX36</v>
          </cell>
          <cell r="J229">
            <v>36</v>
          </cell>
          <cell r="K229">
            <v>1</v>
          </cell>
          <cell r="L229" t="str">
            <v>C</v>
          </cell>
          <cell r="M229">
            <v>161</v>
          </cell>
          <cell r="N229" t="str">
            <v>C</v>
          </cell>
          <cell r="O229">
            <v>35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5</v>
          </cell>
          <cell r="U229">
            <v>216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1173.5999999999999</v>
          </cell>
          <cell r="AB229">
            <v>1467</v>
          </cell>
          <cell r="AC229">
            <v>0</v>
          </cell>
          <cell r="AD229">
            <v>1467</v>
          </cell>
          <cell r="AE229">
            <v>0</v>
          </cell>
          <cell r="AF229">
            <v>26.08</v>
          </cell>
          <cell r="AG229">
            <v>0.8</v>
          </cell>
        </row>
        <row r="230">
          <cell r="B230">
            <v>244010004</v>
          </cell>
          <cell r="C230" t="str">
            <v>8318H</v>
          </cell>
          <cell r="D230" t="str">
            <v>SUT. PROLENE 6-0, Marca Johnson &amp; Johnson (8318H) x Und</v>
          </cell>
          <cell r="E230" t="str">
            <v>J&amp;J</v>
          </cell>
          <cell r="F230" t="str">
            <v/>
          </cell>
          <cell r="G230" t="str">
            <v/>
          </cell>
          <cell r="H230" t="str">
            <v/>
          </cell>
          <cell r="I230" t="str">
            <v>CJX36</v>
          </cell>
          <cell r="J230">
            <v>1</v>
          </cell>
          <cell r="K230">
            <v>1</v>
          </cell>
          <cell r="L230" t="str">
            <v>C</v>
          </cell>
          <cell r="M230">
            <v>94</v>
          </cell>
          <cell r="N230" t="str">
            <v>C</v>
          </cell>
          <cell r="O230">
            <v>15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5</v>
          </cell>
          <cell r="U230">
            <v>72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3443.4</v>
          </cell>
          <cell r="AB230">
            <v>4304.25</v>
          </cell>
          <cell r="AC230">
            <v>0</v>
          </cell>
          <cell r="AD230">
            <v>4304.25</v>
          </cell>
          <cell r="AE230">
            <v>0</v>
          </cell>
          <cell r="AF230">
            <v>76.52</v>
          </cell>
          <cell r="AG230">
            <v>0.8</v>
          </cell>
        </row>
        <row r="231">
          <cell r="B231">
            <v>252850528</v>
          </cell>
          <cell r="C231" t="str">
            <v>SA87G</v>
          </cell>
          <cell r="D231" t="str">
            <v>SUT. SEDA NEGRA TRENZ 1 PERMA-HAND (SA87G) x Und./\Caja x 12 Unds.</v>
          </cell>
          <cell r="E231" t="str">
            <v>BRAUN</v>
          </cell>
          <cell r="F231" t="str">
            <v/>
          </cell>
          <cell r="G231" t="str">
            <v>SUTURAS SILKAM</v>
          </cell>
          <cell r="H231" t="str">
            <v/>
          </cell>
          <cell r="I231" t="str">
            <v>CJX12</v>
          </cell>
          <cell r="J231">
            <v>12</v>
          </cell>
          <cell r="K231">
            <v>1</v>
          </cell>
          <cell r="L231" t="str">
            <v>C</v>
          </cell>
          <cell r="M231">
            <v>264</v>
          </cell>
          <cell r="N231" t="str">
            <v>C</v>
          </cell>
          <cell r="O231">
            <v>222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5</v>
          </cell>
          <cell r="U231">
            <v>36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135</v>
          </cell>
          <cell r="AB231">
            <v>168.75</v>
          </cell>
          <cell r="AC231">
            <v>0</v>
          </cell>
          <cell r="AD231">
            <v>168.75</v>
          </cell>
          <cell r="AE231">
            <v>0</v>
          </cell>
          <cell r="AF231">
            <v>3</v>
          </cell>
          <cell r="AG231">
            <v>0.8</v>
          </cell>
        </row>
        <row r="232">
          <cell r="B232">
            <v>252650415</v>
          </cell>
          <cell r="C232" t="str">
            <v>8703H</v>
          </cell>
          <cell r="D232" t="str">
            <v>SUT. SURGIPRO 7-0 BV-1 VP713/8703H/20S x Und</v>
          </cell>
          <cell r="E232" t="str">
            <v>COVIDIEN</v>
          </cell>
          <cell r="F232" t="str">
            <v/>
          </cell>
          <cell r="G232" t="str">
            <v/>
          </cell>
          <cell r="H232" t="str">
            <v/>
          </cell>
          <cell r="I232" t="str">
            <v>CJX36</v>
          </cell>
          <cell r="J232">
            <v>36</v>
          </cell>
          <cell r="K232">
            <v>1</v>
          </cell>
          <cell r="L232" t="str">
            <v>C</v>
          </cell>
          <cell r="M232">
            <v>128</v>
          </cell>
          <cell r="N232" t="str">
            <v>C</v>
          </cell>
          <cell r="O232">
            <v>93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5</v>
          </cell>
          <cell r="U232">
            <v>36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702</v>
          </cell>
          <cell r="AB232">
            <v>877.5</v>
          </cell>
          <cell r="AC232">
            <v>0</v>
          </cell>
          <cell r="AD232">
            <v>877.5</v>
          </cell>
          <cell r="AE232">
            <v>0</v>
          </cell>
          <cell r="AF232">
            <v>15.6</v>
          </cell>
          <cell r="AG232">
            <v>0.8</v>
          </cell>
        </row>
        <row r="233">
          <cell r="B233">
            <v>252600369</v>
          </cell>
          <cell r="C233" t="str">
            <v/>
          </cell>
          <cell r="D233" t="str">
            <v>SUT. SURGIPRO II 3-0 SP-5663G x Und</v>
          </cell>
          <cell r="E233" t="str">
            <v>COVIDIEN</v>
          </cell>
          <cell r="F233" t="str">
            <v/>
          </cell>
          <cell r="G233" t="str">
            <v/>
          </cell>
          <cell r="H233" t="str">
            <v/>
          </cell>
          <cell r="I233" t="str">
            <v>CJX12</v>
          </cell>
          <cell r="J233">
            <v>1</v>
          </cell>
          <cell r="K233">
            <v>1</v>
          </cell>
          <cell r="L233" t="str">
            <v>C</v>
          </cell>
          <cell r="M233">
            <v>205</v>
          </cell>
          <cell r="N233" t="str">
            <v>C</v>
          </cell>
          <cell r="O233">
            <v>164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5</v>
          </cell>
          <cell r="U233">
            <v>48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154.80000000000001</v>
          </cell>
          <cell r="AB233">
            <v>193.5</v>
          </cell>
          <cell r="AC233">
            <v>0</v>
          </cell>
          <cell r="AD233">
            <v>193.5</v>
          </cell>
          <cell r="AE233">
            <v>0</v>
          </cell>
          <cell r="AF233">
            <v>3.44</v>
          </cell>
          <cell r="AG233">
            <v>0.8</v>
          </cell>
        </row>
        <row r="234">
          <cell r="B234">
            <v>252800127</v>
          </cell>
          <cell r="C234" t="str">
            <v>1696G</v>
          </cell>
          <cell r="D234" t="str">
            <v>SUT. SUT. NYLON MONOFILAMENT ETHILON 7-0, P-1 1696G x Und</v>
          </cell>
          <cell r="E234" t="str">
            <v>J&amp;J</v>
          </cell>
          <cell r="F234" t="str">
            <v/>
          </cell>
          <cell r="G234" t="str">
            <v/>
          </cell>
          <cell r="H234" t="str">
            <v/>
          </cell>
          <cell r="I234" t="str">
            <v>CJX12</v>
          </cell>
          <cell r="J234">
            <v>12</v>
          </cell>
          <cell r="K234">
            <v>1</v>
          </cell>
          <cell r="L234" t="str">
            <v>C</v>
          </cell>
          <cell r="M234">
            <v>138</v>
          </cell>
          <cell r="N234" t="str">
            <v>C</v>
          </cell>
          <cell r="O234">
            <v>113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5</v>
          </cell>
          <cell r="U234">
            <v>36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916.65</v>
          </cell>
          <cell r="AB234">
            <v>1145.81</v>
          </cell>
          <cell r="AC234">
            <v>0</v>
          </cell>
          <cell r="AD234">
            <v>1145.81</v>
          </cell>
          <cell r="AE234">
            <v>0</v>
          </cell>
          <cell r="AF234">
            <v>20.37</v>
          </cell>
          <cell r="AG234">
            <v>0.8</v>
          </cell>
        </row>
        <row r="235">
          <cell r="B235">
            <v>252650422</v>
          </cell>
          <cell r="C235" t="str">
            <v/>
          </cell>
          <cell r="D235" t="str">
            <v>SUT. Vicryl 1 J341H ETHICON  x Und</v>
          </cell>
          <cell r="E235" t="str">
            <v>ETHICON</v>
          </cell>
          <cell r="F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>
            <v>1</v>
          </cell>
          <cell r="K235">
            <v>1</v>
          </cell>
          <cell r="L235" t="str">
            <v>C</v>
          </cell>
          <cell r="M235">
            <v>109</v>
          </cell>
          <cell r="N235" t="str">
            <v>B</v>
          </cell>
          <cell r="O235">
            <v>34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162</v>
          </cell>
          <cell r="U235">
            <v>144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287.10000000000002</v>
          </cell>
          <cell r="AB235">
            <v>358.88</v>
          </cell>
          <cell r="AC235">
            <v>0</v>
          </cell>
          <cell r="AD235">
            <v>358.88</v>
          </cell>
          <cell r="AE235">
            <v>0</v>
          </cell>
          <cell r="AF235">
            <v>6.38</v>
          </cell>
          <cell r="AG235">
            <v>0.8</v>
          </cell>
        </row>
        <row r="236">
          <cell r="B236">
            <v>252650421</v>
          </cell>
          <cell r="C236" t="str">
            <v>G121H</v>
          </cell>
          <cell r="D236" t="str">
            <v>SUT.CHROMIC GUT ETHICON 4-0 G121H x Und</v>
          </cell>
          <cell r="E236" t="str">
            <v>ETHICON</v>
          </cell>
          <cell r="F236" t="str">
            <v>G121T  COVIDIEN</v>
          </cell>
          <cell r="G236" t="str">
            <v>SUTURAS VICRYL</v>
          </cell>
          <cell r="H236" t="str">
            <v/>
          </cell>
          <cell r="I236" t="str">
            <v>CJX36</v>
          </cell>
          <cell r="J236">
            <v>1</v>
          </cell>
          <cell r="K236">
            <v>1</v>
          </cell>
          <cell r="L236" t="str">
            <v>C</v>
          </cell>
          <cell r="M236">
            <v>201</v>
          </cell>
          <cell r="N236" t="str">
            <v>C</v>
          </cell>
          <cell r="O236">
            <v>138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5</v>
          </cell>
          <cell r="U236">
            <v>72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152.55000000000001</v>
          </cell>
          <cell r="AB236">
            <v>190.69</v>
          </cell>
          <cell r="AC236">
            <v>0</v>
          </cell>
          <cell r="AD236">
            <v>190.69</v>
          </cell>
          <cell r="AE236">
            <v>0</v>
          </cell>
          <cell r="AF236">
            <v>3.39</v>
          </cell>
          <cell r="AG236">
            <v>0.8</v>
          </cell>
        </row>
        <row r="237">
          <cell r="B237">
            <v>250100408</v>
          </cell>
          <cell r="C237" t="str">
            <v/>
          </cell>
          <cell r="D237" t="str">
            <v>TIRA REACTIVA . MCKESSON x Und</v>
          </cell>
          <cell r="E237" t="str">
            <v>MCKESSON</v>
          </cell>
          <cell r="F237" t="str">
            <v/>
          </cell>
          <cell r="G237" t="str">
            <v/>
          </cell>
          <cell r="H237" t="str">
            <v/>
          </cell>
          <cell r="I237" t="str">
            <v>CJX50</v>
          </cell>
          <cell r="J237">
            <v>50</v>
          </cell>
          <cell r="K237">
            <v>1</v>
          </cell>
          <cell r="L237" t="str">
            <v>C</v>
          </cell>
          <cell r="M237">
            <v>403</v>
          </cell>
          <cell r="N237" t="str">
            <v>C</v>
          </cell>
          <cell r="O237">
            <v>271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21</v>
          </cell>
          <cell r="U237">
            <v>1400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1500</v>
          </cell>
          <cell r="AA237">
            <v>10.426500000000001</v>
          </cell>
          <cell r="AB237">
            <v>14.9</v>
          </cell>
          <cell r="AC237">
            <v>0</v>
          </cell>
          <cell r="AD237">
            <v>14.9</v>
          </cell>
          <cell r="AE237">
            <v>0</v>
          </cell>
          <cell r="AF237">
            <v>0.23169999999999999</v>
          </cell>
          <cell r="AG237">
            <v>0.7</v>
          </cell>
        </row>
        <row r="238">
          <cell r="B238">
            <v>240500403</v>
          </cell>
          <cell r="C238" t="str">
            <v>DYND44140</v>
          </cell>
          <cell r="D238" t="str">
            <v>TRAMPA DE LUCKENS  40 CC Marca MEDLINE x Und</v>
          </cell>
          <cell r="E238" t="str">
            <v>MEDLINE</v>
          </cell>
          <cell r="F238" t="str">
            <v/>
          </cell>
          <cell r="G238" t="str">
            <v/>
          </cell>
          <cell r="H238" t="str">
            <v/>
          </cell>
          <cell r="I238" t="str">
            <v>CJX50</v>
          </cell>
          <cell r="J238">
            <v>1</v>
          </cell>
          <cell r="K238">
            <v>1</v>
          </cell>
          <cell r="L238" t="str">
            <v>C</v>
          </cell>
          <cell r="M238">
            <v>53</v>
          </cell>
          <cell r="N238" t="str">
            <v>C</v>
          </cell>
          <cell r="O238">
            <v>3</v>
          </cell>
          <cell r="P238">
            <v>0</v>
          </cell>
          <cell r="Q238">
            <v>70</v>
          </cell>
          <cell r="R238">
            <v>70</v>
          </cell>
          <cell r="S238">
            <v>0</v>
          </cell>
          <cell r="T238">
            <v>24</v>
          </cell>
          <cell r="U238">
            <v>619</v>
          </cell>
          <cell r="V238">
            <v>0</v>
          </cell>
          <cell r="W238">
            <v>0</v>
          </cell>
          <cell r="X238">
            <v>0</v>
          </cell>
          <cell r="Y238">
            <v>70</v>
          </cell>
          <cell r="Z238">
            <v>70</v>
          </cell>
          <cell r="AA238">
            <v>90.45</v>
          </cell>
          <cell r="AB238">
            <v>150.75</v>
          </cell>
          <cell r="AC238">
            <v>0</v>
          </cell>
          <cell r="AD238">
            <v>150.75</v>
          </cell>
          <cell r="AE238">
            <v>0</v>
          </cell>
          <cell r="AF238">
            <v>2.0099999999999998</v>
          </cell>
          <cell r="AG238">
            <v>0.6</v>
          </cell>
        </row>
        <row r="239">
          <cell r="B239">
            <v>240850111</v>
          </cell>
          <cell r="C239" t="str">
            <v/>
          </cell>
          <cell r="D239" t="str">
            <v>TRANSDUCTOR DE PRESION /DELTRAN II (DPT248-A) - Marca FORSURE x Und</v>
          </cell>
          <cell r="E239" t="str">
            <v>FORSURE</v>
          </cell>
          <cell r="F239" t="str">
            <v/>
          </cell>
          <cell r="G239" t="str">
            <v/>
          </cell>
          <cell r="H239" t="str">
            <v/>
          </cell>
          <cell r="I239" t="str">
            <v>UND</v>
          </cell>
          <cell r="J239">
            <v>1</v>
          </cell>
          <cell r="K239">
            <v>1</v>
          </cell>
          <cell r="L239" t="str">
            <v>B</v>
          </cell>
          <cell r="M239">
            <v>5</v>
          </cell>
          <cell r="N239" t="str">
            <v>B</v>
          </cell>
          <cell r="O239">
            <v>6</v>
          </cell>
          <cell r="P239">
            <v>0</v>
          </cell>
          <cell r="Q239">
            <v>80</v>
          </cell>
          <cell r="R239">
            <v>80</v>
          </cell>
          <cell r="S239">
            <v>0</v>
          </cell>
          <cell r="T239">
            <v>5</v>
          </cell>
          <cell r="U239">
            <v>76</v>
          </cell>
          <cell r="V239">
            <v>0</v>
          </cell>
          <cell r="W239">
            <v>0</v>
          </cell>
          <cell r="X239">
            <v>0</v>
          </cell>
          <cell r="Y239">
            <v>100</v>
          </cell>
          <cell r="Z239">
            <v>120</v>
          </cell>
          <cell r="AA239">
            <v>731.25</v>
          </cell>
          <cell r="AB239">
            <v>1044.6400000000001</v>
          </cell>
          <cell r="AC239">
            <v>0</v>
          </cell>
          <cell r="AD239">
            <v>1044.6400000000001</v>
          </cell>
          <cell r="AE239">
            <v>0</v>
          </cell>
          <cell r="AF239">
            <v>16.25</v>
          </cell>
          <cell r="AG239">
            <v>0.7</v>
          </cell>
        </row>
        <row r="240">
          <cell r="B240">
            <v>253400233</v>
          </cell>
          <cell r="C240" t="str">
            <v>7CN80H</v>
          </cell>
          <cell r="D240" t="str">
            <v>TRAQUEOSTOMO DE CRISTAL Nª 8.0 x Und</v>
          </cell>
          <cell r="E240" t="str">
            <v>COVIDIEN</v>
          </cell>
          <cell r="F240" t="str">
            <v/>
          </cell>
          <cell r="G240" t="str">
            <v>TRAQUEOSTOMO TRAQUEOSTOMO</v>
          </cell>
          <cell r="H240" t="str">
            <v/>
          </cell>
          <cell r="I240" t="str">
            <v>UND</v>
          </cell>
          <cell r="J240">
            <v>1</v>
          </cell>
          <cell r="K240">
            <v>1</v>
          </cell>
          <cell r="L240" t="str">
            <v>C</v>
          </cell>
          <cell r="M240">
            <v>62</v>
          </cell>
          <cell r="N240" t="str">
            <v>C</v>
          </cell>
          <cell r="O240">
            <v>198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221</v>
          </cell>
          <cell r="U240">
            <v>1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9</v>
          </cell>
          <cell r="AA240">
            <v>6930</v>
          </cell>
          <cell r="AB240">
            <v>8152.94</v>
          </cell>
          <cell r="AC240">
            <v>0</v>
          </cell>
          <cell r="AD240">
            <v>8152.94</v>
          </cell>
          <cell r="AE240">
            <v>0</v>
          </cell>
          <cell r="AF240">
            <v>154</v>
          </cell>
          <cell r="AG240">
            <v>0.85</v>
          </cell>
        </row>
        <row r="241">
          <cell r="B241">
            <v>253400333</v>
          </cell>
          <cell r="C241" t="str">
            <v>5CN70H</v>
          </cell>
          <cell r="D241" t="str">
            <v>TRAQUEOTOMO CRISTAL 7.0  CON BALON x Und</v>
          </cell>
          <cell r="E241" t="str">
            <v>COVIDIEN</v>
          </cell>
          <cell r="F241" t="str">
            <v/>
          </cell>
          <cell r="G241" t="str">
            <v/>
          </cell>
          <cell r="H241" t="str">
            <v/>
          </cell>
          <cell r="I241" t="str">
            <v>UND</v>
          </cell>
          <cell r="J241">
            <v>1</v>
          </cell>
          <cell r="K241">
            <v>1</v>
          </cell>
          <cell r="L241" t="str">
            <v>C</v>
          </cell>
          <cell r="M241">
            <v>85</v>
          </cell>
          <cell r="N241" t="str">
            <v>C</v>
          </cell>
          <cell r="O241">
            <v>167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5</v>
          </cell>
          <cell r="U241">
            <v>3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3</v>
          </cell>
          <cell r="AA241">
            <v>3430.35</v>
          </cell>
          <cell r="AB241">
            <v>4035.71</v>
          </cell>
          <cell r="AC241">
            <v>0</v>
          </cell>
          <cell r="AD241">
            <v>4035.71</v>
          </cell>
          <cell r="AE241">
            <v>0</v>
          </cell>
          <cell r="AF241">
            <v>76.23</v>
          </cell>
          <cell r="AG241">
            <v>0.85</v>
          </cell>
        </row>
        <row r="242">
          <cell r="B242">
            <v>253400833</v>
          </cell>
          <cell r="C242" t="str">
            <v/>
          </cell>
          <cell r="D242" t="str">
            <v>TRAQUEOTOMO DE CRISTAL 6.0 CON BALON x Und</v>
          </cell>
          <cell r="E242" t="str">
            <v>PORTEX</v>
          </cell>
          <cell r="F242" t="str">
            <v/>
          </cell>
          <cell r="G242" t="str">
            <v/>
          </cell>
          <cell r="H242" t="str">
            <v/>
          </cell>
          <cell r="I242" t="str">
            <v>UND</v>
          </cell>
          <cell r="J242">
            <v>1</v>
          </cell>
          <cell r="K242">
            <v>1</v>
          </cell>
          <cell r="L242" t="str">
            <v>C</v>
          </cell>
          <cell r="M242">
            <v>112</v>
          </cell>
          <cell r="N242" t="str">
            <v>C</v>
          </cell>
          <cell r="O242">
            <v>213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5</v>
          </cell>
          <cell r="U242">
            <v>2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3431.7</v>
          </cell>
          <cell r="AB242">
            <v>4037.29</v>
          </cell>
          <cell r="AC242">
            <v>0</v>
          </cell>
          <cell r="AD242">
            <v>4037.29</v>
          </cell>
          <cell r="AE242">
            <v>0</v>
          </cell>
          <cell r="AF242">
            <v>76.260000000000005</v>
          </cell>
          <cell r="AG242">
            <v>0.85</v>
          </cell>
        </row>
        <row r="243">
          <cell r="B243">
            <v>253400893</v>
          </cell>
          <cell r="C243" t="str">
            <v/>
          </cell>
          <cell r="D243" t="str">
            <v>TRAQUEOTOMO DE CRISTAL 6.5 CON BALON x Und</v>
          </cell>
          <cell r="E243" t="str">
            <v>COVIDIEN</v>
          </cell>
          <cell r="F243" t="str">
            <v/>
          </cell>
          <cell r="G243" t="str">
            <v/>
          </cell>
          <cell r="H243" t="str">
            <v/>
          </cell>
          <cell r="I243" t="str">
            <v>UND</v>
          </cell>
          <cell r="J243">
            <v>1</v>
          </cell>
          <cell r="K243">
            <v>1</v>
          </cell>
          <cell r="L243" t="str">
            <v>C</v>
          </cell>
          <cell r="M243">
            <v>133</v>
          </cell>
          <cell r="N243" t="str">
            <v>C</v>
          </cell>
          <cell r="O243">
            <v>207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298</v>
          </cell>
          <cell r="U243">
            <v>4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3431.7</v>
          </cell>
          <cell r="AB243">
            <v>4037.29</v>
          </cell>
          <cell r="AC243">
            <v>0</v>
          </cell>
          <cell r="AD243">
            <v>4037.29</v>
          </cell>
          <cell r="AE243">
            <v>0</v>
          </cell>
          <cell r="AF243">
            <v>76.260000000000005</v>
          </cell>
          <cell r="AG243">
            <v>0.85</v>
          </cell>
        </row>
        <row r="244">
          <cell r="B244">
            <v>253400133</v>
          </cell>
          <cell r="C244" t="str">
            <v>3.5NCF</v>
          </cell>
          <cell r="D244" t="str">
            <v>TRAQUEOTOMO NEONATAL C/BALON 3.5 COVIDIEN X UNIDAD</v>
          </cell>
          <cell r="E244" t="str">
            <v>COVIDIEN</v>
          </cell>
          <cell r="F244" t="str">
            <v/>
          </cell>
          <cell r="G244" t="str">
            <v/>
          </cell>
          <cell r="H244" t="str">
            <v/>
          </cell>
          <cell r="I244" t="str">
            <v>UND</v>
          </cell>
          <cell r="J244">
            <v>1</v>
          </cell>
          <cell r="K244">
            <v>1</v>
          </cell>
          <cell r="L244" t="str">
            <v>C</v>
          </cell>
          <cell r="M244">
            <v>2</v>
          </cell>
          <cell r="N244" t="str">
            <v>C</v>
          </cell>
          <cell r="O244">
            <v>111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5</v>
          </cell>
          <cell r="U244">
            <v>1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1</v>
          </cell>
          <cell r="AA244">
            <v>6930</v>
          </cell>
          <cell r="AB244">
            <v>8152.94</v>
          </cell>
          <cell r="AC244">
            <v>0</v>
          </cell>
          <cell r="AD244">
            <v>8152.94</v>
          </cell>
          <cell r="AE244">
            <v>0</v>
          </cell>
          <cell r="AF244">
            <v>154</v>
          </cell>
          <cell r="AG244">
            <v>0.85</v>
          </cell>
        </row>
        <row r="245">
          <cell r="B245">
            <v>240600222</v>
          </cell>
          <cell r="C245" t="str">
            <v>11230035</v>
          </cell>
          <cell r="D245" t="str">
            <v>TUBO ENDOBRONQUIAL DOBLE LUMEN 35 FR. DER. ROBERTSHAW - FORSURE x Und</v>
          </cell>
          <cell r="E245" t="str">
            <v>FORSURE</v>
          </cell>
          <cell r="F245" t="str">
            <v/>
          </cell>
          <cell r="G245" t="str">
            <v>TUBOS ENDOBRONQUIAL</v>
          </cell>
          <cell r="H245" t="str">
            <v/>
          </cell>
          <cell r="I245" t="str">
            <v>UND</v>
          </cell>
          <cell r="J245">
            <v>1</v>
          </cell>
          <cell r="K245">
            <v>1</v>
          </cell>
          <cell r="L245" t="str">
            <v>C</v>
          </cell>
          <cell r="M245">
            <v>93</v>
          </cell>
          <cell r="N245" t="str">
            <v>C</v>
          </cell>
          <cell r="O245">
            <v>137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5</v>
          </cell>
          <cell r="U245">
            <v>7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5</v>
          </cell>
          <cell r="AA245">
            <v>2362.5</v>
          </cell>
          <cell r="AB245">
            <v>2779.41</v>
          </cell>
          <cell r="AC245">
            <v>0</v>
          </cell>
          <cell r="AD245">
            <v>2779.41</v>
          </cell>
          <cell r="AE245">
            <v>0</v>
          </cell>
          <cell r="AF245">
            <v>52.5</v>
          </cell>
          <cell r="AG245">
            <v>0.85</v>
          </cell>
        </row>
        <row r="246">
          <cell r="B246">
            <v>240600227</v>
          </cell>
          <cell r="C246" t="str">
            <v>240600227</v>
          </cell>
          <cell r="D246" t="str">
            <v>TUBO ENDOBRONQUIAL DOBLE LUMEN 35 FR. IZQ. ROBERTSHAW - FORSURE</v>
          </cell>
          <cell r="E246" t="str">
            <v>FORSURE</v>
          </cell>
          <cell r="F246" t="str">
            <v/>
          </cell>
          <cell r="G246" t="str">
            <v>TUBOS ENDOBRONQUIAL</v>
          </cell>
          <cell r="H246" t="str">
            <v/>
          </cell>
          <cell r="I246" t="str">
            <v>UND</v>
          </cell>
          <cell r="J246">
            <v>1</v>
          </cell>
          <cell r="K246">
            <v>1</v>
          </cell>
          <cell r="L246" t="str">
            <v>C</v>
          </cell>
          <cell r="M246">
            <v>31</v>
          </cell>
          <cell r="N246" t="str">
            <v>C</v>
          </cell>
          <cell r="O246">
            <v>10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5</v>
          </cell>
          <cell r="U246">
            <v>18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1</v>
          </cell>
          <cell r="AA246">
            <v>2362.5</v>
          </cell>
          <cell r="AB246">
            <v>2779.41</v>
          </cell>
          <cell r="AC246">
            <v>0</v>
          </cell>
          <cell r="AD246">
            <v>2779.41</v>
          </cell>
          <cell r="AE246">
            <v>0</v>
          </cell>
          <cell r="AF246">
            <v>52.5</v>
          </cell>
          <cell r="AG246">
            <v>0.85</v>
          </cell>
        </row>
        <row r="247">
          <cell r="B247">
            <v>240600229</v>
          </cell>
          <cell r="C247" t="str">
            <v>240600229</v>
          </cell>
          <cell r="D247" t="str">
            <v>TUBO ENDOBRONQUIAL DOBLE LUMEN 37 FR. IZQ. ROBERTSHAW - FORSURE x Und</v>
          </cell>
          <cell r="E247" t="str">
            <v>FORSURE</v>
          </cell>
          <cell r="F247" t="str">
            <v/>
          </cell>
          <cell r="G247" t="str">
            <v>TUBOS ENDOBRONQUIAL</v>
          </cell>
          <cell r="H247" t="str">
            <v/>
          </cell>
          <cell r="I247" t="str">
            <v>UND</v>
          </cell>
          <cell r="J247">
            <v>1</v>
          </cell>
          <cell r="K247">
            <v>1</v>
          </cell>
          <cell r="L247" t="str">
            <v>C</v>
          </cell>
          <cell r="M247">
            <v>419</v>
          </cell>
          <cell r="N247" t="str">
            <v>B</v>
          </cell>
          <cell r="O247">
            <v>21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5</v>
          </cell>
          <cell r="U247">
            <v>16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1</v>
          </cell>
          <cell r="AA247">
            <v>2362.5</v>
          </cell>
          <cell r="AB247">
            <v>2779.41</v>
          </cell>
          <cell r="AC247">
            <v>0</v>
          </cell>
          <cell r="AD247">
            <v>2779.41</v>
          </cell>
          <cell r="AE247">
            <v>0</v>
          </cell>
          <cell r="AF247">
            <v>52.5</v>
          </cell>
          <cell r="AG247">
            <v>0.85</v>
          </cell>
        </row>
        <row r="248">
          <cell r="B248">
            <v>250450201</v>
          </cell>
          <cell r="C248" t="str">
            <v>5-10404</v>
          </cell>
          <cell r="D248" t="str">
            <v>TUBO ENDOTRAQUEAL  2.0 S/BALON MARCA HUDDSON x Und</v>
          </cell>
          <cell r="E248" t="str">
            <v>HUDDSON</v>
          </cell>
          <cell r="F248" t="str">
            <v/>
          </cell>
          <cell r="G248" t="str">
            <v>TUBOS ENDOTRAQUEAL</v>
          </cell>
          <cell r="H248" t="str">
            <v/>
          </cell>
          <cell r="I248" t="str">
            <v>CJX10</v>
          </cell>
          <cell r="J248">
            <v>1</v>
          </cell>
          <cell r="K248">
            <v>1</v>
          </cell>
          <cell r="L248" t="str">
            <v/>
          </cell>
          <cell r="M248">
            <v>0</v>
          </cell>
          <cell r="N248" t="str">
            <v/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5</v>
          </cell>
          <cell r="U248">
            <v>11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1450</v>
          </cell>
          <cell r="AA248">
            <v>138.15</v>
          </cell>
          <cell r="AB248">
            <v>162.53</v>
          </cell>
          <cell r="AC248">
            <v>0</v>
          </cell>
          <cell r="AD248">
            <v>162.53</v>
          </cell>
          <cell r="AE248">
            <v>0</v>
          </cell>
          <cell r="AF248">
            <v>3.07</v>
          </cell>
          <cell r="AG248">
            <v>0.85</v>
          </cell>
        </row>
        <row r="249">
          <cell r="B249">
            <v>250450202</v>
          </cell>
          <cell r="C249" t="str">
            <v/>
          </cell>
          <cell r="D249" t="str">
            <v>TUBO ENDOTRAQUEAL  2.5 S/BALON  Marca Portex Smith Medical x Und</v>
          </cell>
          <cell r="E249" t="str">
            <v>SMITH MEDICAL</v>
          </cell>
          <cell r="F249" t="str">
            <v/>
          </cell>
          <cell r="G249" t="str">
            <v/>
          </cell>
          <cell r="H249" t="str">
            <v/>
          </cell>
          <cell r="I249" t="str">
            <v>CJX10</v>
          </cell>
          <cell r="J249">
            <v>1</v>
          </cell>
          <cell r="K249">
            <v>1</v>
          </cell>
          <cell r="L249" t="str">
            <v>C</v>
          </cell>
          <cell r="M249">
            <v>220</v>
          </cell>
          <cell r="N249" t="str">
            <v>C</v>
          </cell>
          <cell r="O249">
            <v>249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24</v>
          </cell>
          <cell r="U249">
            <v>4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5</v>
          </cell>
          <cell r="AA249">
            <v>138.15</v>
          </cell>
          <cell r="AB249">
            <v>162.53</v>
          </cell>
          <cell r="AC249">
            <v>0</v>
          </cell>
          <cell r="AD249">
            <v>162.53</v>
          </cell>
          <cell r="AE249">
            <v>0</v>
          </cell>
          <cell r="AF249">
            <v>3.07</v>
          </cell>
          <cell r="AG249">
            <v>0.85</v>
          </cell>
        </row>
        <row r="250">
          <cell r="B250">
            <v>250450214</v>
          </cell>
          <cell r="C250" t="str">
            <v>11290050</v>
          </cell>
          <cell r="D250" t="str">
            <v>TUBO ENDOTRAQUEAL  5,0 C/BALON REFORZADO Marca Forsure x Und</v>
          </cell>
          <cell r="E250" t="str">
            <v>FORSURE</v>
          </cell>
          <cell r="F250" t="str">
            <v/>
          </cell>
          <cell r="G250" t="str">
            <v>TUBOS ENDOTRAQUEAL</v>
          </cell>
          <cell r="H250" t="str">
            <v/>
          </cell>
          <cell r="I250" t="str">
            <v>CJX5</v>
          </cell>
          <cell r="J250">
            <v>1</v>
          </cell>
          <cell r="K250">
            <v>1</v>
          </cell>
          <cell r="L250" t="str">
            <v>C</v>
          </cell>
          <cell r="M250">
            <v>307</v>
          </cell>
          <cell r="N250" t="str">
            <v>C</v>
          </cell>
          <cell r="O250">
            <v>265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5</v>
          </cell>
          <cell r="U250">
            <v>20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1500</v>
          </cell>
          <cell r="AA250">
            <v>183.15</v>
          </cell>
          <cell r="AB250">
            <v>215.47</v>
          </cell>
          <cell r="AC250">
            <v>0</v>
          </cell>
          <cell r="AD250">
            <v>215.47</v>
          </cell>
          <cell r="AE250">
            <v>0</v>
          </cell>
          <cell r="AF250">
            <v>4.07</v>
          </cell>
          <cell r="AG250">
            <v>0.85</v>
          </cell>
        </row>
        <row r="251">
          <cell r="B251">
            <v>250450223</v>
          </cell>
          <cell r="C251" t="str">
            <v>100/100/05</v>
          </cell>
          <cell r="D251" t="str">
            <v>TUBO ENDOTRAQUEAL 3.5 C/BALON MARCA MEDLINE x Und</v>
          </cell>
          <cell r="E251" t="str">
            <v>MEDLINE</v>
          </cell>
          <cell r="F251" t="str">
            <v/>
          </cell>
          <cell r="G251" t="str">
            <v/>
          </cell>
          <cell r="H251" t="str">
            <v/>
          </cell>
          <cell r="I251" t="str">
            <v>CJX10</v>
          </cell>
          <cell r="J251">
            <v>1</v>
          </cell>
          <cell r="K251">
            <v>1</v>
          </cell>
          <cell r="L251" t="str">
            <v>C</v>
          </cell>
          <cell r="M251">
            <v>165</v>
          </cell>
          <cell r="N251" t="str">
            <v>C</v>
          </cell>
          <cell r="O251">
            <v>194</v>
          </cell>
          <cell r="P251">
            <v>0</v>
          </cell>
          <cell r="Q251">
            <v>10</v>
          </cell>
          <cell r="R251">
            <v>10</v>
          </cell>
          <cell r="S251">
            <v>0</v>
          </cell>
          <cell r="T251">
            <v>5</v>
          </cell>
          <cell r="U251">
            <v>3</v>
          </cell>
          <cell r="V251">
            <v>0</v>
          </cell>
          <cell r="W251">
            <v>0</v>
          </cell>
          <cell r="X251">
            <v>0</v>
          </cell>
          <cell r="Y251">
            <v>10</v>
          </cell>
          <cell r="Z251">
            <v>10</v>
          </cell>
          <cell r="AA251">
            <v>138.15</v>
          </cell>
          <cell r="AB251">
            <v>162.53</v>
          </cell>
          <cell r="AC251">
            <v>0</v>
          </cell>
          <cell r="AD251">
            <v>162.53</v>
          </cell>
          <cell r="AE251">
            <v>0</v>
          </cell>
          <cell r="AF251">
            <v>3.07</v>
          </cell>
          <cell r="AG251">
            <v>0.85</v>
          </cell>
        </row>
        <row r="252">
          <cell r="B252">
            <v>250450199</v>
          </cell>
          <cell r="C252" t="str">
            <v>100/100/04</v>
          </cell>
          <cell r="D252" t="str">
            <v>TUBO ENDOTRAQUEAL 4.0 C/BALON MARCA AIRCARE SMITH MEDICAL x Und</v>
          </cell>
          <cell r="E252" t="str">
            <v>SMITH MEDICAL</v>
          </cell>
          <cell r="F252" t="str">
            <v/>
          </cell>
          <cell r="G252" t="str">
            <v/>
          </cell>
          <cell r="H252" t="str">
            <v/>
          </cell>
          <cell r="I252" t="str">
            <v>UND</v>
          </cell>
          <cell r="J252">
            <v>1</v>
          </cell>
          <cell r="K252">
            <v>1</v>
          </cell>
          <cell r="L252" t="str">
            <v>C</v>
          </cell>
          <cell r="M252">
            <v>173</v>
          </cell>
          <cell r="N252" t="str">
            <v>C</v>
          </cell>
          <cell r="O252">
            <v>141</v>
          </cell>
          <cell r="P252">
            <v>0</v>
          </cell>
          <cell r="Q252">
            <v>10</v>
          </cell>
          <cell r="R252">
            <v>10</v>
          </cell>
          <cell r="S252">
            <v>0</v>
          </cell>
          <cell r="T252">
            <v>5</v>
          </cell>
          <cell r="U252">
            <v>27</v>
          </cell>
          <cell r="V252">
            <v>0</v>
          </cell>
          <cell r="W252">
            <v>0</v>
          </cell>
          <cell r="X252">
            <v>0</v>
          </cell>
          <cell r="Y252">
            <v>10</v>
          </cell>
          <cell r="Z252">
            <v>15</v>
          </cell>
          <cell r="AA252">
            <v>138.15</v>
          </cell>
          <cell r="AB252">
            <v>162.53</v>
          </cell>
          <cell r="AC252">
            <v>0</v>
          </cell>
          <cell r="AD252">
            <v>162.53</v>
          </cell>
          <cell r="AE252">
            <v>0</v>
          </cell>
          <cell r="AF252">
            <v>3.07</v>
          </cell>
          <cell r="AG252">
            <v>0.85</v>
          </cell>
        </row>
        <row r="253">
          <cell r="B253">
            <v>240600300</v>
          </cell>
          <cell r="C253" t="str">
            <v>DYNJAETC55</v>
          </cell>
          <cell r="D253" t="str">
            <v>TUBO ENDOTRAQUEAL 5,5 C/BALON //C ESTILETA MEDLINE x Und</v>
          </cell>
          <cell r="E253" t="str">
            <v>MEDLINE</v>
          </cell>
          <cell r="F253" t="str">
            <v/>
          </cell>
          <cell r="G253" t="str">
            <v/>
          </cell>
          <cell r="H253" t="str">
            <v/>
          </cell>
          <cell r="I253" t="str">
            <v>UND</v>
          </cell>
          <cell r="J253">
            <v>1</v>
          </cell>
          <cell r="K253">
            <v>1</v>
          </cell>
          <cell r="L253" t="str">
            <v>C</v>
          </cell>
          <cell r="M253">
            <v>183</v>
          </cell>
          <cell r="N253" t="str">
            <v>C</v>
          </cell>
          <cell r="O253">
            <v>262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5</v>
          </cell>
          <cell r="U253">
            <v>1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10</v>
          </cell>
          <cell r="AA253">
            <v>138.15</v>
          </cell>
          <cell r="AB253">
            <v>162.53</v>
          </cell>
          <cell r="AC253">
            <v>0</v>
          </cell>
          <cell r="AD253">
            <v>162.53</v>
          </cell>
          <cell r="AE253">
            <v>0</v>
          </cell>
          <cell r="AF253">
            <v>3.07</v>
          </cell>
          <cell r="AG253">
            <v>0.85</v>
          </cell>
        </row>
        <row r="254">
          <cell r="B254">
            <v>250450323</v>
          </cell>
          <cell r="C254" t="str">
            <v>100/100/05</v>
          </cell>
          <cell r="D254" t="str">
            <v>TUBO ENDOTRAQUEAL 5.0 C/BALON MARCA MEDLINE x Und</v>
          </cell>
          <cell r="E254" t="str">
            <v>MEDLINE</v>
          </cell>
          <cell r="F254" t="str">
            <v/>
          </cell>
          <cell r="G254" t="str">
            <v/>
          </cell>
          <cell r="H254" t="str">
            <v/>
          </cell>
          <cell r="I254" t="str">
            <v>CJX10</v>
          </cell>
          <cell r="J254">
            <v>1</v>
          </cell>
          <cell r="K254">
            <v>1</v>
          </cell>
          <cell r="L254" t="str">
            <v>C</v>
          </cell>
          <cell r="M254">
            <v>195</v>
          </cell>
          <cell r="N254" t="str">
            <v>C</v>
          </cell>
          <cell r="O254">
            <v>151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5</v>
          </cell>
          <cell r="U254">
            <v>50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16</v>
          </cell>
          <cell r="AA254">
            <v>138.15</v>
          </cell>
          <cell r="AB254">
            <v>162.53</v>
          </cell>
          <cell r="AC254">
            <v>0</v>
          </cell>
          <cell r="AD254">
            <v>162.53</v>
          </cell>
          <cell r="AE254">
            <v>0</v>
          </cell>
          <cell r="AF254">
            <v>3.07</v>
          </cell>
          <cell r="AG254">
            <v>0.85</v>
          </cell>
        </row>
        <row r="255">
          <cell r="B255">
            <v>250450498</v>
          </cell>
          <cell r="C255" t="str">
            <v/>
          </cell>
          <cell r="D255" t="str">
            <v>TUBO ENDOTRAQUEAL 5.5 C/BALON MARCA MEDLINE x Und</v>
          </cell>
          <cell r="E255" t="str">
            <v>MEDLINE</v>
          </cell>
          <cell r="F255" t="str">
            <v/>
          </cell>
          <cell r="G255" t="str">
            <v/>
          </cell>
          <cell r="H255" t="str">
            <v/>
          </cell>
          <cell r="I255" t="str">
            <v>UND</v>
          </cell>
          <cell r="J255">
            <v>1</v>
          </cell>
          <cell r="K255">
            <v>1</v>
          </cell>
          <cell r="L255" t="str">
            <v>C</v>
          </cell>
          <cell r="M255">
            <v>372</v>
          </cell>
          <cell r="N255" t="str">
            <v>C</v>
          </cell>
          <cell r="O255">
            <v>251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5</v>
          </cell>
          <cell r="U255">
            <v>73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10</v>
          </cell>
          <cell r="AA255">
            <v>138.15</v>
          </cell>
          <cell r="AB255">
            <v>162.53</v>
          </cell>
          <cell r="AC255">
            <v>0</v>
          </cell>
          <cell r="AD255">
            <v>162.53</v>
          </cell>
          <cell r="AE255">
            <v>0</v>
          </cell>
          <cell r="AF255">
            <v>3.07</v>
          </cell>
          <cell r="AG255">
            <v>0.85</v>
          </cell>
        </row>
        <row r="256">
          <cell r="B256">
            <v>240600234</v>
          </cell>
          <cell r="C256" t="str">
            <v/>
          </cell>
          <cell r="D256" t="str">
            <v>TUBO ENDOTRAQUEAL 6,0 C/BALON RUSCH x Und</v>
          </cell>
          <cell r="E256" t="str">
            <v>RUSCH</v>
          </cell>
          <cell r="F256" t="str">
            <v>REF 112082060</v>
          </cell>
          <cell r="G256" t="str">
            <v/>
          </cell>
          <cell r="H256" t="str">
            <v/>
          </cell>
          <cell r="I256" t="str">
            <v>UND</v>
          </cell>
          <cell r="J256">
            <v>1</v>
          </cell>
          <cell r="K256">
            <v>1</v>
          </cell>
          <cell r="L256" t="str">
            <v>C</v>
          </cell>
          <cell r="M256">
            <v>180</v>
          </cell>
          <cell r="N256" t="str">
            <v>C</v>
          </cell>
          <cell r="O256">
            <v>57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33</v>
          </cell>
          <cell r="U256">
            <v>222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15</v>
          </cell>
          <cell r="AA256">
            <v>138.15</v>
          </cell>
          <cell r="AB256">
            <v>162.53</v>
          </cell>
          <cell r="AC256">
            <v>0</v>
          </cell>
          <cell r="AD256">
            <v>162.53</v>
          </cell>
          <cell r="AE256">
            <v>0</v>
          </cell>
          <cell r="AF256">
            <v>3.07</v>
          </cell>
          <cell r="AG256">
            <v>0.85</v>
          </cell>
        </row>
        <row r="257">
          <cell r="B257">
            <v>240600299</v>
          </cell>
          <cell r="C257" t="str">
            <v>DYNJAETC70</v>
          </cell>
          <cell r="D257" t="str">
            <v>TUBO ENDOTRAQUEAL 7,0 C/BALON MARCA MEDLINE x Und</v>
          </cell>
          <cell r="E257" t="str">
            <v>MEDLINE</v>
          </cell>
          <cell r="F257" t="str">
            <v/>
          </cell>
          <cell r="G257" t="str">
            <v/>
          </cell>
          <cell r="H257" t="str">
            <v/>
          </cell>
          <cell r="I257" t="str">
            <v>CJX10</v>
          </cell>
          <cell r="J257">
            <v>1</v>
          </cell>
          <cell r="K257">
            <v>1</v>
          </cell>
          <cell r="L257" t="str">
            <v>C</v>
          </cell>
          <cell r="M257">
            <v>202</v>
          </cell>
          <cell r="N257" t="str">
            <v>C</v>
          </cell>
          <cell r="O257">
            <v>120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167</v>
          </cell>
          <cell r="U257">
            <v>110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40</v>
          </cell>
          <cell r="AA257">
            <v>138.15</v>
          </cell>
          <cell r="AB257">
            <v>162.53</v>
          </cell>
          <cell r="AC257">
            <v>0</v>
          </cell>
          <cell r="AD257">
            <v>162.53</v>
          </cell>
          <cell r="AE257">
            <v>0</v>
          </cell>
          <cell r="AF257">
            <v>3.07</v>
          </cell>
          <cell r="AG257">
            <v>0.85</v>
          </cell>
        </row>
        <row r="258">
          <cell r="B258">
            <v>240600200</v>
          </cell>
          <cell r="C258" t="str">
            <v>DYNJAETC80</v>
          </cell>
          <cell r="D258" t="str">
            <v>TUBO ENDOTRAQUEAL 8,0 C/BALON //C ESTILETA MEDLINE x Und</v>
          </cell>
          <cell r="E258" t="str">
            <v>MEDLINE</v>
          </cell>
          <cell r="F258" t="str">
            <v/>
          </cell>
          <cell r="G258" t="str">
            <v/>
          </cell>
          <cell r="H258" t="str">
            <v/>
          </cell>
          <cell r="I258" t="str">
            <v>UND</v>
          </cell>
          <cell r="J258">
            <v>1</v>
          </cell>
          <cell r="K258">
            <v>1</v>
          </cell>
          <cell r="L258" t="str">
            <v>C</v>
          </cell>
          <cell r="M258">
            <v>200</v>
          </cell>
          <cell r="N258" t="str">
            <v>C</v>
          </cell>
          <cell r="O258">
            <v>133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5</v>
          </cell>
          <cell r="U258">
            <v>76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10</v>
          </cell>
          <cell r="AA258">
            <v>138.15</v>
          </cell>
          <cell r="AB258">
            <v>162.53</v>
          </cell>
          <cell r="AC258">
            <v>0</v>
          </cell>
          <cell r="AD258">
            <v>162.53</v>
          </cell>
          <cell r="AE258">
            <v>0</v>
          </cell>
          <cell r="AF258">
            <v>3.07</v>
          </cell>
          <cell r="AG258">
            <v>0.85</v>
          </cell>
        </row>
        <row r="259">
          <cell r="B259">
            <v>240600901</v>
          </cell>
          <cell r="C259" t="str">
            <v>DYNJAETC85</v>
          </cell>
          <cell r="D259" t="str">
            <v>TUBO ENDOTRAQUEAL 8,5 C/BALON //C ESTILETA MEDLINE x Und</v>
          </cell>
          <cell r="E259" t="str">
            <v>MEDLINE</v>
          </cell>
          <cell r="F259" t="str">
            <v/>
          </cell>
          <cell r="G259" t="str">
            <v/>
          </cell>
          <cell r="H259" t="str">
            <v/>
          </cell>
          <cell r="I259" t="str">
            <v>UND</v>
          </cell>
          <cell r="J259">
            <v>1</v>
          </cell>
          <cell r="K259">
            <v>1</v>
          </cell>
          <cell r="L259" t="str">
            <v>C</v>
          </cell>
          <cell r="M259">
            <v>184</v>
          </cell>
          <cell r="N259" t="str">
            <v>C</v>
          </cell>
          <cell r="O259">
            <v>127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5</v>
          </cell>
          <cell r="U259">
            <v>65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10</v>
          </cell>
          <cell r="AA259">
            <v>138.15</v>
          </cell>
          <cell r="AB259">
            <v>162.53</v>
          </cell>
          <cell r="AC259">
            <v>0</v>
          </cell>
          <cell r="AD259">
            <v>162.53</v>
          </cell>
          <cell r="AE259">
            <v>0</v>
          </cell>
          <cell r="AF259">
            <v>3.07</v>
          </cell>
          <cell r="AG259">
            <v>0.85</v>
          </cell>
        </row>
        <row r="260">
          <cell r="B260">
            <v>250150402</v>
          </cell>
          <cell r="C260" t="str">
            <v>DYND48045</v>
          </cell>
          <cell r="D260" t="str">
            <v>TUBO ENDOTRAQUEAL HI LOW 4.5 S/BALON MEDLINE x Und</v>
          </cell>
          <cell r="E260" t="str">
            <v>MEDLINE</v>
          </cell>
          <cell r="F260" t="str">
            <v/>
          </cell>
          <cell r="G260" t="str">
            <v/>
          </cell>
          <cell r="H260" t="str">
            <v/>
          </cell>
          <cell r="I260" t="str">
            <v>CJX10</v>
          </cell>
          <cell r="J260">
            <v>1</v>
          </cell>
          <cell r="K260">
            <v>1</v>
          </cell>
          <cell r="L260" t="str">
            <v>C</v>
          </cell>
          <cell r="M260">
            <v>294</v>
          </cell>
          <cell r="N260" t="str">
            <v>C</v>
          </cell>
          <cell r="O260">
            <v>264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5</v>
          </cell>
          <cell r="U260">
            <v>11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8</v>
          </cell>
          <cell r="AA260">
            <v>138.15</v>
          </cell>
          <cell r="AB260">
            <v>162.53</v>
          </cell>
          <cell r="AC260">
            <v>0</v>
          </cell>
          <cell r="AD260">
            <v>162.53</v>
          </cell>
          <cell r="AE260">
            <v>0</v>
          </cell>
          <cell r="AF260">
            <v>3.07</v>
          </cell>
          <cell r="AG260">
            <v>0.85</v>
          </cell>
        </row>
        <row r="261">
          <cell r="B261">
            <v>250150902</v>
          </cell>
          <cell r="C261" t="str">
            <v/>
          </cell>
          <cell r="D261" t="str">
            <v>TUBO ENDOTRAQUEAL HI LOW 5.0 S/BALON MEDLINE x Und</v>
          </cell>
          <cell r="E261" t="str">
            <v/>
          </cell>
          <cell r="F261" t="str">
            <v/>
          </cell>
          <cell r="G261" t="str">
            <v/>
          </cell>
          <cell r="H261" t="str">
            <v/>
          </cell>
          <cell r="I261" t="str">
            <v>UND</v>
          </cell>
          <cell r="J261">
            <v>1</v>
          </cell>
          <cell r="K261">
            <v>1</v>
          </cell>
          <cell r="L261" t="str">
            <v>C</v>
          </cell>
          <cell r="M261">
            <v>424</v>
          </cell>
          <cell r="N261" t="str">
            <v>C</v>
          </cell>
          <cell r="O261">
            <v>135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26</v>
          </cell>
          <cell r="U261">
            <v>20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138.15</v>
          </cell>
          <cell r="AB261">
            <v>162.53</v>
          </cell>
          <cell r="AC261">
            <v>0</v>
          </cell>
          <cell r="AD261">
            <v>162.53</v>
          </cell>
          <cell r="AE261">
            <v>0</v>
          </cell>
          <cell r="AF261">
            <v>3.07</v>
          </cell>
          <cell r="AG261">
            <v>0.85</v>
          </cell>
        </row>
        <row r="262">
          <cell r="B262">
            <v>250150502</v>
          </cell>
          <cell r="C262" t="str">
            <v>DYND48055</v>
          </cell>
          <cell r="D262" t="str">
            <v>TUBO ENDOTRAQUEAL HI LOW 5.5 S/BALON MEDLINE x Und</v>
          </cell>
          <cell r="E262" t="str">
            <v>MEDLINE</v>
          </cell>
          <cell r="F262" t="str">
            <v/>
          </cell>
          <cell r="G262" t="str">
            <v/>
          </cell>
          <cell r="H262" t="str">
            <v/>
          </cell>
          <cell r="I262" t="str">
            <v>CJX10</v>
          </cell>
          <cell r="J262">
            <v>1</v>
          </cell>
          <cell r="K262">
            <v>1</v>
          </cell>
          <cell r="L262" t="str">
            <v>C</v>
          </cell>
          <cell r="M262">
            <v>295</v>
          </cell>
          <cell r="N262" t="str">
            <v>C</v>
          </cell>
          <cell r="O262">
            <v>276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5</v>
          </cell>
          <cell r="U262">
            <v>4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10</v>
          </cell>
          <cell r="AA262">
            <v>138.15</v>
          </cell>
          <cell r="AB262">
            <v>162.53</v>
          </cell>
          <cell r="AC262">
            <v>0</v>
          </cell>
          <cell r="AD262">
            <v>162.53</v>
          </cell>
          <cell r="AE262">
            <v>0</v>
          </cell>
          <cell r="AF262">
            <v>3.07</v>
          </cell>
          <cell r="AG262">
            <v>0.85</v>
          </cell>
        </row>
        <row r="263">
          <cell r="B263">
            <v>243450306</v>
          </cell>
          <cell r="C263" t="str">
            <v/>
          </cell>
          <cell r="D263" t="str">
            <v>TUBO ENDOTRAQUEAL HI LOW 6.5 C/BALON MEDLINE x UND</v>
          </cell>
          <cell r="E263" t="str">
            <v>MEDLINE</v>
          </cell>
          <cell r="F263" t="str">
            <v/>
          </cell>
          <cell r="G263" t="str">
            <v/>
          </cell>
          <cell r="H263" t="str">
            <v/>
          </cell>
          <cell r="I263" t="str">
            <v>UND</v>
          </cell>
          <cell r="J263">
            <v>1</v>
          </cell>
          <cell r="K263">
            <v>1</v>
          </cell>
          <cell r="L263" t="str">
            <v>C</v>
          </cell>
          <cell r="M263">
            <v>235</v>
          </cell>
          <cell r="N263" t="str">
            <v>C</v>
          </cell>
          <cell r="O263">
            <v>239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5</v>
          </cell>
          <cell r="U263">
            <v>9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14</v>
          </cell>
          <cell r="AA263">
            <v>138.15</v>
          </cell>
          <cell r="AB263">
            <v>162.53</v>
          </cell>
          <cell r="AC263">
            <v>0</v>
          </cell>
          <cell r="AD263">
            <v>162.53</v>
          </cell>
          <cell r="AE263">
            <v>0</v>
          </cell>
          <cell r="AF263">
            <v>3.07</v>
          </cell>
          <cell r="AG263">
            <v>0.85</v>
          </cell>
        </row>
        <row r="264">
          <cell r="B264">
            <v>240600210</v>
          </cell>
          <cell r="C264" t="str">
            <v>DYND43070</v>
          </cell>
          <cell r="D264" t="str">
            <v>TUBO ENDOTRAQUEAL HI LOW 7,0 C/BALON MEDLINE x Und</v>
          </cell>
          <cell r="E264" t="str">
            <v>MEDLINE</v>
          </cell>
          <cell r="F264" t="str">
            <v/>
          </cell>
          <cell r="G264" t="str">
            <v>TUBOS ENDOTRAQUEAL</v>
          </cell>
          <cell r="H264" t="str">
            <v/>
          </cell>
          <cell r="I264" t="str">
            <v>CJX10</v>
          </cell>
          <cell r="J264">
            <v>1</v>
          </cell>
          <cell r="K264">
            <v>1</v>
          </cell>
          <cell r="L264" t="str">
            <v>C</v>
          </cell>
          <cell r="M264">
            <v>191</v>
          </cell>
          <cell r="N264" t="str">
            <v>C</v>
          </cell>
          <cell r="O264">
            <v>215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5</v>
          </cell>
          <cell r="U264">
            <v>9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5910</v>
          </cell>
          <cell r="AA264">
            <v>138.15</v>
          </cell>
          <cell r="AB264">
            <v>162.53</v>
          </cell>
          <cell r="AC264">
            <v>0</v>
          </cell>
          <cell r="AD264">
            <v>162.53</v>
          </cell>
          <cell r="AE264">
            <v>0</v>
          </cell>
          <cell r="AF264">
            <v>3.07</v>
          </cell>
          <cell r="AG264">
            <v>0.85</v>
          </cell>
        </row>
        <row r="265">
          <cell r="B265">
            <v>243450206</v>
          </cell>
          <cell r="C265" t="str">
            <v>DYND43075</v>
          </cell>
          <cell r="D265" t="str">
            <v>TUBO ENDOTRAQUEAL HI LOW 7.5 C/BALON MEDLINE x Und</v>
          </cell>
          <cell r="E265" t="str">
            <v>MEDLINE</v>
          </cell>
          <cell r="F265" t="str">
            <v/>
          </cell>
          <cell r="G265" t="str">
            <v>TUBOS ENDOTRAQUEAL</v>
          </cell>
          <cell r="H265" t="str">
            <v/>
          </cell>
          <cell r="I265" t="str">
            <v>CJX10</v>
          </cell>
          <cell r="J265">
            <v>1</v>
          </cell>
          <cell r="K265">
            <v>1</v>
          </cell>
          <cell r="L265" t="str">
            <v>C</v>
          </cell>
          <cell r="M265">
            <v>262</v>
          </cell>
          <cell r="N265" t="str">
            <v>C</v>
          </cell>
          <cell r="O265">
            <v>204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5</v>
          </cell>
          <cell r="U265">
            <v>75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1000</v>
          </cell>
          <cell r="AA265">
            <v>138.15</v>
          </cell>
          <cell r="AB265">
            <v>162.53</v>
          </cell>
          <cell r="AC265">
            <v>0</v>
          </cell>
          <cell r="AD265">
            <v>162.53</v>
          </cell>
          <cell r="AE265">
            <v>0</v>
          </cell>
          <cell r="AF265">
            <v>3.07</v>
          </cell>
          <cell r="AG265">
            <v>0.85</v>
          </cell>
        </row>
        <row r="266">
          <cell r="B266">
            <v>240600213</v>
          </cell>
          <cell r="C266" t="str">
            <v>DYND43085</v>
          </cell>
          <cell r="D266" t="str">
            <v>TUBO ENDOTRAQUEAL HI LOW 8,5 C/BALON MEDLINE x Und</v>
          </cell>
          <cell r="E266" t="str">
            <v>MEDLINE</v>
          </cell>
          <cell r="F266" t="str">
            <v/>
          </cell>
          <cell r="G266" t="str">
            <v>TUBOS ENDOTRAQUEAL</v>
          </cell>
          <cell r="H266" t="str">
            <v/>
          </cell>
          <cell r="I266" t="str">
            <v>CJX10</v>
          </cell>
          <cell r="J266">
            <v>1</v>
          </cell>
          <cell r="K266">
            <v>1</v>
          </cell>
          <cell r="L266" t="str">
            <v>C</v>
          </cell>
          <cell r="M266">
            <v>267</v>
          </cell>
          <cell r="N266" t="str">
            <v>C</v>
          </cell>
          <cell r="O266">
            <v>202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5</v>
          </cell>
          <cell r="U266">
            <v>89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1210</v>
          </cell>
          <cell r="AA266">
            <v>138.15</v>
          </cell>
          <cell r="AB266">
            <v>162.53</v>
          </cell>
          <cell r="AC266">
            <v>0</v>
          </cell>
          <cell r="AD266">
            <v>162.53</v>
          </cell>
          <cell r="AE266">
            <v>0</v>
          </cell>
          <cell r="AF266">
            <v>3.07</v>
          </cell>
          <cell r="AG266">
            <v>0.85</v>
          </cell>
        </row>
        <row r="267">
          <cell r="B267">
            <v>243450207</v>
          </cell>
          <cell r="C267" t="str">
            <v>DYND43080</v>
          </cell>
          <cell r="D267" t="str">
            <v>TUBO ENDOTRAQUEAL HI LOW 8.0 C/BALON MEDLINE x Und</v>
          </cell>
          <cell r="E267" t="str">
            <v>MEDLINE</v>
          </cell>
          <cell r="F267" t="str">
            <v/>
          </cell>
          <cell r="G267" t="str">
            <v>TUBOS ENDOTRAQUEAL</v>
          </cell>
          <cell r="H267" t="str">
            <v/>
          </cell>
          <cell r="I267" t="str">
            <v>CJX10</v>
          </cell>
          <cell r="J267">
            <v>1</v>
          </cell>
          <cell r="K267">
            <v>1</v>
          </cell>
          <cell r="L267" t="str">
            <v>C</v>
          </cell>
          <cell r="M267">
            <v>268</v>
          </cell>
          <cell r="N267" t="str">
            <v>C</v>
          </cell>
          <cell r="O267">
            <v>211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5</v>
          </cell>
          <cell r="U267">
            <v>56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489</v>
          </cell>
          <cell r="AA267">
            <v>138.15</v>
          </cell>
          <cell r="AB267">
            <v>162.53</v>
          </cell>
          <cell r="AC267">
            <v>0</v>
          </cell>
          <cell r="AD267">
            <v>162.53</v>
          </cell>
          <cell r="AE267">
            <v>0</v>
          </cell>
          <cell r="AF267">
            <v>3.07</v>
          </cell>
          <cell r="AG267">
            <v>0.85</v>
          </cell>
        </row>
        <row r="268">
          <cell r="B268">
            <v>240600216</v>
          </cell>
          <cell r="C268" t="str">
            <v/>
          </cell>
          <cell r="D268" t="str">
            <v>TUBO TAPA AZUL GRADILLA X 100 UNDS. MARCA DIPHOCARE</v>
          </cell>
          <cell r="E268" t="str">
            <v>DIPHOSYC</v>
          </cell>
          <cell r="F268" t="str">
            <v/>
          </cell>
          <cell r="G268" t="str">
            <v>TUBOS ENDOTRAQUEAL</v>
          </cell>
          <cell r="H268" t="str">
            <v/>
          </cell>
          <cell r="I268" t="str">
            <v>CJX100</v>
          </cell>
          <cell r="J268">
            <v>1</v>
          </cell>
          <cell r="K268">
            <v>1</v>
          </cell>
          <cell r="L268" t="str">
            <v>C</v>
          </cell>
          <cell r="M268">
            <v>16</v>
          </cell>
          <cell r="N268" t="str">
            <v>C</v>
          </cell>
          <cell r="O268">
            <v>47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238</v>
          </cell>
          <cell r="U268">
            <v>4500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1000</v>
          </cell>
          <cell r="AA268">
            <v>3.1004999999999998</v>
          </cell>
          <cell r="AB268">
            <v>3.65</v>
          </cell>
          <cell r="AC268">
            <v>0</v>
          </cell>
          <cell r="AD268">
            <v>3.65</v>
          </cell>
          <cell r="AE268">
            <v>0</v>
          </cell>
          <cell r="AF268">
            <v>6.8900000000000003E-2</v>
          </cell>
          <cell r="AG268">
            <v>0.84959999999999991</v>
          </cell>
        </row>
        <row r="269">
          <cell r="B269">
            <v>240600215</v>
          </cell>
          <cell r="C269" t="str">
            <v/>
          </cell>
          <cell r="D269" t="str">
            <v>TUBO TAPA MORADA GRADILLA X 100 UNDS. MARCA VACUUM DIAGNOSTICS</v>
          </cell>
          <cell r="E269" t="str">
            <v>DIPHOSYC</v>
          </cell>
          <cell r="F269" t="str">
            <v/>
          </cell>
          <cell r="G269" t="str">
            <v>TUBOS ENDOTRAQUEAL</v>
          </cell>
          <cell r="H269" t="str">
            <v/>
          </cell>
          <cell r="I269" t="str">
            <v>CJX100</v>
          </cell>
          <cell r="J269">
            <v>1</v>
          </cell>
          <cell r="K269">
            <v>1</v>
          </cell>
          <cell r="L269" t="str">
            <v>B</v>
          </cell>
          <cell r="M269">
            <v>10</v>
          </cell>
          <cell r="N269" t="str">
            <v>C</v>
          </cell>
          <cell r="O269">
            <v>16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238</v>
          </cell>
          <cell r="U269">
            <v>9100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2000</v>
          </cell>
          <cell r="AA269">
            <v>5.85</v>
          </cell>
          <cell r="AB269">
            <v>6.88</v>
          </cell>
          <cell r="AC269">
            <v>0</v>
          </cell>
          <cell r="AD269">
            <v>6.88</v>
          </cell>
          <cell r="AE269">
            <v>0</v>
          </cell>
          <cell r="AF269">
            <v>0.13</v>
          </cell>
          <cell r="AG269">
            <v>0.85019999999999996</v>
          </cell>
        </row>
        <row r="270">
          <cell r="B270">
            <v>242350299</v>
          </cell>
          <cell r="C270" t="str">
            <v>32630</v>
          </cell>
          <cell r="D270" t="str">
            <v>VASO HUMIDIFICADOR MARCA MC KESSON x Und</v>
          </cell>
          <cell r="E270" t="str">
            <v>MCKESSON</v>
          </cell>
          <cell r="F270" t="str">
            <v/>
          </cell>
          <cell r="G270" t="str">
            <v/>
          </cell>
          <cell r="H270" t="str">
            <v/>
          </cell>
          <cell r="I270" t="str">
            <v>UND</v>
          </cell>
          <cell r="J270">
            <v>1</v>
          </cell>
          <cell r="K270">
            <v>1</v>
          </cell>
          <cell r="L270" t="str">
            <v>C</v>
          </cell>
          <cell r="M270">
            <v>26</v>
          </cell>
          <cell r="N270" t="str">
            <v>C</v>
          </cell>
          <cell r="O270">
            <v>157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5</v>
          </cell>
          <cell r="U270">
            <v>16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25</v>
          </cell>
          <cell r="AA270">
            <v>189</v>
          </cell>
          <cell r="AB270">
            <v>252</v>
          </cell>
          <cell r="AC270">
            <v>0</v>
          </cell>
          <cell r="AD270">
            <v>252</v>
          </cell>
          <cell r="AE270">
            <v>0</v>
          </cell>
          <cell r="AF270">
            <v>4.2</v>
          </cell>
          <cell r="AG270">
            <v>0.75</v>
          </cell>
        </row>
        <row r="271">
          <cell r="B271">
            <v>242350209</v>
          </cell>
          <cell r="C271" t="str">
            <v>2006</v>
          </cell>
          <cell r="D271" t="str">
            <v>VASO HUMIDIFICADOR MARCA VYAIRE x Und</v>
          </cell>
          <cell r="E271" t="str">
            <v>VYAIRE</v>
          </cell>
          <cell r="F271" t="str">
            <v/>
          </cell>
          <cell r="G271" t="str">
            <v>OTROS OTROS</v>
          </cell>
          <cell r="H271" t="str">
            <v/>
          </cell>
          <cell r="I271" t="str">
            <v>BTOX50</v>
          </cell>
          <cell r="J271">
            <v>1</v>
          </cell>
          <cell r="K271">
            <v>1</v>
          </cell>
          <cell r="L271" t="str">
            <v>C</v>
          </cell>
          <cell r="M271">
            <v>249</v>
          </cell>
          <cell r="N271" t="str">
            <v>C</v>
          </cell>
          <cell r="O271">
            <v>77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223</v>
          </cell>
          <cell r="U271">
            <v>820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580</v>
          </cell>
          <cell r="AA271">
            <v>189</v>
          </cell>
          <cell r="AB271">
            <v>252</v>
          </cell>
          <cell r="AC271">
            <v>0</v>
          </cell>
          <cell r="AD271">
            <v>252</v>
          </cell>
          <cell r="AE271">
            <v>0</v>
          </cell>
          <cell r="AF271">
            <v>4.2</v>
          </cell>
          <cell r="AG271">
            <v>0.75</v>
          </cell>
        </row>
        <row r="272">
          <cell r="B272">
            <v>243200303</v>
          </cell>
          <cell r="C272" t="str">
            <v>243200303</v>
          </cell>
          <cell r="D272" t="str">
            <v>VASO NEBULIZADOR MARCA VYAIRE BOCA ANCHA x Und</v>
          </cell>
          <cell r="E272" t="str">
            <v>VYAIRE</v>
          </cell>
          <cell r="F272" t="str">
            <v/>
          </cell>
          <cell r="G272" t="str">
            <v/>
          </cell>
          <cell r="H272" t="str">
            <v/>
          </cell>
          <cell r="I272" t="str">
            <v>CJX24</v>
          </cell>
          <cell r="J272">
            <v>1</v>
          </cell>
          <cell r="K272">
            <v>1</v>
          </cell>
          <cell r="L272" t="str">
            <v>C</v>
          </cell>
          <cell r="M272">
            <v>258</v>
          </cell>
          <cell r="N272" t="str">
            <v>C</v>
          </cell>
          <cell r="O272">
            <v>170</v>
          </cell>
          <cell r="P272">
            <v>0</v>
          </cell>
          <cell r="Q272">
            <v>32</v>
          </cell>
          <cell r="R272">
            <v>32</v>
          </cell>
          <cell r="S272">
            <v>0</v>
          </cell>
          <cell r="T272">
            <v>144</v>
          </cell>
          <cell r="U272">
            <v>87</v>
          </cell>
          <cell r="V272">
            <v>0</v>
          </cell>
          <cell r="W272">
            <v>0</v>
          </cell>
          <cell r="X272">
            <v>0</v>
          </cell>
          <cell r="Y272">
            <v>32</v>
          </cell>
          <cell r="Z272">
            <v>32</v>
          </cell>
          <cell r="AA272">
            <v>166.5</v>
          </cell>
          <cell r="AB272">
            <v>222</v>
          </cell>
          <cell r="AC272">
            <v>0</v>
          </cell>
          <cell r="AD272">
            <v>222</v>
          </cell>
          <cell r="AE272">
            <v>0</v>
          </cell>
          <cell r="AF272">
            <v>3.7</v>
          </cell>
          <cell r="AG272">
            <v>0.75</v>
          </cell>
        </row>
        <row r="273">
          <cell r="B273">
            <v>250150308</v>
          </cell>
          <cell r="C273" t="str">
            <v/>
          </cell>
          <cell r="D273" t="str">
            <v>VENDA ELASTICA (IDEAL - LEROY) 20CM X 5 MTS x Und</v>
          </cell>
          <cell r="E273" t="str">
            <v>LEROY</v>
          </cell>
          <cell r="F273" t="str">
            <v/>
          </cell>
          <cell r="G273" t="str">
            <v/>
          </cell>
          <cell r="H273" t="str">
            <v/>
          </cell>
          <cell r="I273" t="str">
            <v>UND</v>
          </cell>
          <cell r="J273">
            <v>1</v>
          </cell>
          <cell r="K273">
            <v>1</v>
          </cell>
          <cell r="L273" t="str">
            <v>C</v>
          </cell>
          <cell r="M273">
            <v>123</v>
          </cell>
          <cell r="N273" t="str">
            <v>C</v>
          </cell>
          <cell r="O273">
            <v>61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248</v>
          </cell>
          <cell r="U273">
            <v>63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63</v>
          </cell>
          <cell r="AA273">
            <v>190.8</v>
          </cell>
          <cell r="AB273">
            <v>238.5</v>
          </cell>
          <cell r="AC273">
            <v>0</v>
          </cell>
          <cell r="AD273">
            <v>238.5</v>
          </cell>
          <cell r="AE273">
            <v>0</v>
          </cell>
          <cell r="AF273">
            <v>4.24</v>
          </cell>
          <cell r="AG273">
            <v>0.8</v>
          </cell>
        </row>
        <row r="274">
          <cell r="B274">
            <v>250150307</v>
          </cell>
          <cell r="C274" t="str">
            <v/>
          </cell>
          <cell r="D274" t="str">
            <v>VENDA ELASTICA (IDEAL) 15CM X 5 MTS LEROY x Und</v>
          </cell>
          <cell r="E274" t="str">
            <v>LEROY</v>
          </cell>
          <cell r="F274" t="str">
            <v/>
          </cell>
          <cell r="G274" t="str">
            <v/>
          </cell>
          <cell r="H274" t="str">
            <v/>
          </cell>
          <cell r="I274" t="str">
            <v>UND</v>
          </cell>
          <cell r="J274">
            <v>1</v>
          </cell>
          <cell r="K274">
            <v>1</v>
          </cell>
          <cell r="L274" t="str">
            <v>C</v>
          </cell>
          <cell r="M274">
            <v>135</v>
          </cell>
          <cell r="N274" t="str">
            <v>C</v>
          </cell>
          <cell r="O274">
            <v>72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248</v>
          </cell>
          <cell r="U274">
            <v>16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90</v>
          </cell>
          <cell r="AA274">
            <v>130.5</v>
          </cell>
          <cell r="AB274">
            <v>163.13</v>
          </cell>
          <cell r="AC274">
            <v>0</v>
          </cell>
          <cell r="AD274">
            <v>163.13</v>
          </cell>
          <cell r="AE274">
            <v>0</v>
          </cell>
          <cell r="AF274">
            <v>2.9</v>
          </cell>
          <cell r="AG274">
            <v>0.8</v>
          </cell>
        </row>
        <row r="275">
          <cell r="B275">
            <v>250150306</v>
          </cell>
          <cell r="C275" t="str">
            <v/>
          </cell>
          <cell r="D275" t="str">
            <v>VENDA ELASTICA 10CM X 5 MTS LEROY x Und</v>
          </cell>
          <cell r="E275" t="str">
            <v>LEROY</v>
          </cell>
          <cell r="F275" t="str">
            <v/>
          </cell>
          <cell r="G275" t="str">
            <v/>
          </cell>
          <cell r="H275" t="str">
            <v/>
          </cell>
          <cell r="I275" t="str">
            <v>UND</v>
          </cell>
          <cell r="J275">
            <v>1</v>
          </cell>
          <cell r="K275">
            <v>1</v>
          </cell>
          <cell r="L275" t="str">
            <v>C</v>
          </cell>
          <cell r="M275">
            <v>361</v>
          </cell>
          <cell r="N275" t="str">
            <v>C</v>
          </cell>
          <cell r="O275">
            <v>219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116</v>
          </cell>
          <cell r="U275">
            <v>77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76</v>
          </cell>
          <cell r="AA275">
            <v>91.35</v>
          </cell>
          <cell r="AB275">
            <v>130.5</v>
          </cell>
          <cell r="AC275">
            <v>0</v>
          </cell>
          <cell r="AD275">
            <v>130.5</v>
          </cell>
          <cell r="AE275">
            <v>0</v>
          </cell>
          <cell r="AF275">
            <v>2.0299999999999998</v>
          </cell>
          <cell r="AG275">
            <v>0.7</v>
          </cell>
        </row>
        <row r="276">
          <cell r="B276">
            <v>250150304</v>
          </cell>
          <cell r="C276" t="str">
            <v/>
          </cell>
          <cell r="D276" t="str">
            <v>VENDA ELASTICA 5CM X 5 MTS LEROY x Und</v>
          </cell>
          <cell r="E276" t="str">
            <v>LEROY</v>
          </cell>
          <cell r="F276" t="str">
            <v/>
          </cell>
          <cell r="G276" t="str">
            <v/>
          </cell>
          <cell r="H276" t="str">
            <v/>
          </cell>
          <cell r="I276" t="str">
            <v>UND</v>
          </cell>
          <cell r="J276">
            <v>1</v>
          </cell>
          <cell r="K276">
            <v>1</v>
          </cell>
          <cell r="L276" t="str">
            <v>C</v>
          </cell>
          <cell r="M276">
            <v>137</v>
          </cell>
          <cell r="N276" t="str">
            <v>C</v>
          </cell>
          <cell r="O276">
            <v>39</v>
          </cell>
          <cell r="P276">
            <v>0</v>
          </cell>
          <cell r="Q276">
            <v>65</v>
          </cell>
          <cell r="R276">
            <v>65</v>
          </cell>
          <cell r="S276">
            <v>0</v>
          </cell>
          <cell r="T276">
            <v>5</v>
          </cell>
          <cell r="U276">
            <v>6275</v>
          </cell>
          <cell r="V276">
            <v>0</v>
          </cell>
          <cell r="W276">
            <v>0</v>
          </cell>
          <cell r="X276">
            <v>0</v>
          </cell>
          <cell r="Y276">
            <v>90</v>
          </cell>
          <cell r="Z276">
            <v>90</v>
          </cell>
          <cell r="AA276">
            <v>62.4375</v>
          </cell>
          <cell r="AB276">
            <v>104.06</v>
          </cell>
          <cell r="AC276">
            <v>0</v>
          </cell>
          <cell r="AD276">
            <v>104.06</v>
          </cell>
          <cell r="AE276">
            <v>0</v>
          </cell>
          <cell r="AF276">
            <v>1.3875</v>
          </cell>
          <cell r="AG276">
            <v>0.6</v>
          </cell>
        </row>
        <row r="277">
          <cell r="B277">
            <v>250150305</v>
          </cell>
          <cell r="C277" t="str">
            <v/>
          </cell>
          <cell r="D277" t="str">
            <v>VENDA ELASTICA 7.5CM X 5 MTS LEROY x Und</v>
          </cell>
          <cell r="E277" t="str">
            <v>LEROY</v>
          </cell>
          <cell r="F277" t="str">
            <v/>
          </cell>
          <cell r="G277" t="str">
            <v/>
          </cell>
          <cell r="H277" t="str">
            <v/>
          </cell>
          <cell r="I277" t="str">
            <v>UND</v>
          </cell>
          <cell r="J277">
            <v>1</v>
          </cell>
          <cell r="K277">
            <v>1</v>
          </cell>
          <cell r="L277" t="str">
            <v>C</v>
          </cell>
          <cell r="M277">
            <v>291</v>
          </cell>
          <cell r="N277" t="str">
            <v>C</v>
          </cell>
          <cell r="O277">
            <v>100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5</v>
          </cell>
          <cell r="U277">
            <v>1884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30</v>
          </cell>
          <cell r="AA277">
            <v>73.125</v>
          </cell>
          <cell r="AB277">
            <v>121.87</v>
          </cell>
          <cell r="AC277">
            <v>0</v>
          </cell>
          <cell r="AD277">
            <v>121.87</v>
          </cell>
          <cell r="AE277">
            <v>0</v>
          </cell>
          <cell r="AF277">
            <v>1.625</v>
          </cell>
          <cell r="AG277">
            <v>0.6</v>
          </cell>
        </row>
        <row r="278">
          <cell r="B278">
            <v>250150104</v>
          </cell>
          <cell r="C278" t="str">
            <v/>
          </cell>
          <cell r="D278" t="str">
            <v>VENDA ELASTICA 7.5cm (3") ACTIMED SPORT x Und</v>
          </cell>
          <cell r="E278" t="str">
            <v>ACTIMED</v>
          </cell>
          <cell r="F278" t="str">
            <v/>
          </cell>
          <cell r="G278" t="str">
            <v>VENDAS ELASTICAS</v>
          </cell>
          <cell r="H278" t="str">
            <v/>
          </cell>
          <cell r="I278" t="str">
            <v>UND</v>
          </cell>
          <cell r="J278">
            <v>1</v>
          </cell>
          <cell r="K278">
            <v>1</v>
          </cell>
          <cell r="L278" t="str">
            <v>C</v>
          </cell>
          <cell r="M278">
            <v>408</v>
          </cell>
          <cell r="N278" t="str">
            <v>C</v>
          </cell>
          <cell r="O278">
            <v>399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5</v>
          </cell>
          <cell r="U278">
            <v>256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384</v>
          </cell>
          <cell r="AA278">
            <v>37.894500000000001</v>
          </cell>
          <cell r="AB278">
            <v>54.14</v>
          </cell>
          <cell r="AC278">
            <v>0</v>
          </cell>
          <cell r="AD278">
            <v>54.14</v>
          </cell>
          <cell r="AE278">
            <v>0</v>
          </cell>
          <cell r="AF278">
            <v>0.84209999999999996</v>
          </cell>
          <cell r="AG278">
            <v>0.7</v>
          </cell>
        </row>
        <row r="279">
          <cell r="B279">
            <v>250150517</v>
          </cell>
          <cell r="C279" t="str">
            <v/>
          </cell>
          <cell r="D279" t="str">
            <v>VENDA ESMARK COMPRESIVA 4 " X 9" x Und</v>
          </cell>
          <cell r="E279" t="str">
            <v>MCKESSON</v>
          </cell>
          <cell r="F279" t="str">
            <v/>
          </cell>
          <cell r="G279" t="str">
            <v/>
          </cell>
          <cell r="H279" t="str">
            <v/>
          </cell>
          <cell r="I279" t="str">
            <v>UND</v>
          </cell>
          <cell r="J279">
            <v>1</v>
          </cell>
          <cell r="K279">
            <v>1</v>
          </cell>
          <cell r="L279" t="str">
            <v>C</v>
          </cell>
          <cell r="M279">
            <v>147</v>
          </cell>
          <cell r="N279" t="str">
            <v>C</v>
          </cell>
          <cell r="O279">
            <v>165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5</v>
          </cell>
          <cell r="U279">
            <v>15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1</v>
          </cell>
          <cell r="AA279">
            <v>148.05000000000001</v>
          </cell>
          <cell r="AB279">
            <v>246.75</v>
          </cell>
          <cell r="AC279">
            <v>0</v>
          </cell>
          <cell r="AD279">
            <v>246.75</v>
          </cell>
          <cell r="AE279">
            <v>0</v>
          </cell>
          <cell r="AF279">
            <v>3.29</v>
          </cell>
          <cell r="AG279">
            <v>0.6</v>
          </cell>
        </row>
        <row r="280">
          <cell r="B280">
            <v>242250102</v>
          </cell>
          <cell r="C280" t="str">
            <v>000-3</v>
          </cell>
          <cell r="D280" t="str">
            <v>VENDA ORTOBAN YESO (GYPSONA) 3" x 3 Yds - Marca Geniacare x Und/\Presentacion Caja x 24 Unds.</v>
          </cell>
          <cell r="E280" t="str">
            <v>GENIACARE</v>
          </cell>
          <cell r="F280" t="str">
            <v/>
          </cell>
          <cell r="G280" t="str">
            <v>VENDAS ENYESADA</v>
          </cell>
          <cell r="H280" t="str">
            <v/>
          </cell>
          <cell r="I280" t="str">
            <v>CJX24</v>
          </cell>
          <cell r="J280">
            <v>1</v>
          </cell>
          <cell r="K280">
            <v>1</v>
          </cell>
          <cell r="L280" t="str">
            <v>C</v>
          </cell>
          <cell r="M280">
            <v>190</v>
          </cell>
          <cell r="N280" t="str">
            <v>B</v>
          </cell>
          <cell r="O280">
            <v>7</v>
          </cell>
          <cell r="P280">
            <v>0</v>
          </cell>
          <cell r="Q280">
            <v>24</v>
          </cell>
          <cell r="R280">
            <v>24</v>
          </cell>
          <cell r="S280">
            <v>0</v>
          </cell>
          <cell r="T280">
            <v>5</v>
          </cell>
          <cell r="U280">
            <v>1701</v>
          </cell>
          <cell r="V280">
            <v>0</v>
          </cell>
          <cell r="W280">
            <v>0</v>
          </cell>
          <cell r="X280">
            <v>0</v>
          </cell>
          <cell r="Y280">
            <v>24</v>
          </cell>
          <cell r="Z280">
            <v>432</v>
          </cell>
          <cell r="AA280">
            <v>64.403999999999996</v>
          </cell>
          <cell r="AB280">
            <v>85.87</v>
          </cell>
          <cell r="AC280">
            <v>0</v>
          </cell>
          <cell r="AD280">
            <v>85.87</v>
          </cell>
          <cell r="AE280">
            <v>0</v>
          </cell>
          <cell r="AF280">
            <v>1.4312</v>
          </cell>
          <cell r="AG280">
            <v>0.75</v>
          </cell>
        </row>
        <row r="281">
          <cell r="B281">
            <v>242250103</v>
          </cell>
          <cell r="C281" t="str">
            <v>000-5</v>
          </cell>
          <cell r="D281" t="str">
            <v>VENDA ORTOBAN YESO (GYPSONA) 4" x 3 Yds - Marca Geniacare x Und/\Presentacion Caja x 24 Unds.</v>
          </cell>
          <cell r="E281" t="str">
            <v>GENIACARE</v>
          </cell>
          <cell r="F281" t="str">
            <v/>
          </cell>
          <cell r="G281" t="str">
            <v>VENDAS ENYESADA</v>
          </cell>
          <cell r="H281" t="str">
            <v/>
          </cell>
          <cell r="I281" t="str">
            <v>CJX24</v>
          </cell>
          <cell r="J281">
            <v>1</v>
          </cell>
          <cell r="K281">
            <v>1</v>
          </cell>
          <cell r="L281" t="str">
            <v>B</v>
          </cell>
          <cell r="M281">
            <v>16</v>
          </cell>
          <cell r="N281" t="str">
            <v>A</v>
          </cell>
          <cell r="O281">
            <v>8</v>
          </cell>
          <cell r="P281">
            <v>0</v>
          </cell>
          <cell r="Q281">
            <v>24</v>
          </cell>
          <cell r="R281">
            <v>24</v>
          </cell>
          <cell r="S281">
            <v>0</v>
          </cell>
          <cell r="T281">
            <v>5</v>
          </cell>
          <cell r="U281">
            <v>4209</v>
          </cell>
          <cell r="V281">
            <v>0</v>
          </cell>
          <cell r="W281">
            <v>24</v>
          </cell>
          <cell r="X281">
            <v>0</v>
          </cell>
          <cell r="Y281">
            <v>48</v>
          </cell>
          <cell r="Z281">
            <v>1202</v>
          </cell>
          <cell r="AA281">
            <v>78.862499999999997</v>
          </cell>
          <cell r="AB281">
            <v>105.15</v>
          </cell>
          <cell r="AC281">
            <v>0</v>
          </cell>
          <cell r="AD281">
            <v>105.15</v>
          </cell>
          <cell r="AE281">
            <v>0</v>
          </cell>
          <cell r="AF281">
            <v>1.7524999999999999</v>
          </cell>
          <cell r="AG281">
            <v>0.75</v>
          </cell>
        </row>
        <row r="282">
          <cell r="B282">
            <v>242250104</v>
          </cell>
          <cell r="C282" t="str">
            <v>000-7</v>
          </cell>
          <cell r="D282" t="str">
            <v>VENDA ORTOBAN YESO (GYPSONA) 6" x 3 Yds - Marca Geniacare x Und/\Presentacion Caja x 24 Unds.</v>
          </cell>
          <cell r="E282" t="str">
            <v>GENIACARE</v>
          </cell>
          <cell r="F282" t="str">
            <v/>
          </cell>
          <cell r="G282" t="str">
            <v>VENDAS ENYESADA</v>
          </cell>
          <cell r="H282" t="str">
            <v/>
          </cell>
          <cell r="I282" t="str">
            <v>UND</v>
          </cell>
          <cell r="J282">
            <v>1</v>
          </cell>
          <cell r="K282">
            <v>1</v>
          </cell>
          <cell r="L282" t="str">
            <v>B</v>
          </cell>
          <cell r="M282">
            <v>20</v>
          </cell>
          <cell r="N282" t="str">
            <v>A</v>
          </cell>
          <cell r="O282">
            <v>7</v>
          </cell>
          <cell r="P282">
            <v>0</v>
          </cell>
          <cell r="Q282">
            <v>24</v>
          </cell>
          <cell r="R282">
            <v>24</v>
          </cell>
          <cell r="S282">
            <v>0</v>
          </cell>
          <cell r="T282">
            <v>38</v>
          </cell>
          <cell r="U282">
            <v>3704</v>
          </cell>
          <cell r="V282">
            <v>0</v>
          </cell>
          <cell r="W282">
            <v>0</v>
          </cell>
          <cell r="X282">
            <v>0</v>
          </cell>
          <cell r="Y282">
            <v>48</v>
          </cell>
          <cell r="Z282">
            <v>741</v>
          </cell>
          <cell r="AA282">
            <v>113.922</v>
          </cell>
          <cell r="AB282">
            <v>151.9</v>
          </cell>
          <cell r="AC282">
            <v>0</v>
          </cell>
          <cell r="AD282">
            <v>151.9</v>
          </cell>
          <cell r="AE282">
            <v>0</v>
          </cell>
          <cell r="AF282">
            <v>2.5316000000000001</v>
          </cell>
          <cell r="AG282">
            <v>0.75</v>
          </cell>
        </row>
        <row r="283">
          <cell r="B283">
            <v>242250105</v>
          </cell>
          <cell r="C283" t="str">
            <v>000-9</v>
          </cell>
          <cell r="D283" t="str">
            <v>VENDA ORTOBAN YESO (GYPSONA) 8" x 3 Yds - Marca Geniacare x Und/\Presentacion Caja x 24 Unds.</v>
          </cell>
          <cell r="E283" t="str">
            <v>GENIACARE</v>
          </cell>
          <cell r="F283" t="str">
            <v/>
          </cell>
          <cell r="G283" t="str">
            <v>VENDAS ENYESADA</v>
          </cell>
          <cell r="H283" t="str">
            <v/>
          </cell>
          <cell r="I283" t="str">
            <v>CJX24</v>
          </cell>
          <cell r="J283">
            <v>1</v>
          </cell>
          <cell r="K283">
            <v>1</v>
          </cell>
          <cell r="L283" t="str">
            <v>B</v>
          </cell>
          <cell r="M283">
            <v>15</v>
          </cell>
          <cell r="N283" t="str">
            <v>A</v>
          </cell>
          <cell r="O283">
            <v>15</v>
          </cell>
          <cell r="P283">
            <v>0</v>
          </cell>
          <cell r="Q283">
            <v>24</v>
          </cell>
          <cell r="R283">
            <v>24</v>
          </cell>
          <cell r="S283">
            <v>0</v>
          </cell>
          <cell r="T283">
            <v>25</v>
          </cell>
          <cell r="U283">
            <v>1356</v>
          </cell>
          <cell r="V283">
            <v>0</v>
          </cell>
          <cell r="W283">
            <v>0</v>
          </cell>
          <cell r="X283">
            <v>0</v>
          </cell>
          <cell r="Y283">
            <v>24</v>
          </cell>
          <cell r="Z283">
            <v>252</v>
          </cell>
          <cell r="AA283">
            <v>151.893</v>
          </cell>
          <cell r="AB283">
            <v>202.52</v>
          </cell>
          <cell r="AC283">
            <v>0</v>
          </cell>
          <cell r="AD283">
            <v>202.52</v>
          </cell>
          <cell r="AE283">
            <v>0</v>
          </cell>
          <cell r="AF283">
            <v>3.3754</v>
          </cell>
          <cell r="AG283">
            <v>0.75</v>
          </cell>
        </row>
        <row r="284">
          <cell r="B284">
            <v>250210128</v>
          </cell>
          <cell r="C284" t="str">
            <v/>
          </cell>
          <cell r="D284" t="str">
            <v>ADHESIVO HY-TAPE 1/2" Marca Hy-Tape x Und</v>
          </cell>
          <cell r="E284" t="str">
            <v>HY-TAPE</v>
          </cell>
          <cell r="F284" t="str">
            <v/>
          </cell>
          <cell r="G284" t="str">
            <v/>
          </cell>
          <cell r="H284" t="str">
            <v/>
          </cell>
          <cell r="I284" t="str">
            <v>CJX24</v>
          </cell>
          <cell r="J284">
            <v>24</v>
          </cell>
          <cell r="K284">
            <v>1</v>
          </cell>
          <cell r="L284" t="str">
            <v>C</v>
          </cell>
          <cell r="M284">
            <v>355</v>
          </cell>
          <cell r="N284" t="str">
            <v/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181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264</v>
          </cell>
          <cell r="AA284">
            <v>168.75</v>
          </cell>
          <cell r="AB284">
            <v>281.25</v>
          </cell>
          <cell r="AC284">
            <v>0</v>
          </cell>
          <cell r="AD284">
            <v>281.25</v>
          </cell>
          <cell r="AE284">
            <v>0</v>
          </cell>
          <cell r="AF284">
            <v>3.75</v>
          </cell>
          <cell r="AG284">
            <v>0.6</v>
          </cell>
        </row>
        <row r="285">
          <cell r="B285">
            <v>250210130</v>
          </cell>
          <cell r="C285" t="str">
            <v>105BLF</v>
          </cell>
          <cell r="D285" t="str">
            <v>ADHESIVO HY-TAPE 1/2" Marca Hy-Tape x Und</v>
          </cell>
          <cell r="E285" t="str">
            <v>HY-TAPE</v>
          </cell>
          <cell r="F285" t="str">
            <v/>
          </cell>
          <cell r="G285" t="str">
            <v/>
          </cell>
          <cell r="H285" t="str">
            <v/>
          </cell>
          <cell r="I285" t="str">
            <v>UND</v>
          </cell>
          <cell r="J285">
            <v>1</v>
          </cell>
          <cell r="K285">
            <v>1</v>
          </cell>
          <cell r="L285" t="str">
            <v>C</v>
          </cell>
          <cell r="M285">
            <v>158</v>
          </cell>
          <cell r="N285" t="str">
            <v/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367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70</v>
          </cell>
          <cell r="AA285">
            <v>168.75</v>
          </cell>
          <cell r="AB285">
            <v>281.25</v>
          </cell>
          <cell r="AC285">
            <v>0</v>
          </cell>
          <cell r="AD285">
            <v>281.25</v>
          </cell>
          <cell r="AE285">
            <v>0</v>
          </cell>
          <cell r="AF285">
            <v>3.75</v>
          </cell>
          <cell r="AG285">
            <v>0.6</v>
          </cell>
        </row>
        <row r="286">
          <cell r="B286">
            <v>253400229</v>
          </cell>
          <cell r="C286" t="str">
            <v/>
          </cell>
          <cell r="D286" t="str">
            <v>APOSITO DUODERM 2.5" x 2.5" REF. 187970 x Und</v>
          </cell>
          <cell r="E286" t="str">
            <v>CONVATEC</v>
          </cell>
          <cell r="F286" t="str">
            <v/>
          </cell>
          <cell r="G286" t="str">
            <v>APOSITOS DUODERM</v>
          </cell>
          <cell r="H286" t="str">
            <v/>
          </cell>
          <cell r="I286" t="str">
            <v>CJX5</v>
          </cell>
          <cell r="J286">
            <v>5</v>
          </cell>
          <cell r="K286">
            <v>1</v>
          </cell>
          <cell r="L286" t="str">
            <v/>
          </cell>
          <cell r="M286">
            <v>0</v>
          </cell>
          <cell r="N286" t="str">
            <v/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389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10</v>
          </cell>
          <cell r="AA286">
            <v>355.5</v>
          </cell>
          <cell r="AB286">
            <v>646.36</v>
          </cell>
          <cell r="AC286">
            <v>0</v>
          </cell>
          <cell r="AD286">
            <v>646.36</v>
          </cell>
          <cell r="AE286">
            <v>0</v>
          </cell>
          <cell r="AF286">
            <v>7.9</v>
          </cell>
          <cell r="AG286">
            <v>0.55000000000000004</v>
          </cell>
        </row>
        <row r="287">
          <cell r="B287">
            <v>240450310</v>
          </cell>
          <cell r="C287" t="str">
            <v>240450310</v>
          </cell>
          <cell r="D287" t="str">
            <v>BOLIGRAFO ENFERMERA X PAQUETE</v>
          </cell>
          <cell r="E287" t="str">
            <v/>
          </cell>
          <cell r="F287" t="str">
            <v/>
          </cell>
          <cell r="G287" t="str">
            <v/>
          </cell>
          <cell r="H287" t="str">
            <v/>
          </cell>
          <cell r="I287" t="str">
            <v>UND</v>
          </cell>
          <cell r="J287">
            <v>1</v>
          </cell>
          <cell r="K287">
            <v>1</v>
          </cell>
          <cell r="L287" t="str">
            <v/>
          </cell>
          <cell r="M287">
            <v>0</v>
          </cell>
          <cell r="N287" t="str">
            <v/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386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7</v>
          </cell>
          <cell r="AA287">
            <v>456.435</v>
          </cell>
          <cell r="AB287">
            <v>652.04999999999995</v>
          </cell>
          <cell r="AC287">
            <v>0</v>
          </cell>
          <cell r="AD287">
            <v>652.04999999999995</v>
          </cell>
          <cell r="AE287">
            <v>0</v>
          </cell>
          <cell r="AF287">
            <v>10.143000000000001</v>
          </cell>
          <cell r="AG287">
            <v>0.7</v>
          </cell>
        </row>
        <row r="288">
          <cell r="B288">
            <v>241250115</v>
          </cell>
          <cell r="C288" t="str">
            <v/>
          </cell>
          <cell r="D288" t="str">
            <v>BOLSA DE NUTRICION ENTERAL 1500ml x Und</v>
          </cell>
          <cell r="E288" t="str">
            <v>BEXEN</v>
          </cell>
          <cell r="F288" t="str">
            <v/>
          </cell>
          <cell r="G288" t="str">
            <v/>
          </cell>
          <cell r="H288" t="str">
            <v/>
          </cell>
          <cell r="I288" t="str">
            <v>UND</v>
          </cell>
          <cell r="J288">
            <v>1</v>
          </cell>
          <cell r="K288">
            <v>1</v>
          </cell>
          <cell r="L288" t="str">
            <v/>
          </cell>
          <cell r="M288">
            <v>0</v>
          </cell>
          <cell r="N288" t="str">
            <v/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389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10</v>
          </cell>
          <cell r="AA288">
            <v>146.69999999999999</v>
          </cell>
          <cell r="AB288">
            <v>244.5</v>
          </cell>
          <cell r="AC288">
            <v>0</v>
          </cell>
          <cell r="AD288">
            <v>244.5</v>
          </cell>
          <cell r="AE288">
            <v>0</v>
          </cell>
          <cell r="AF288">
            <v>3.26</v>
          </cell>
          <cell r="AG288">
            <v>0.6</v>
          </cell>
        </row>
        <row r="289">
          <cell r="B289">
            <v>241250317</v>
          </cell>
          <cell r="C289" t="str">
            <v/>
          </cell>
          <cell r="D289" t="str">
            <v>BOLSA DE NUTRICION PARENTERAL 3000ml - Marca Victus x Und</v>
          </cell>
          <cell r="E289" t="str">
            <v/>
          </cell>
          <cell r="F289" t="str">
            <v/>
          </cell>
          <cell r="G289" t="str">
            <v/>
          </cell>
          <cell r="H289" t="str">
            <v/>
          </cell>
          <cell r="I289" t="str">
            <v>UND</v>
          </cell>
          <cell r="J289">
            <v>1</v>
          </cell>
          <cell r="K289">
            <v>1</v>
          </cell>
          <cell r="L289" t="str">
            <v/>
          </cell>
          <cell r="M289">
            <v>0</v>
          </cell>
          <cell r="N289" t="str">
            <v/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389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63</v>
          </cell>
          <cell r="AA289">
            <v>1170</v>
          </cell>
          <cell r="AB289">
            <v>2127.27</v>
          </cell>
          <cell r="AC289">
            <v>0</v>
          </cell>
          <cell r="AD289">
            <v>2127.27</v>
          </cell>
          <cell r="AE289">
            <v>0</v>
          </cell>
          <cell r="AF289">
            <v>26</v>
          </cell>
          <cell r="AG289">
            <v>0.55000000000000004</v>
          </cell>
        </row>
        <row r="290">
          <cell r="B290">
            <v>242201549</v>
          </cell>
          <cell r="C290" t="str">
            <v/>
          </cell>
          <cell r="D290" t="str">
            <v>CAJA DE CONEXION P/CENTRO DE ESCRITORIO</v>
          </cell>
          <cell r="E290" t="str">
            <v/>
          </cell>
          <cell r="F290" t="str">
            <v/>
          </cell>
          <cell r="G290" t="str">
            <v>VENDAS ELASTICAS</v>
          </cell>
          <cell r="H290" t="str">
            <v/>
          </cell>
          <cell r="I290" t="str">
            <v>UND</v>
          </cell>
          <cell r="J290">
            <v>1</v>
          </cell>
          <cell r="K290">
            <v>1</v>
          </cell>
          <cell r="L290" t="str">
            <v/>
          </cell>
          <cell r="M290">
            <v>0</v>
          </cell>
          <cell r="N290" t="str">
            <v/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389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1</v>
          </cell>
          <cell r="AA290">
            <v>4590</v>
          </cell>
          <cell r="AB290">
            <v>6557.14</v>
          </cell>
          <cell r="AC290">
            <v>0</v>
          </cell>
          <cell r="AD290">
            <v>6557.14</v>
          </cell>
          <cell r="AE290">
            <v>0</v>
          </cell>
          <cell r="AF290">
            <v>102</v>
          </cell>
          <cell r="AG290">
            <v>0.7</v>
          </cell>
        </row>
        <row r="291">
          <cell r="B291">
            <v>241050102</v>
          </cell>
          <cell r="C291" t="str">
            <v/>
          </cell>
          <cell r="D291" t="str">
            <v>CARTUCHERA COSMETICA x PAQUETE.</v>
          </cell>
          <cell r="E291" t="str">
            <v/>
          </cell>
          <cell r="F291" t="str">
            <v/>
          </cell>
          <cell r="G291" t="str">
            <v>OTROS OTROS</v>
          </cell>
          <cell r="H291" t="str">
            <v/>
          </cell>
          <cell r="I291" t="str">
            <v>UND</v>
          </cell>
          <cell r="J291">
            <v>1</v>
          </cell>
          <cell r="K291">
            <v>1</v>
          </cell>
          <cell r="L291" t="str">
            <v/>
          </cell>
          <cell r="M291">
            <v>0</v>
          </cell>
          <cell r="N291" t="str">
            <v/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386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13</v>
          </cell>
          <cell r="AA291">
            <v>1511.6849999999999</v>
          </cell>
          <cell r="AB291">
            <v>2159.5500000000002</v>
          </cell>
          <cell r="AC291">
            <v>0</v>
          </cell>
          <cell r="AD291">
            <v>2159.5500000000002</v>
          </cell>
          <cell r="AE291">
            <v>0</v>
          </cell>
          <cell r="AF291">
            <v>33.593000000000004</v>
          </cell>
          <cell r="AG291">
            <v>0.7</v>
          </cell>
        </row>
        <row r="292">
          <cell r="B292">
            <v>250200226</v>
          </cell>
          <cell r="C292" t="str">
            <v>RELTACK10R</v>
          </cell>
          <cell r="D292" t="str">
            <v>CARTUCHO 10 TACK ABSORBENTE MARCA COVIDIEN (REF RELTACK10RSW) X UNIDAD</v>
          </cell>
          <cell r="E292" t="str">
            <v>COVIDIEN</v>
          </cell>
          <cell r="F292" t="str">
            <v/>
          </cell>
          <cell r="G292" t="str">
            <v>APOSITOS RESTORE</v>
          </cell>
          <cell r="H292" t="str">
            <v/>
          </cell>
          <cell r="I292" t="str">
            <v>UND</v>
          </cell>
          <cell r="J292">
            <v>1</v>
          </cell>
          <cell r="K292">
            <v>1</v>
          </cell>
          <cell r="L292" t="str">
            <v/>
          </cell>
          <cell r="M292">
            <v>0</v>
          </cell>
          <cell r="N292" t="str">
            <v/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386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4</v>
          </cell>
          <cell r="AA292">
            <v>6646.5</v>
          </cell>
          <cell r="AB292">
            <v>10225.39</v>
          </cell>
          <cell r="AC292">
            <v>0</v>
          </cell>
          <cell r="AD292">
            <v>10225.39</v>
          </cell>
          <cell r="AE292">
            <v>0</v>
          </cell>
          <cell r="AF292">
            <v>147.69999999999999</v>
          </cell>
          <cell r="AG292">
            <v>0.65</v>
          </cell>
        </row>
        <row r="293">
          <cell r="B293">
            <v>241050107</v>
          </cell>
          <cell r="C293" t="str">
            <v/>
          </cell>
          <cell r="D293" t="str">
            <v>CARTUCHO ACT II</v>
          </cell>
          <cell r="E293" t="str">
            <v>MEDTRONIC</v>
          </cell>
          <cell r="F293" t="str">
            <v/>
          </cell>
          <cell r="G293" t="str">
            <v>OTROS OTROS</v>
          </cell>
          <cell r="H293" t="str">
            <v/>
          </cell>
          <cell r="I293" t="str">
            <v>CJX50</v>
          </cell>
          <cell r="J293">
            <v>1</v>
          </cell>
          <cell r="K293">
            <v>1</v>
          </cell>
          <cell r="L293" t="str">
            <v/>
          </cell>
          <cell r="M293">
            <v>0</v>
          </cell>
          <cell r="N293" t="str">
            <v/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389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100</v>
          </cell>
          <cell r="AA293">
            <v>250.875</v>
          </cell>
          <cell r="AB293">
            <v>491.91</v>
          </cell>
          <cell r="AC293">
            <v>0</v>
          </cell>
          <cell r="AD293">
            <v>491.91</v>
          </cell>
          <cell r="AE293">
            <v>0</v>
          </cell>
          <cell r="AF293">
            <v>5.5750000000000002</v>
          </cell>
          <cell r="AG293">
            <v>0.51</v>
          </cell>
        </row>
        <row r="294">
          <cell r="B294">
            <v>241951217</v>
          </cell>
          <cell r="C294" t="str">
            <v>CV-12703</v>
          </cell>
          <cell r="D294" t="str">
            <v>CATETER TRILUMEN 7.0Fr x 16cm. Marca Portex x Und</v>
          </cell>
          <cell r="E294" t="str">
            <v>ARROW</v>
          </cell>
          <cell r="F294" t="str">
            <v/>
          </cell>
          <cell r="G294" t="str">
            <v>CATETER   TRILUMEN</v>
          </cell>
          <cell r="H294" t="str">
            <v/>
          </cell>
          <cell r="I294" t="str">
            <v>CJX10</v>
          </cell>
          <cell r="J294">
            <v>1</v>
          </cell>
          <cell r="K294">
            <v>1</v>
          </cell>
          <cell r="L294" t="str">
            <v/>
          </cell>
          <cell r="M294">
            <v>0</v>
          </cell>
          <cell r="N294" t="str">
            <v/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385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22</v>
          </cell>
          <cell r="AA294">
            <v>1678.5</v>
          </cell>
          <cell r="AB294">
            <v>2397.86</v>
          </cell>
          <cell r="AC294">
            <v>0</v>
          </cell>
          <cell r="AD294">
            <v>2397.86</v>
          </cell>
          <cell r="AE294">
            <v>0</v>
          </cell>
          <cell r="AF294">
            <v>37.299999999999997</v>
          </cell>
          <cell r="AG294">
            <v>0.7</v>
          </cell>
        </row>
        <row r="295">
          <cell r="B295">
            <v>241950217</v>
          </cell>
          <cell r="C295" t="str">
            <v>CV-15703</v>
          </cell>
          <cell r="D295" t="str">
            <v>CATETER TRILUMEN 7.0Fr x 20cm. Marca Arrow x Und</v>
          </cell>
          <cell r="E295" t="str">
            <v>ARROW</v>
          </cell>
          <cell r="F295" t="str">
            <v/>
          </cell>
          <cell r="G295" t="str">
            <v>CATETER   TRILUMEN</v>
          </cell>
          <cell r="H295" t="str">
            <v/>
          </cell>
          <cell r="I295" t="str">
            <v>CJX10</v>
          </cell>
          <cell r="J295">
            <v>1</v>
          </cell>
          <cell r="K295">
            <v>1</v>
          </cell>
          <cell r="L295" t="str">
            <v/>
          </cell>
          <cell r="M295">
            <v>0</v>
          </cell>
          <cell r="N295" t="str">
            <v/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387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220</v>
          </cell>
          <cell r="AA295">
            <v>984.375</v>
          </cell>
          <cell r="AB295">
            <v>1230.47</v>
          </cell>
          <cell r="AC295">
            <v>0</v>
          </cell>
          <cell r="AD295">
            <v>1230.47</v>
          </cell>
          <cell r="AE295">
            <v>0</v>
          </cell>
          <cell r="AF295">
            <v>21.875</v>
          </cell>
          <cell r="AG295">
            <v>0.8</v>
          </cell>
        </row>
        <row r="296">
          <cell r="B296">
            <v>241951322</v>
          </cell>
          <cell r="C296" t="str">
            <v>4183505</v>
          </cell>
          <cell r="D296" t="str">
            <v>CATETER UMBILICAL SIMPLE LUMEN 3.5 Fr. Marca UTAH MEDICAL x Und</v>
          </cell>
          <cell r="E296" t="str">
            <v>UTAH MEDICAL</v>
          </cell>
          <cell r="F296" t="str">
            <v/>
          </cell>
          <cell r="G296" t="str">
            <v/>
          </cell>
          <cell r="H296" t="str">
            <v/>
          </cell>
          <cell r="I296" t="str">
            <v>CJX10</v>
          </cell>
          <cell r="J296">
            <v>1</v>
          </cell>
          <cell r="K296">
            <v>1</v>
          </cell>
          <cell r="L296" t="str">
            <v>C</v>
          </cell>
          <cell r="M296">
            <v>338</v>
          </cell>
          <cell r="N296" t="str">
            <v/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257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10</v>
          </cell>
          <cell r="AA296">
            <v>889.3125</v>
          </cell>
          <cell r="AB296">
            <v>1185.75</v>
          </cell>
          <cell r="AC296">
            <v>0</v>
          </cell>
          <cell r="AD296">
            <v>1185.75</v>
          </cell>
          <cell r="AE296">
            <v>0</v>
          </cell>
          <cell r="AF296">
            <v>19.762499999999999</v>
          </cell>
          <cell r="AG296">
            <v>0.75</v>
          </cell>
        </row>
        <row r="297">
          <cell r="B297">
            <v>241050103</v>
          </cell>
          <cell r="C297" t="str">
            <v/>
          </cell>
          <cell r="D297" t="str">
            <v>CEPILLO Qx. CHLORHEXIDINE AL 4% Marca (BIOSCRUB) x Und./\Presentacion Bulto x 250 Unds.</v>
          </cell>
          <cell r="E297" t="str">
            <v>BIOSCRUB</v>
          </cell>
          <cell r="F297" t="str">
            <v/>
          </cell>
          <cell r="G297" t="str">
            <v>OTROS OTROS</v>
          </cell>
          <cell r="H297" t="str">
            <v/>
          </cell>
          <cell r="I297" t="str">
            <v>CJX250</v>
          </cell>
          <cell r="J297">
            <v>1</v>
          </cell>
          <cell r="K297">
            <v>1</v>
          </cell>
          <cell r="L297" t="str">
            <v>C</v>
          </cell>
          <cell r="M297">
            <v>297</v>
          </cell>
          <cell r="N297" t="str">
            <v>C</v>
          </cell>
          <cell r="O297">
            <v>161</v>
          </cell>
          <cell r="P297">
            <v>0</v>
          </cell>
          <cell r="Q297">
            <v>1308</v>
          </cell>
          <cell r="R297">
            <v>1308</v>
          </cell>
          <cell r="S297">
            <v>0</v>
          </cell>
          <cell r="T297">
            <v>80</v>
          </cell>
          <cell r="U297">
            <v>0</v>
          </cell>
          <cell r="V297">
            <v>2000</v>
          </cell>
          <cell r="W297">
            <v>0</v>
          </cell>
          <cell r="X297">
            <v>0</v>
          </cell>
          <cell r="Y297">
            <v>1472</v>
          </cell>
          <cell r="Z297">
            <v>1502</v>
          </cell>
          <cell r="AA297">
            <v>20.7</v>
          </cell>
          <cell r="AB297">
            <v>27.6</v>
          </cell>
          <cell r="AC297">
            <v>0</v>
          </cell>
          <cell r="AD297">
            <v>27.6</v>
          </cell>
          <cell r="AE297">
            <v>0</v>
          </cell>
          <cell r="AF297">
            <v>0.46</v>
          </cell>
          <cell r="AG297">
            <v>0.75</v>
          </cell>
        </row>
        <row r="298">
          <cell r="B298">
            <v>243000101</v>
          </cell>
          <cell r="C298" t="str">
            <v/>
          </cell>
          <cell r="D298" t="str">
            <v>CIRCUITO DE ANESTESIA COAXIAL ADULTO PORTEX x Und</v>
          </cell>
          <cell r="E298" t="str">
            <v>PORTEX</v>
          </cell>
          <cell r="F298" t="str">
            <v/>
          </cell>
          <cell r="G298" t="str">
            <v>CIRCUITOS ANESTESIA</v>
          </cell>
          <cell r="H298" t="str">
            <v/>
          </cell>
          <cell r="I298" t="str">
            <v>CJX20</v>
          </cell>
          <cell r="J298">
            <v>1</v>
          </cell>
          <cell r="K298">
            <v>1</v>
          </cell>
          <cell r="L298" t="str">
            <v/>
          </cell>
          <cell r="M298">
            <v>0</v>
          </cell>
          <cell r="N298" t="str">
            <v/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389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348</v>
          </cell>
          <cell r="AA298">
            <v>710.52750000000003</v>
          </cell>
          <cell r="AB298">
            <v>1093.1199999999999</v>
          </cell>
          <cell r="AC298">
            <v>0</v>
          </cell>
          <cell r="AD298">
            <v>1093.1199999999999</v>
          </cell>
          <cell r="AE298">
            <v>0</v>
          </cell>
          <cell r="AF298">
            <v>15.7895</v>
          </cell>
          <cell r="AG298">
            <v>0.65</v>
          </cell>
        </row>
        <row r="299">
          <cell r="B299">
            <v>250600901</v>
          </cell>
          <cell r="C299" t="str">
            <v>TLC75</v>
          </cell>
          <cell r="D299" t="str">
            <v>CORTADORA LINEAL TLC 75 MARCA ETHICON-ENDOSURGERY  X UNIDAD</v>
          </cell>
          <cell r="E299" t="str">
            <v>ETHICON</v>
          </cell>
          <cell r="F299" t="str">
            <v/>
          </cell>
          <cell r="G299" t="str">
            <v/>
          </cell>
          <cell r="H299" t="str">
            <v/>
          </cell>
          <cell r="I299" t="str">
            <v>UND</v>
          </cell>
          <cell r="J299">
            <v>1</v>
          </cell>
          <cell r="K299">
            <v>1</v>
          </cell>
          <cell r="L299" t="str">
            <v/>
          </cell>
          <cell r="M299">
            <v>0</v>
          </cell>
          <cell r="N299" t="str">
            <v/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386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2</v>
          </cell>
          <cell r="AA299">
            <v>6930</v>
          </cell>
          <cell r="AB299">
            <v>12600</v>
          </cell>
          <cell r="AC299">
            <v>0</v>
          </cell>
          <cell r="AD299">
            <v>12600</v>
          </cell>
          <cell r="AE299">
            <v>0</v>
          </cell>
          <cell r="AF299">
            <v>154</v>
          </cell>
          <cell r="AG299">
            <v>0.55000000000000004</v>
          </cell>
        </row>
        <row r="300">
          <cell r="B300">
            <v>243350101</v>
          </cell>
          <cell r="C300" t="str">
            <v/>
          </cell>
          <cell r="D300" t="str">
            <v>CUBREBOTAS MARCA SANIPAD X PAR</v>
          </cell>
          <cell r="E300" t="str">
            <v>MEDITEX</v>
          </cell>
          <cell r="F300" t="str">
            <v/>
          </cell>
          <cell r="G300" t="str">
            <v>LENCERIA CUBREBOTAS</v>
          </cell>
          <cell r="H300" t="str">
            <v/>
          </cell>
          <cell r="I300" t="str">
            <v>CJX250</v>
          </cell>
          <cell r="J300">
            <v>50</v>
          </cell>
          <cell r="K300">
            <v>1</v>
          </cell>
          <cell r="L300" t="str">
            <v/>
          </cell>
          <cell r="M300">
            <v>0</v>
          </cell>
          <cell r="N300" t="str">
            <v/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389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12000</v>
          </cell>
          <cell r="AA300">
            <v>3.15</v>
          </cell>
          <cell r="AB300">
            <v>4.5</v>
          </cell>
          <cell r="AC300">
            <v>0</v>
          </cell>
          <cell r="AD300">
            <v>4.5</v>
          </cell>
          <cell r="AE300">
            <v>0</v>
          </cell>
          <cell r="AF300">
            <v>7.0000000000000007E-2</v>
          </cell>
          <cell r="AG300">
            <v>0.7</v>
          </cell>
        </row>
        <row r="301">
          <cell r="B301">
            <v>250200223</v>
          </cell>
          <cell r="C301" t="str">
            <v/>
          </cell>
          <cell r="D301" t="str">
            <v>CUCHILLETE DESECHABLE X UNIDAD REF GIT 1.5MM</v>
          </cell>
          <cell r="E301" t="str">
            <v/>
          </cell>
          <cell r="F301" t="str">
            <v/>
          </cell>
          <cell r="G301" t="str">
            <v>APOSITOS AQUACEL</v>
          </cell>
          <cell r="H301" t="str">
            <v/>
          </cell>
          <cell r="I301" t="str">
            <v>UND</v>
          </cell>
          <cell r="J301">
            <v>1</v>
          </cell>
          <cell r="K301">
            <v>1</v>
          </cell>
          <cell r="L301" t="str">
            <v/>
          </cell>
          <cell r="M301">
            <v>0</v>
          </cell>
          <cell r="N301" t="str">
            <v/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387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60</v>
          </cell>
          <cell r="AA301">
            <v>193.95</v>
          </cell>
          <cell r="AB301">
            <v>298.39</v>
          </cell>
          <cell r="AC301">
            <v>0</v>
          </cell>
          <cell r="AD301">
            <v>298.39</v>
          </cell>
          <cell r="AE301">
            <v>0</v>
          </cell>
          <cell r="AF301">
            <v>4.3099999999999996</v>
          </cell>
          <cell r="AG301">
            <v>0.65</v>
          </cell>
        </row>
        <row r="302">
          <cell r="B302">
            <v>241860103</v>
          </cell>
          <cell r="C302" t="str">
            <v>108C.USE</v>
          </cell>
          <cell r="D302" t="str">
            <v>CULTURETE ADULTO - Marca Copan x Und</v>
          </cell>
          <cell r="E302" t="str">
            <v>COPAN</v>
          </cell>
          <cell r="F302" t="str">
            <v/>
          </cell>
          <cell r="G302" t="str">
            <v>OTROS OTROS</v>
          </cell>
          <cell r="H302" t="str">
            <v/>
          </cell>
          <cell r="I302" t="str">
            <v>CJX50</v>
          </cell>
          <cell r="J302">
            <v>1</v>
          </cell>
          <cell r="K302">
            <v>1</v>
          </cell>
          <cell r="L302" t="str">
            <v>C</v>
          </cell>
          <cell r="M302">
            <v>365</v>
          </cell>
          <cell r="N302" t="str">
            <v/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331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275</v>
          </cell>
          <cell r="AA302">
            <v>22.95</v>
          </cell>
          <cell r="AB302">
            <v>57.38</v>
          </cell>
          <cell r="AC302">
            <v>0</v>
          </cell>
          <cell r="AD302">
            <v>57.38</v>
          </cell>
          <cell r="AE302">
            <v>0</v>
          </cell>
          <cell r="AF302">
            <v>0.51</v>
          </cell>
          <cell r="AG302">
            <v>0.4</v>
          </cell>
        </row>
        <row r="303">
          <cell r="B303">
            <v>272100122</v>
          </cell>
          <cell r="C303" t="str">
            <v/>
          </cell>
          <cell r="D303" t="str">
            <v>Chupete calmante Avent, libre de Bifenol-A, 0 a 3 meses, 2 paq, Verde x Und</v>
          </cell>
          <cell r="E303" t="str">
            <v>PHILIPS AVENT</v>
          </cell>
          <cell r="F303" t="str">
            <v/>
          </cell>
          <cell r="G303" t="str">
            <v/>
          </cell>
          <cell r="H303" t="str">
            <v/>
          </cell>
          <cell r="I303" t="str">
            <v/>
          </cell>
          <cell r="J303">
            <v>0</v>
          </cell>
          <cell r="K303">
            <v>0</v>
          </cell>
          <cell r="L303" t="str">
            <v/>
          </cell>
          <cell r="M303">
            <v>0</v>
          </cell>
          <cell r="N303" t="str">
            <v/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389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3</v>
          </cell>
          <cell r="AA303">
            <v>187.74</v>
          </cell>
          <cell r="AB303">
            <v>268.2</v>
          </cell>
          <cell r="AC303">
            <v>0</v>
          </cell>
          <cell r="AD303">
            <v>268.2</v>
          </cell>
          <cell r="AE303">
            <v>0</v>
          </cell>
          <cell r="AF303">
            <v>4.1719999999999997</v>
          </cell>
          <cell r="AG303">
            <v>0.7</v>
          </cell>
        </row>
        <row r="304">
          <cell r="B304">
            <v>250200225</v>
          </cell>
          <cell r="C304" t="str">
            <v>RELTACK3X1</v>
          </cell>
          <cell r="D304" t="str">
            <v>DISPOSITIVO DE FIJACION RECARGABLE ARTICULADO COVIDIEN.(REF RELTACKK3X10SW)  X UNIDAD</v>
          </cell>
          <cell r="E304" t="str">
            <v>COVIDIEN</v>
          </cell>
          <cell r="F304" t="str">
            <v/>
          </cell>
          <cell r="G304" t="str">
            <v>APOSITOS RESTORE</v>
          </cell>
          <cell r="H304" t="str">
            <v/>
          </cell>
          <cell r="I304" t="str">
            <v>UND</v>
          </cell>
          <cell r="J304">
            <v>1</v>
          </cell>
          <cell r="K304">
            <v>1</v>
          </cell>
          <cell r="L304" t="str">
            <v/>
          </cell>
          <cell r="M304">
            <v>0</v>
          </cell>
          <cell r="N304" t="str">
            <v/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386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1</v>
          </cell>
          <cell r="AA304">
            <v>26624.115000000002</v>
          </cell>
          <cell r="AB304">
            <v>38034.449999999997</v>
          </cell>
          <cell r="AC304">
            <v>0</v>
          </cell>
          <cell r="AD304">
            <v>38034.449999999997</v>
          </cell>
          <cell r="AE304">
            <v>0</v>
          </cell>
          <cell r="AF304">
            <v>591.64700000000005</v>
          </cell>
          <cell r="AG304">
            <v>0.7</v>
          </cell>
        </row>
        <row r="305">
          <cell r="B305">
            <v>250500325</v>
          </cell>
          <cell r="C305" t="str">
            <v/>
          </cell>
          <cell r="D305" t="str">
            <v>DREN ACANALADO REDONDO DE 19 FR SIN TROCAR Marca MMQ x Und</v>
          </cell>
          <cell r="E305" t="str">
            <v>MMQ</v>
          </cell>
          <cell r="F305" t="str">
            <v/>
          </cell>
          <cell r="G305" t="str">
            <v>DRENAJES ACANALADO REDONDO S/T</v>
          </cell>
          <cell r="H305" t="str">
            <v/>
          </cell>
          <cell r="I305" t="str">
            <v>UND</v>
          </cell>
          <cell r="J305">
            <v>1</v>
          </cell>
          <cell r="K305">
            <v>1</v>
          </cell>
          <cell r="L305" t="str">
            <v>C</v>
          </cell>
          <cell r="M305">
            <v>368</v>
          </cell>
          <cell r="N305" t="str">
            <v/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87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4000</v>
          </cell>
          <cell r="AA305">
            <v>181.18350000000001</v>
          </cell>
          <cell r="AB305">
            <v>301.97000000000003</v>
          </cell>
          <cell r="AC305">
            <v>0</v>
          </cell>
          <cell r="AD305">
            <v>301.97000000000003</v>
          </cell>
          <cell r="AE305">
            <v>0</v>
          </cell>
          <cell r="AF305">
            <v>4.0263</v>
          </cell>
          <cell r="AG305">
            <v>0.6</v>
          </cell>
        </row>
        <row r="306">
          <cell r="B306" t="str">
            <v>HOS717300</v>
          </cell>
          <cell r="C306" t="str">
            <v>717300</v>
          </cell>
          <cell r="D306" t="str">
            <v>DRENAPAD 6 cm x 7 cm. (Apósito p/Drenajes de Aluminio) x Und. (PQ x 10) 717300</v>
          </cell>
          <cell r="E306" t="str">
            <v>EUROFARM</v>
          </cell>
          <cell r="F306" t="str">
            <v>Aposito para heridas de Drenajes Aluminio</v>
          </cell>
          <cell r="G306" t="str">
            <v>CUIDADO DE HERIDAS</v>
          </cell>
          <cell r="H306" t="str">
            <v>26</v>
          </cell>
          <cell r="I306" t="str">
            <v>PQX10</v>
          </cell>
          <cell r="J306">
            <v>10</v>
          </cell>
          <cell r="K306">
            <v>0</v>
          </cell>
          <cell r="L306" t="str">
            <v>C</v>
          </cell>
          <cell r="M306">
            <v>398</v>
          </cell>
          <cell r="N306" t="str">
            <v/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389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3000</v>
          </cell>
          <cell r="AA306">
            <v>7.4249999999999998</v>
          </cell>
          <cell r="AB306">
            <v>9.2799999999999994</v>
          </cell>
          <cell r="AC306">
            <v>0</v>
          </cell>
          <cell r="AD306">
            <v>9.2799999999999994</v>
          </cell>
          <cell r="AE306">
            <v>0</v>
          </cell>
          <cell r="AF306">
            <v>0.16500000000000001</v>
          </cell>
          <cell r="AG306">
            <v>0.8</v>
          </cell>
        </row>
        <row r="307">
          <cell r="B307">
            <v>252250208</v>
          </cell>
          <cell r="C307" t="str">
            <v>252250208</v>
          </cell>
          <cell r="D307" t="str">
            <v>DURAGEN 25% SUTURABLE 7.5CM*7.5CM PROTESIS P/SUSTITUIR DURA MADRE</v>
          </cell>
          <cell r="E307" t="str">
            <v/>
          </cell>
          <cell r="F307" t="str">
            <v/>
          </cell>
          <cell r="G307" t="str">
            <v/>
          </cell>
          <cell r="H307" t="str">
            <v/>
          </cell>
          <cell r="I307" t="str">
            <v/>
          </cell>
          <cell r="J307">
            <v>1</v>
          </cell>
          <cell r="K307">
            <v>1</v>
          </cell>
          <cell r="L307" t="str">
            <v>C</v>
          </cell>
          <cell r="M307">
            <v>329</v>
          </cell>
          <cell r="N307" t="str">
            <v/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389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31185</v>
          </cell>
          <cell r="AB307">
            <v>44550</v>
          </cell>
          <cell r="AC307">
            <v>0</v>
          </cell>
          <cell r="AD307">
            <v>44550</v>
          </cell>
          <cell r="AE307">
            <v>0</v>
          </cell>
          <cell r="AF307">
            <v>693</v>
          </cell>
          <cell r="AG307">
            <v>0.7</v>
          </cell>
        </row>
        <row r="308">
          <cell r="B308">
            <v>252250508</v>
          </cell>
          <cell r="C308" t="str">
            <v/>
          </cell>
          <cell r="D308" t="str">
            <v>DURAGEN PLUS DURAL 12,5 X 17,5 DP105 X UNIDAD</v>
          </cell>
          <cell r="E308" t="str">
            <v/>
          </cell>
          <cell r="F308" t="str">
            <v/>
          </cell>
          <cell r="G308" t="str">
            <v/>
          </cell>
          <cell r="H308" t="str">
            <v/>
          </cell>
          <cell r="I308" t="str">
            <v>UND</v>
          </cell>
          <cell r="J308">
            <v>1</v>
          </cell>
          <cell r="K308">
            <v>1</v>
          </cell>
          <cell r="L308" t="str">
            <v>C</v>
          </cell>
          <cell r="M308">
            <v>422</v>
          </cell>
          <cell r="N308" t="str">
            <v/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389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48825</v>
          </cell>
          <cell r="AB308">
            <v>69750</v>
          </cell>
          <cell r="AC308">
            <v>0</v>
          </cell>
          <cell r="AD308">
            <v>69750</v>
          </cell>
          <cell r="AE308">
            <v>0</v>
          </cell>
          <cell r="AF308">
            <v>1085</v>
          </cell>
          <cell r="AG308">
            <v>0.7</v>
          </cell>
        </row>
        <row r="309">
          <cell r="B309">
            <v>272100125</v>
          </cell>
          <cell r="C309" t="str">
            <v/>
          </cell>
          <cell r="D309" t="str">
            <v>Dr. Brown Natural Flow Nivel 3 pezón estándar (8 unidades)</v>
          </cell>
          <cell r="E309" t="str">
            <v>DR BROWNS</v>
          </cell>
          <cell r="F309" t="str">
            <v/>
          </cell>
          <cell r="G309" t="str">
            <v/>
          </cell>
          <cell r="H309" t="str">
            <v/>
          </cell>
          <cell r="I309" t="str">
            <v/>
          </cell>
          <cell r="J309">
            <v>0</v>
          </cell>
          <cell r="K309">
            <v>0</v>
          </cell>
          <cell r="L309" t="str">
            <v/>
          </cell>
          <cell r="M309">
            <v>0</v>
          </cell>
          <cell r="N309" t="str">
            <v/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389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9</v>
          </cell>
          <cell r="AA309">
            <v>1218.105</v>
          </cell>
          <cell r="AB309">
            <v>1740.15</v>
          </cell>
          <cell r="AC309">
            <v>0</v>
          </cell>
          <cell r="AD309">
            <v>1740.15</v>
          </cell>
          <cell r="AE309">
            <v>0</v>
          </cell>
          <cell r="AF309">
            <v>27.068999999999999</v>
          </cell>
          <cell r="AG309">
            <v>0.7</v>
          </cell>
        </row>
        <row r="310">
          <cell r="B310">
            <v>272100101</v>
          </cell>
          <cell r="C310" t="str">
            <v/>
          </cell>
          <cell r="D310" t="str">
            <v>Dr. Brown's Advantage - Chupete reversible p/ bebé, protector abierto x Und</v>
          </cell>
          <cell r="E310" t="str">
            <v>DR BROWNS</v>
          </cell>
          <cell r="F310" t="str">
            <v/>
          </cell>
          <cell r="G310" t="str">
            <v/>
          </cell>
          <cell r="H310" t="str">
            <v/>
          </cell>
          <cell r="I310" t="str">
            <v/>
          </cell>
          <cell r="J310">
            <v>0</v>
          </cell>
          <cell r="K310">
            <v>0</v>
          </cell>
          <cell r="L310" t="str">
            <v/>
          </cell>
          <cell r="M310">
            <v>0</v>
          </cell>
          <cell r="N310" t="str">
            <v/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389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6</v>
          </cell>
          <cell r="AA310">
            <v>294.83999999999997</v>
          </cell>
          <cell r="AB310">
            <v>368.55</v>
          </cell>
          <cell r="AC310">
            <v>0</v>
          </cell>
          <cell r="AD310">
            <v>368.55</v>
          </cell>
          <cell r="AE310">
            <v>0</v>
          </cell>
          <cell r="AF310">
            <v>6.5519999999999996</v>
          </cell>
          <cell r="AG310">
            <v>0.8</v>
          </cell>
        </row>
        <row r="311">
          <cell r="B311">
            <v>272100103</v>
          </cell>
          <cell r="C311" t="str">
            <v/>
          </cell>
          <cell r="D311" t="str">
            <v>Dr. Brown's Esterilizador eléctrico de lujo para biberones y chupetes x Und</v>
          </cell>
          <cell r="E311" t="str">
            <v>DR BROWNS</v>
          </cell>
          <cell r="F311" t="str">
            <v/>
          </cell>
          <cell r="G311" t="str">
            <v/>
          </cell>
          <cell r="H311" t="str">
            <v/>
          </cell>
          <cell r="I311" t="str">
            <v/>
          </cell>
          <cell r="J311">
            <v>0</v>
          </cell>
          <cell r="K311">
            <v>0</v>
          </cell>
          <cell r="L311" t="str">
            <v/>
          </cell>
          <cell r="M311">
            <v>0</v>
          </cell>
          <cell r="N311" t="str">
            <v/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389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6</v>
          </cell>
          <cell r="AA311">
            <v>2885.76</v>
          </cell>
          <cell r="AB311">
            <v>3607.2</v>
          </cell>
          <cell r="AC311">
            <v>0</v>
          </cell>
          <cell r="AD311">
            <v>3607.2</v>
          </cell>
          <cell r="AE311">
            <v>0</v>
          </cell>
          <cell r="AF311">
            <v>64.128</v>
          </cell>
          <cell r="AG311">
            <v>0.8</v>
          </cell>
        </row>
        <row r="312">
          <cell r="B312">
            <v>272100121</v>
          </cell>
          <cell r="C312" t="str">
            <v/>
          </cell>
          <cell r="D312" t="str">
            <v>Dr. Brown's Opciones + Biberón de cuello ancho, 9 onzas</v>
          </cell>
          <cell r="E312" t="str">
            <v>DR BROWNS</v>
          </cell>
          <cell r="F312" t="str">
            <v/>
          </cell>
          <cell r="G312" t="str">
            <v/>
          </cell>
          <cell r="H312" t="str">
            <v/>
          </cell>
          <cell r="I312" t="str">
            <v>PQX100</v>
          </cell>
          <cell r="J312">
            <v>0</v>
          </cell>
          <cell r="K312">
            <v>0</v>
          </cell>
          <cell r="L312" t="str">
            <v/>
          </cell>
          <cell r="M312">
            <v>0</v>
          </cell>
          <cell r="N312" t="str">
            <v/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389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2</v>
          </cell>
          <cell r="AA312">
            <v>345.24</v>
          </cell>
          <cell r="AB312">
            <v>493.2</v>
          </cell>
          <cell r="AC312">
            <v>0</v>
          </cell>
          <cell r="AD312">
            <v>493.2</v>
          </cell>
          <cell r="AE312">
            <v>0</v>
          </cell>
          <cell r="AF312">
            <v>7.6719999999999997</v>
          </cell>
          <cell r="AG312">
            <v>0.7</v>
          </cell>
        </row>
        <row r="313">
          <cell r="B313">
            <v>272100104</v>
          </cell>
          <cell r="C313" t="str">
            <v/>
          </cell>
          <cell r="D313" t="str">
            <v>Dr. Brown's Options + Biberón de cuello ancho, 5 onzas x Und</v>
          </cell>
          <cell r="E313" t="str">
            <v>DR BROWNS</v>
          </cell>
          <cell r="F313" t="str">
            <v/>
          </cell>
          <cell r="G313" t="str">
            <v/>
          </cell>
          <cell r="H313" t="str">
            <v/>
          </cell>
          <cell r="I313" t="str">
            <v/>
          </cell>
          <cell r="J313">
            <v>0</v>
          </cell>
          <cell r="K313">
            <v>0</v>
          </cell>
          <cell r="L313" t="str">
            <v/>
          </cell>
          <cell r="M313">
            <v>0</v>
          </cell>
          <cell r="N313" t="str">
            <v/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389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3</v>
          </cell>
          <cell r="AA313">
            <v>407.88</v>
          </cell>
          <cell r="AB313">
            <v>509.85</v>
          </cell>
          <cell r="AC313">
            <v>0</v>
          </cell>
          <cell r="AD313">
            <v>509.85</v>
          </cell>
          <cell r="AE313">
            <v>0</v>
          </cell>
          <cell r="AF313">
            <v>9.0640000000000001</v>
          </cell>
          <cell r="AG313">
            <v>0.8</v>
          </cell>
        </row>
        <row r="314">
          <cell r="B314">
            <v>272100102</v>
          </cell>
          <cell r="C314" t="str">
            <v/>
          </cell>
          <cell r="D314" t="str">
            <v>Dr. Brown's biberón de transición con boquilla de entrenamiento + diseño x Und</v>
          </cell>
          <cell r="E314" t="str">
            <v>DR BROWNS</v>
          </cell>
          <cell r="F314" t="str">
            <v/>
          </cell>
          <cell r="G314" t="str">
            <v/>
          </cell>
          <cell r="H314" t="str">
            <v/>
          </cell>
          <cell r="I314" t="str">
            <v/>
          </cell>
          <cell r="J314">
            <v>0</v>
          </cell>
          <cell r="K314">
            <v>0</v>
          </cell>
          <cell r="L314" t="str">
            <v/>
          </cell>
          <cell r="M314">
            <v>0</v>
          </cell>
          <cell r="N314" t="str">
            <v/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389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3</v>
          </cell>
          <cell r="AA314">
            <v>321.83999999999997</v>
          </cell>
          <cell r="AB314">
            <v>402.3</v>
          </cell>
          <cell r="AC314">
            <v>0</v>
          </cell>
          <cell r="AD314">
            <v>402.3</v>
          </cell>
          <cell r="AE314">
            <v>0</v>
          </cell>
          <cell r="AF314">
            <v>7.1520000000000001</v>
          </cell>
          <cell r="AG314">
            <v>0.8</v>
          </cell>
        </row>
        <row r="315">
          <cell r="B315">
            <v>272100105</v>
          </cell>
          <cell r="C315" t="str">
            <v/>
          </cell>
          <cell r="D315" t="str">
            <v>Dr. Talbot's Gel Calmante de inspiración natural para encías doloridas x Und</v>
          </cell>
          <cell r="E315" t="str">
            <v>DR TALBOTS</v>
          </cell>
          <cell r="F315" t="str">
            <v/>
          </cell>
          <cell r="G315" t="str">
            <v/>
          </cell>
          <cell r="H315" t="str">
            <v/>
          </cell>
          <cell r="I315" t="str">
            <v/>
          </cell>
          <cell r="J315">
            <v>0</v>
          </cell>
          <cell r="K315">
            <v>0</v>
          </cell>
          <cell r="L315" t="str">
            <v/>
          </cell>
          <cell r="M315">
            <v>0</v>
          </cell>
          <cell r="N315" t="str">
            <v/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389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6</v>
          </cell>
          <cell r="AA315">
            <v>267.12</v>
          </cell>
          <cell r="AB315">
            <v>333.9</v>
          </cell>
          <cell r="AC315">
            <v>0</v>
          </cell>
          <cell r="AD315">
            <v>333.9</v>
          </cell>
          <cell r="AE315">
            <v>0</v>
          </cell>
          <cell r="AF315">
            <v>5.9359999999999999</v>
          </cell>
          <cell r="AG315">
            <v>0.8</v>
          </cell>
        </row>
        <row r="316">
          <cell r="B316">
            <v>252800103</v>
          </cell>
          <cell r="C316" t="str">
            <v>PLEE45A</v>
          </cell>
          <cell r="D316" t="str">
            <v>ECHELON FLEX POWERED PLUS STAPPLER MARCA ETHICON (PLEE45A) X UNIDAD</v>
          </cell>
          <cell r="E316" t="str">
            <v>ETHICON</v>
          </cell>
          <cell r="F316" t="str">
            <v/>
          </cell>
          <cell r="G316" t="str">
            <v/>
          </cell>
          <cell r="H316" t="str">
            <v/>
          </cell>
          <cell r="I316" t="str">
            <v>UND</v>
          </cell>
          <cell r="J316">
            <v>1</v>
          </cell>
          <cell r="K316">
            <v>1</v>
          </cell>
          <cell r="L316" t="str">
            <v>C</v>
          </cell>
          <cell r="M316">
            <v>420</v>
          </cell>
          <cell r="N316" t="str">
            <v/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389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17055</v>
          </cell>
          <cell r="AB316">
            <v>24364.29</v>
          </cell>
          <cell r="AC316">
            <v>0</v>
          </cell>
          <cell r="AD316">
            <v>24364.29</v>
          </cell>
          <cell r="AE316">
            <v>0</v>
          </cell>
          <cell r="AF316">
            <v>379</v>
          </cell>
          <cell r="AG316">
            <v>0.7</v>
          </cell>
        </row>
        <row r="317">
          <cell r="B317">
            <v>252600350</v>
          </cell>
          <cell r="C317" t="str">
            <v>252600350</v>
          </cell>
          <cell r="D317" t="str">
            <v>EMPAQUE CARDIOVASCULAR</v>
          </cell>
          <cell r="E317" t="str">
            <v/>
          </cell>
          <cell r="F317" t="str">
            <v/>
          </cell>
          <cell r="G317" t="str">
            <v/>
          </cell>
          <cell r="H317" t="str">
            <v/>
          </cell>
          <cell r="I317" t="str">
            <v>UND</v>
          </cell>
          <cell r="J317">
            <v>1</v>
          </cell>
          <cell r="K317">
            <v>1</v>
          </cell>
          <cell r="L317" t="str">
            <v/>
          </cell>
          <cell r="M317">
            <v>0</v>
          </cell>
          <cell r="N317" t="str">
            <v/>
          </cell>
          <cell r="O317">
            <v>0</v>
          </cell>
          <cell r="P317">
            <v>2</v>
          </cell>
          <cell r="Q317">
            <v>0</v>
          </cell>
          <cell r="R317">
            <v>0</v>
          </cell>
          <cell r="S317">
            <v>0</v>
          </cell>
          <cell r="T317">
            <v>389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1701</v>
          </cell>
          <cell r="AB317">
            <v>2430</v>
          </cell>
          <cell r="AC317">
            <v>0</v>
          </cell>
          <cell r="AD317">
            <v>2430</v>
          </cell>
          <cell r="AE317">
            <v>0</v>
          </cell>
          <cell r="AF317">
            <v>37.799999999999997</v>
          </cell>
          <cell r="AG317">
            <v>0.7</v>
          </cell>
        </row>
        <row r="318">
          <cell r="B318">
            <v>250200440</v>
          </cell>
          <cell r="C318" t="str">
            <v/>
          </cell>
          <cell r="D318" t="str">
            <v>EQUIPO CALENTADOR PARA MANTA TERMICA</v>
          </cell>
          <cell r="E318" t="str">
            <v/>
          </cell>
          <cell r="F318" t="str">
            <v/>
          </cell>
          <cell r="G318" t="str">
            <v/>
          </cell>
          <cell r="H318" t="str">
            <v/>
          </cell>
          <cell r="I318" t="str">
            <v>UND</v>
          </cell>
          <cell r="J318">
            <v>1</v>
          </cell>
          <cell r="K318">
            <v>1</v>
          </cell>
          <cell r="L318" t="str">
            <v/>
          </cell>
          <cell r="M318">
            <v>0</v>
          </cell>
          <cell r="N318" t="str">
            <v/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389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74643.75</v>
          </cell>
          <cell r="AB318">
            <v>74643.75</v>
          </cell>
          <cell r="AC318">
            <v>0</v>
          </cell>
          <cell r="AD318">
            <v>74643.75</v>
          </cell>
          <cell r="AE318">
            <v>0</v>
          </cell>
          <cell r="AF318">
            <v>1658.75</v>
          </cell>
          <cell r="AG318">
            <v>1</v>
          </cell>
        </row>
        <row r="319">
          <cell r="B319">
            <v>250200340</v>
          </cell>
          <cell r="C319" t="str">
            <v/>
          </cell>
          <cell r="D319" t="str">
            <v>EQUIPO TORNIQUETE NEUMATICO  ZIMMER ATS 3000</v>
          </cell>
          <cell r="E319" t="str">
            <v/>
          </cell>
          <cell r="F319" t="str">
            <v/>
          </cell>
          <cell r="G319" t="str">
            <v/>
          </cell>
          <cell r="H319" t="str">
            <v/>
          </cell>
          <cell r="I319" t="str">
            <v>UND</v>
          </cell>
          <cell r="J319">
            <v>1</v>
          </cell>
          <cell r="K319">
            <v>1</v>
          </cell>
          <cell r="L319" t="str">
            <v/>
          </cell>
          <cell r="M319">
            <v>0</v>
          </cell>
          <cell r="N319" t="str">
            <v/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389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16821</v>
          </cell>
          <cell r="AB319">
            <v>24030</v>
          </cell>
          <cell r="AC319">
            <v>0</v>
          </cell>
          <cell r="AD319">
            <v>24030</v>
          </cell>
          <cell r="AE319">
            <v>0</v>
          </cell>
          <cell r="AF319">
            <v>373.8</v>
          </cell>
          <cell r="AG319">
            <v>0.7</v>
          </cell>
        </row>
        <row r="320">
          <cell r="B320" t="str">
            <v>HOS520325</v>
          </cell>
          <cell r="C320" t="str">
            <v>520325</v>
          </cell>
          <cell r="D320" t="str">
            <v>EUROATHLETIC KLS Azul 5 cm x 5 mt. (Leukotape) x Und. Ref 520325</v>
          </cell>
          <cell r="E320" t="str">
            <v>EUROFARM</v>
          </cell>
          <cell r="F320" t="str">
            <v>Venda Adhesiva Kinesioterapia</v>
          </cell>
          <cell r="G320" t="str">
            <v>CUIDADO DE HERIDAS</v>
          </cell>
          <cell r="H320" t="str">
            <v>41</v>
          </cell>
          <cell r="I320" t="str">
            <v>UND</v>
          </cell>
          <cell r="J320">
            <v>1</v>
          </cell>
          <cell r="K320">
            <v>0</v>
          </cell>
          <cell r="L320" t="str">
            <v>C</v>
          </cell>
          <cell r="M320">
            <v>99</v>
          </cell>
          <cell r="N320" t="str">
            <v/>
          </cell>
          <cell r="O320">
            <v>0</v>
          </cell>
          <cell r="P320">
            <v>0</v>
          </cell>
          <cell r="Q320">
            <v>9</v>
          </cell>
          <cell r="R320">
            <v>9</v>
          </cell>
          <cell r="S320">
            <v>0</v>
          </cell>
          <cell r="T320">
            <v>333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9</v>
          </cell>
          <cell r="Z320">
            <v>52</v>
          </cell>
          <cell r="AA320">
            <v>176.346</v>
          </cell>
          <cell r="AB320">
            <v>320.63</v>
          </cell>
          <cell r="AC320">
            <v>0</v>
          </cell>
          <cell r="AD320">
            <v>320.63</v>
          </cell>
          <cell r="AE320">
            <v>0</v>
          </cell>
          <cell r="AF320">
            <v>3.9188000000000001</v>
          </cell>
          <cell r="AG320">
            <v>0.55000000000000004</v>
          </cell>
        </row>
        <row r="321">
          <cell r="B321" t="str">
            <v>HOS520335</v>
          </cell>
          <cell r="C321" t="str">
            <v>520335</v>
          </cell>
          <cell r="D321" t="str">
            <v>EUROATHLETIC KLS Negro 5 cm x 5 mt. (Leukotape) x Und. Ref 520335</v>
          </cell>
          <cell r="E321" t="str">
            <v>EUROFARM</v>
          </cell>
          <cell r="F321" t="str">
            <v>Venda Adhesiva Kinesioterapia</v>
          </cell>
          <cell r="G321" t="str">
            <v>CUIDADO DE HERIDAS</v>
          </cell>
          <cell r="H321" t="str">
            <v>41</v>
          </cell>
          <cell r="I321" t="str">
            <v>UND</v>
          </cell>
          <cell r="J321">
            <v>1</v>
          </cell>
          <cell r="K321">
            <v>0</v>
          </cell>
          <cell r="L321" t="str">
            <v>C</v>
          </cell>
          <cell r="M321">
            <v>92</v>
          </cell>
          <cell r="N321" t="str">
            <v/>
          </cell>
          <cell r="O321">
            <v>0</v>
          </cell>
          <cell r="P321">
            <v>0</v>
          </cell>
          <cell r="Q321">
            <v>16</v>
          </cell>
          <cell r="R321">
            <v>16</v>
          </cell>
          <cell r="S321">
            <v>0</v>
          </cell>
          <cell r="T321">
            <v>354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16</v>
          </cell>
          <cell r="Z321">
            <v>52</v>
          </cell>
          <cell r="AA321">
            <v>176.346</v>
          </cell>
          <cell r="AB321">
            <v>320.63</v>
          </cell>
          <cell r="AC321">
            <v>0</v>
          </cell>
          <cell r="AD321">
            <v>320.63</v>
          </cell>
          <cell r="AE321">
            <v>0</v>
          </cell>
          <cell r="AF321">
            <v>3.9188000000000001</v>
          </cell>
          <cell r="AG321">
            <v>0.55000000000000004</v>
          </cell>
        </row>
        <row r="322">
          <cell r="B322" t="str">
            <v>HOS520305</v>
          </cell>
          <cell r="C322" t="str">
            <v>520305</v>
          </cell>
          <cell r="D322" t="str">
            <v>EUROATHLETIC KLS Piel 5 cm x 5 mt. (Leukotape) x Und.  Ref 520305</v>
          </cell>
          <cell r="E322" t="str">
            <v>EUROFARM</v>
          </cell>
          <cell r="F322" t="str">
            <v>Venda Adhesiva Kinesioterapia</v>
          </cell>
          <cell r="G322" t="str">
            <v>CUIDADO DE HERIDAS</v>
          </cell>
          <cell r="H322" t="str">
            <v>41</v>
          </cell>
          <cell r="I322" t="str">
            <v>UND</v>
          </cell>
          <cell r="J322">
            <v>1</v>
          </cell>
          <cell r="K322">
            <v>0</v>
          </cell>
          <cell r="L322" t="str">
            <v>C</v>
          </cell>
          <cell r="M322">
            <v>187</v>
          </cell>
          <cell r="N322" t="str">
            <v/>
          </cell>
          <cell r="O322">
            <v>0</v>
          </cell>
          <cell r="P322">
            <v>0</v>
          </cell>
          <cell r="Q322">
            <v>5</v>
          </cell>
          <cell r="R322">
            <v>5</v>
          </cell>
          <cell r="S322">
            <v>0</v>
          </cell>
          <cell r="T322">
            <v>345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5</v>
          </cell>
          <cell r="Z322">
            <v>50</v>
          </cell>
          <cell r="AA322">
            <v>176.346</v>
          </cell>
          <cell r="AB322">
            <v>320.63</v>
          </cell>
          <cell r="AC322">
            <v>0</v>
          </cell>
          <cell r="AD322">
            <v>320.63</v>
          </cell>
          <cell r="AE322">
            <v>0</v>
          </cell>
          <cell r="AF322">
            <v>3.9188000000000001</v>
          </cell>
          <cell r="AG322">
            <v>0.55000000000000004</v>
          </cell>
        </row>
        <row r="323">
          <cell r="B323" t="str">
            <v>HOS520355</v>
          </cell>
          <cell r="C323" t="str">
            <v>520355</v>
          </cell>
          <cell r="D323" t="str">
            <v>EUROATHLETIC KLS Rosado 5 cm x 5 mt. (Leukotape) x Und. Ref 520355</v>
          </cell>
          <cell r="E323" t="str">
            <v>EUROFARM</v>
          </cell>
          <cell r="F323" t="str">
            <v>Venda Adhesiva Kinesioterapia</v>
          </cell>
          <cell r="G323" t="str">
            <v>CUIDADO DE HERIDAS</v>
          </cell>
          <cell r="H323" t="str">
            <v>41</v>
          </cell>
          <cell r="I323" t="str">
            <v>UND</v>
          </cell>
          <cell r="J323">
            <v>1</v>
          </cell>
          <cell r="K323">
            <v>0</v>
          </cell>
          <cell r="L323" t="str">
            <v>C</v>
          </cell>
          <cell r="M323">
            <v>121</v>
          </cell>
          <cell r="N323" t="str">
            <v/>
          </cell>
          <cell r="O323">
            <v>0</v>
          </cell>
          <cell r="P323">
            <v>0</v>
          </cell>
          <cell r="Q323">
            <v>13</v>
          </cell>
          <cell r="R323">
            <v>13</v>
          </cell>
          <cell r="S323">
            <v>0</v>
          </cell>
          <cell r="T323">
            <v>340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13</v>
          </cell>
          <cell r="Z323">
            <v>52</v>
          </cell>
          <cell r="AA323">
            <v>176.346</v>
          </cell>
          <cell r="AB323">
            <v>320.63</v>
          </cell>
          <cell r="AC323">
            <v>0</v>
          </cell>
          <cell r="AD323">
            <v>320.63</v>
          </cell>
          <cell r="AE323">
            <v>0</v>
          </cell>
          <cell r="AF323">
            <v>3.9188000000000001</v>
          </cell>
          <cell r="AG323">
            <v>0.55000000000000004</v>
          </cell>
        </row>
        <row r="324">
          <cell r="B324" t="str">
            <v>HOS511104</v>
          </cell>
          <cell r="C324" t="str">
            <v>511104</v>
          </cell>
          <cell r="D324" t="str">
            <v>EUROCAST F 10 cm x 3,6 mt. (Delta Lite-Scoth Cast) x Und. (Caja x 10) Ref 511104</v>
          </cell>
          <cell r="E324" t="str">
            <v>EUROFARM</v>
          </cell>
          <cell r="F324" t="str">
            <v>Delta Lite-BSN - Scoth Cast-3M. Venda de Yeso Sintético</v>
          </cell>
          <cell r="G324" t="str">
            <v>CUIDADO DE HERIDAS</v>
          </cell>
          <cell r="H324" t="str">
            <v>59</v>
          </cell>
          <cell r="I324" t="str">
            <v>CJX10</v>
          </cell>
          <cell r="J324">
            <v>10</v>
          </cell>
          <cell r="K324">
            <v>0</v>
          </cell>
          <cell r="L324" t="str">
            <v>C</v>
          </cell>
          <cell r="M324">
            <v>360</v>
          </cell>
          <cell r="N324" t="str">
            <v/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375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200</v>
          </cell>
          <cell r="AA324">
            <v>157.7835</v>
          </cell>
          <cell r="AB324">
            <v>242.74</v>
          </cell>
          <cell r="AC324">
            <v>0</v>
          </cell>
          <cell r="AD324">
            <v>242.74</v>
          </cell>
          <cell r="AE324">
            <v>0</v>
          </cell>
          <cell r="AF324">
            <v>3.5063</v>
          </cell>
          <cell r="AG324">
            <v>0.65</v>
          </cell>
        </row>
        <row r="325">
          <cell r="B325" t="str">
            <v>HOS511103</v>
          </cell>
          <cell r="C325" t="str">
            <v>511103</v>
          </cell>
          <cell r="D325" t="str">
            <v>EUROCAST F 7,5 cm x 3,6 mt. (Delta Lite-Scoth Cast) x Und. (Caja x 10) Ref 511103</v>
          </cell>
          <cell r="E325" t="str">
            <v>EUROFARM</v>
          </cell>
          <cell r="F325" t="str">
            <v>Delta Lite-BSN - Scoth Cast-3M. Venda de Yeso Sintético</v>
          </cell>
          <cell r="G325" t="str">
            <v>CUIDADO DE HERIDAS</v>
          </cell>
          <cell r="H325" t="str">
            <v>59</v>
          </cell>
          <cell r="I325" t="str">
            <v>CJX10</v>
          </cell>
          <cell r="J325">
            <v>10</v>
          </cell>
          <cell r="K325">
            <v>0</v>
          </cell>
          <cell r="L325" t="str">
            <v>C</v>
          </cell>
          <cell r="M325">
            <v>363</v>
          </cell>
          <cell r="N325" t="str">
            <v/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375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200</v>
          </cell>
          <cell r="AA325">
            <v>129.9375</v>
          </cell>
          <cell r="AB325">
            <v>199.9</v>
          </cell>
          <cell r="AC325">
            <v>0</v>
          </cell>
          <cell r="AD325">
            <v>199.9</v>
          </cell>
          <cell r="AE325">
            <v>0</v>
          </cell>
          <cell r="AF325">
            <v>2.8875000000000002</v>
          </cell>
          <cell r="AG325">
            <v>0.65</v>
          </cell>
        </row>
        <row r="326">
          <cell r="B326" t="str">
            <v>HOS717510</v>
          </cell>
          <cell r="C326" t="str">
            <v>717510</v>
          </cell>
          <cell r="D326" t="str">
            <v>EURODERM 10 cm x 10 cm. (Tegaderm film-Leukomed T) x Und. (Caja x 100) Ref 717510</v>
          </cell>
          <cell r="E326" t="str">
            <v>EUROFARM</v>
          </cell>
          <cell r="F326" t="str">
            <v>Tegaderm-3M - Leukomed T-BSN</v>
          </cell>
          <cell r="G326" t="str">
            <v>CUIDADO DE HERIDAS</v>
          </cell>
          <cell r="H326" t="str">
            <v>50</v>
          </cell>
          <cell r="I326" t="str">
            <v>CJX100</v>
          </cell>
          <cell r="J326">
            <v>1</v>
          </cell>
          <cell r="K326">
            <v>0</v>
          </cell>
          <cell r="L326" t="str">
            <v>C</v>
          </cell>
          <cell r="M326">
            <v>402</v>
          </cell>
          <cell r="N326" t="str">
            <v/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389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4500</v>
          </cell>
          <cell r="AA326">
            <v>13.612500000000001</v>
          </cell>
          <cell r="AB326">
            <v>18.149999999999999</v>
          </cell>
          <cell r="AC326">
            <v>0</v>
          </cell>
          <cell r="AD326">
            <v>18.149999999999999</v>
          </cell>
          <cell r="AE326">
            <v>0</v>
          </cell>
          <cell r="AF326">
            <v>0.30249999999999999</v>
          </cell>
          <cell r="AG326">
            <v>0.7501000000000001</v>
          </cell>
        </row>
        <row r="327">
          <cell r="B327" t="str">
            <v>HOS893010</v>
          </cell>
          <cell r="C327" t="str">
            <v>893010</v>
          </cell>
          <cell r="D327" t="str">
            <v>EURODERM FOAM 10 cm x 10 cm. (Cutimed Siltec) x 10 Unds. Ref 893010</v>
          </cell>
          <cell r="E327" t="str">
            <v>EUROFARM</v>
          </cell>
          <cell r="F327" t="str">
            <v>Cutimed Siltec-BSN</v>
          </cell>
          <cell r="G327" t="str">
            <v>CUIDADO DE HERIDAS</v>
          </cell>
          <cell r="H327" t="str">
            <v>28</v>
          </cell>
          <cell r="I327" t="str">
            <v>CJX10</v>
          </cell>
          <cell r="J327">
            <v>1</v>
          </cell>
          <cell r="K327">
            <v>0</v>
          </cell>
          <cell r="L327" t="str">
            <v/>
          </cell>
          <cell r="M327">
            <v>0</v>
          </cell>
          <cell r="N327" t="str">
            <v/>
          </cell>
          <cell r="O327">
            <v>0</v>
          </cell>
          <cell r="P327">
            <v>0</v>
          </cell>
          <cell r="Q327">
            <v>1</v>
          </cell>
          <cell r="R327">
            <v>1</v>
          </cell>
          <cell r="S327">
            <v>0</v>
          </cell>
          <cell r="T327">
            <v>385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1</v>
          </cell>
          <cell r="Z327">
            <v>1</v>
          </cell>
          <cell r="AA327">
            <v>730.125</v>
          </cell>
          <cell r="AB327">
            <v>1043.04</v>
          </cell>
          <cell r="AC327">
            <v>0</v>
          </cell>
          <cell r="AD327">
            <v>1043.04</v>
          </cell>
          <cell r="AE327">
            <v>0</v>
          </cell>
          <cell r="AF327">
            <v>16.225000000000001</v>
          </cell>
          <cell r="AG327">
            <v>0.7</v>
          </cell>
        </row>
        <row r="328">
          <cell r="B328" t="str">
            <v>HOS893140</v>
          </cell>
          <cell r="C328" t="str">
            <v>893140</v>
          </cell>
          <cell r="D328" t="str">
            <v>EURODERM FOAM CONCAVE 18 cm x 16,5 cm. (Cutimed Siltec Concave) x 3 Und. Ref 893140</v>
          </cell>
          <cell r="E328" t="str">
            <v>EUROFARM</v>
          </cell>
          <cell r="F328" t="str">
            <v>Cutimed Siltec Concave-BSN</v>
          </cell>
          <cell r="G328" t="str">
            <v>CUIDADO DE HERIDAS</v>
          </cell>
          <cell r="H328" t="str">
            <v>29</v>
          </cell>
          <cell r="I328" t="str">
            <v>CJX3</v>
          </cell>
          <cell r="J328">
            <v>1</v>
          </cell>
          <cell r="K328">
            <v>0</v>
          </cell>
          <cell r="L328" t="str">
            <v/>
          </cell>
          <cell r="M328">
            <v>0</v>
          </cell>
          <cell r="N328" t="str">
            <v/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389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742.5</v>
          </cell>
          <cell r="AB328">
            <v>1060.71</v>
          </cell>
          <cell r="AC328">
            <v>0</v>
          </cell>
          <cell r="AD328">
            <v>1060.71</v>
          </cell>
          <cell r="AE328">
            <v>0</v>
          </cell>
          <cell r="AF328">
            <v>16.5</v>
          </cell>
          <cell r="AG328">
            <v>0.7</v>
          </cell>
        </row>
        <row r="329">
          <cell r="B329" t="str">
            <v>HOS893110</v>
          </cell>
          <cell r="C329" t="str">
            <v>893110</v>
          </cell>
          <cell r="D329" t="str">
            <v>EURODERM FOAM PLUS 10 cm x 10 cm. (Cutimed Siltec B Adhesivo) x 10 Unds. Ref 893110</v>
          </cell>
          <cell r="E329" t="str">
            <v>EUROFARM</v>
          </cell>
          <cell r="F329" t="str">
            <v>Cutimed Siltec Adhesivo-BSN</v>
          </cell>
          <cell r="G329" t="str">
            <v>CUIDADO DE HERIDAS</v>
          </cell>
          <cell r="H329" t="str">
            <v>31</v>
          </cell>
          <cell r="I329" t="str">
            <v>CJX10</v>
          </cell>
          <cell r="J329">
            <v>1</v>
          </cell>
          <cell r="K329">
            <v>0</v>
          </cell>
          <cell r="L329" t="str">
            <v>C</v>
          </cell>
          <cell r="M329">
            <v>358</v>
          </cell>
          <cell r="N329" t="str">
            <v/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375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556.875</v>
          </cell>
          <cell r="AB329">
            <v>795.54</v>
          </cell>
          <cell r="AC329">
            <v>0</v>
          </cell>
          <cell r="AD329">
            <v>795.54</v>
          </cell>
          <cell r="AE329">
            <v>0</v>
          </cell>
          <cell r="AF329">
            <v>12.375</v>
          </cell>
          <cell r="AG329">
            <v>0.7</v>
          </cell>
        </row>
        <row r="330">
          <cell r="B330" t="str">
            <v>HOS717570</v>
          </cell>
          <cell r="C330" t="str">
            <v>717570</v>
          </cell>
          <cell r="D330" t="str">
            <v>EURODERM IV R 5 cm x 7 cm. (Tegaderm IV-Leukomed IV) x Und. (Caja x 100 ) Ref 717570</v>
          </cell>
          <cell r="E330" t="str">
            <v>EUROFARM</v>
          </cell>
          <cell r="F330" t="str">
            <v>Tegaderm IV-3M - Leukomed IV-BSN</v>
          </cell>
          <cell r="G330" t="str">
            <v>CUIDADO DE HERIDAS</v>
          </cell>
          <cell r="H330" t="str">
            <v>53</v>
          </cell>
          <cell r="I330" t="str">
            <v>CJX100</v>
          </cell>
          <cell r="J330">
            <v>100</v>
          </cell>
          <cell r="K330">
            <v>0</v>
          </cell>
          <cell r="L330" t="str">
            <v/>
          </cell>
          <cell r="M330">
            <v>0</v>
          </cell>
          <cell r="N330" t="str">
            <v/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389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7200</v>
          </cell>
          <cell r="AA330">
            <v>13.68</v>
          </cell>
          <cell r="AB330">
            <v>24.89</v>
          </cell>
          <cell r="AC330">
            <v>0</v>
          </cell>
          <cell r="AD330">
            <v>24.89</v>
          </cell>
          <cell r="AE330">
            <v>0</v>
          </cell>
          <cell r="AF330">
            <v>0.30399999999999999</v>
          </cell>
          <cell r="AG330">
            <v>0.54959999999999998</v>
          </cell>
        </row>
        <row r="331">
          <cell r="B331" t="str">
            <v>HOS717571</v>
          </cell>
          <cell r="C331" t="str">
            <v>717571</v>
          </cell>
          <cell r="D331" t="str">
            <v>EURODERM IV R 8 cm x 9 cm. (Tegaderm IV-Leukomed IV) x Und. (Caja x 100) Ref 717571</v>
          </cell>
          <cell r="E331" t="str">
            <v>EUROFARM</v>
          </cell>
          <cell r="F331" t="str">
            <v>Tegaderm IV-3M - Leukomed IV-BSN</v>
          </cell>
          <cell r="G331" t="str">
            <v>CUIDADO DE HERIDAS</v>
          </cell>
          <cell r="H331" t="str">
            <v>53</v>
          </cell>
          <cell r="I331" t="str">
            <v>CJX100</v>
          </cell>
          <cell r="J331">
            <v>100</v>
          </cell>
          <cell r="K331">
            <v>0</v>
          </cell>
          <cell r="L331" t="str">
            <v/>
          </cell>
          <cell r="M331">
            <v>0</v>
          </cell>
          <cell r="N331" t="str">
            <v/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389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7200</v>
          </cell>
          <cell r="AA331">
            <v>13.05</v>
          </cell>
          <cell r="AB331">
            <v>20.38</v>
          </cell>
          <cell r="AC331">
            <v>0</v>
          </cell>
          <cell r="AD331">
            <v>20.38</v>
          </cell>
          <cell r="AE331">
            <v>0</v>
          </cell>
          <cell r="AF331">
            <v>0.28999999999999998</v>
          </cell>
          <cell r="AG331">
            <v>0.64049999999999996</v>
          </cell>
        </row>
        <row r="332">
          <cell r="B332" t="str">
            <v>FAR897607</v>
          </cell>
          <cell r="C332" t="str">
            <v>897607</v>
          </cell>
          <cell r="D332" t="str">
            <v>EURODERM PLUS 10 cm x 25 cm. (Tegaderm+Pad-Leukomed T Plus) x 3 Und. Ref 897607</v>
          </cell>
          <cell r="E332" t="str">
            <v>EUROFARM</v>
          </cell>
          <cell r="F332" t="str">
            <v>Tegaderm+PAD-3M - Leukomed T-PLUS-BSN</v>
          </cell>
          <cell r="G332" t="str">
            <v>CUIDADO DE HERIDAS</v>
          </cell>
          <cell r="H332" t="str">
            <v>54</v>
          </cell>
          <cell r="I332" t="str">
            <v>CJX3</v>
          </cell>
          <cell r="J332">
            <v>1</v>
          </cell>
          <cell r="K332">
            <v>0</v>
          </cell>
          <cell r="L332" t="str">
            <v>C</v>
          </cell>
          <cell r="M332">
            <v>151</v>
          </cell>
          <cell r="N332" t="str">
            <v/>
          </cell>
          <cell r="O332">
            <v>0</v>
          </cell>
          <cell r="P332">
            <v>0</v>
          </cell>
          <cell r="Q332">
            <v>10</v>
          </cell>
          <cell r="R332">
            <v>10</v>
          </cell>
          <cell r="S332">
            <v>0</v>
          </cell>
          <cell r="T332">
            <v>374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10</v>
          </cell>
          <cell r="Z332">
            <v>27</v>
          </cell>
          <cell r="AA332">
            <v>102.096</v>
          </cell>
          <cell r="AB332">
            <v>204.19</v>
          </cell>
          <cell r="AC332">
            <v>0</v>
          </cell>
          <cell r="AD332">
            <v>204.19</v>
          </cell>
          <cell r="AE332">
            <v>0</v>
          </cell>
          <cell r="AF332">
            <v>2.2688000000000001</v>
          </cell>
          <cell r="AG332">
            <v>0.5</v>
          </cell>
        </row>
        <row r="333">
          <cell r="B333" t="str">
            <v>FAR897605</v>
          </cell>
          <cell r="C333" t="str">
            <v>897605</v>
          </cell>
          <cell r="D333" t="str">
            <v>EURODERM PLUS 15 cm x 8 cm. (Tegaderm+Pad-Leukomed T Plus) x 5 Und. Ref 897605</v>
          </cell>
          <cell r="E333" t="str">
            <v>EUROFARM</v>
          </cell>
          <cell r="F333" t="str">
            <v>Tegaderm+PAD-3M - Leukomed T-PLUS-BSN</v>
          </cell>
          <cell r="G333" t="str">
            <v>CUIDADO DE HERIDAS</v>
          </cell>
          <cell r="H333" t="str">
            <v>54</v>
          </cell>
          <cell r="I333" t="str">
            <v>CJX5</v>
          </cell>
          <cell r="J333">
            <v>1</v>
          </cell>
          <cell r="K333">
            <v>0</v>
          </cell>
          <cell r="L333" t="str">
            <v>C</v>
          </cell>
          <cell r="M333">
            <v>78</v>
          </cell>
          <cell r="N333" t="str">
            <v/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371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62</v>
          </cell>
          <cell r="AA333">
            <v>80.4375</v>
          </cell>
          <cell r="AB333">
            <v>160.88</v>
          </cell>
          <cell r="AC333">
            <v>0</v>
          </cell>
          <cell r="AD333">
            <v>160.88</v>
          </cell>
          <cell r="AE333">
            <v>0</v>
          </cell>
          <cell r="AF333">
            <v>1.7875000000000001</v>
          </cell>
          <cell r="AG333">
            <v>0.5</v>
          </cell>
        </row>
        <row r="334">
          <cell r="B334" t="str">
            <v>HOS717605</v>
          </cell>
          <cell r="C334" t="str">
            <v>717605</v>
          </cell>
          <cell r="D334" t="str">
            <v>EURODERM PLUS 15 cm x 8 cm. (Tegaderm+Pad-Leukomed T Plus) x Und. (Caja x 50) Ref 717605</v>
          </cell>
          <cell r="E334" t="str">
            <v>EUROFARM</v>
          </cell>
          <cell r="F334" t="str">
            <v>Tegaderm+PAD-3M - Leukomed T-PLUS-BSN</v>
          </cell>
          <cell r="G334" t="str">
            <v>CUIDADO DE HERIDAS</v>
          </cell>
          <cell r="H334" t="str">
            <v>54</v>
          </cell>
          <cell r="I334" t="str">
            <v>CJX50</v>
          </cell>
          <cell r="J334">
            <v>50</v>
          </cell>
          <cell r="K334">
            <v>0</v>
          </cell>
          <cell r="L334" t="str">
            <v>C</v>
          </cell>
          <cell r="M334">
            <v>395</v>
          </cell>
          <cell r="N334" t="str">
            <v/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389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4800</v>
          </cell>
          <cell r="AA334">
            <v>14.85</v>
          </cell>
          <cell r="AB334">
            <v>29.7</v>
          </cell>
          <cell r="AC334">
            <v>0</v>
          </cell>
          <cell r="AD334">
            <v>29.7</v>
          </cell>
          <cell r="AE334">
            <v>0</v>
          </cell>
          <cell r="AF334">
            <v>0.33</v>
          </cell>
          <cell r="AG334">
            <v>0.5</v>
          </cell>
        </row>
        <row r="335">
          <cell r="B335" t="str">
            <v>FAR897600</v>
          </cell>
          <cell r="C335" t="str">
            <v>897600</v>
          </cell>
          <cell r="D335" t="str">
            <v>EURODERM PLUS 5 cm x 7 cm. (Tegaderm+Pad-Leukomed T Plus) x 5 Und. Ref 897600</v>
          </cell>
          <cell r="E335" t="str">
            <v>EUROFARM</v>
          </cell>
          <cell r="F335" t="str">
            <v>Tegaderm+PAD-3M - Leukomed T-PLUS-BSN</v>
          </cell>
          <cell r="G335" t="str">
            <v>CUIDADO DE HERIDAS</v>
          </cell>
          <cell r="H335" t="str">
            <v>54</v>
          </cell>
          <cell r="I335" t="str">
            <v>CJX5</v>
          </cell>
          <cell r="J335">
            <v>1</v>
          </cell>
          <cell r="K335">
            <v>0</v>
          </cell>
          <cell r="L335" t="str">
            <v>C</v>
          </cell>
          <cell r="M335">
            <v>341</v>
          </cell>
          <cell r="N335" t="str">
            <v/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371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50</v>
          </cell>
          <cell r="AA335">
            <v>68.0625</v>
          </cell>
          <cell r="AB335">
            <v>136.13</v>
          </cell>
          <cell r="AC335">
            <v>0</v>
          </cell>
          <cell r="AD335">
            <v>136.13</v>
          </cell>
          <cell r="AE335">
            <v>0</v>
          </cell>
          <cell r="AF335">
            <v>1.5125</v>
          </cell>
          <cell r="AG335">
            <v>0.5</v>
          </cell>
        </row>
        <row r="336">
          <cell r="B336" t="str">
            <v>HOS717601</v>
          </cell>
          <cell r="C336" t="str">
            <v>717601</v>
          </cell>
          <cell r="D336" t="str">
            <v>EURODERM PLUS 6 cm x 7 cm. (Tegaderm+Pad-Leukomed T Plus) x Und. (Caja x 100) Ref 717601</v>
          </cell>
          <cell r="E336" t="str">
            <v>EUROFARM</v>
          </cell>
          <cell r="F336" t="str">
            <v>Tegaderm+PAD-3M - Leukomed T-PLUS-BSN</v>
          </cell>
          <cell r="G336" t="str">
            <v>CUIDADO DE HERIDAS</v>
          </cell>
          <cell r="H336" t="str">
            <v/>
          </cell>
          <cell r="I336" t="str">
            <v>CJX100</v>
          </cell>
          <cell r="J336">
            <v>1</v>
          </cell>
          <cell r="K336">
            <v>0</v>
          </cell>
          <cell r="L336" t="str">
            <v>C</v>
          </cell>
          <cell r="M336">
            <v>373</v>
          </cell>
          <cell r="N336" t="str">
            <v/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389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500</v>
          </cell>
          <cell r="AA336">
            <v>6.1875</v>
          </cell>
          <cell r="AB336">
            <v>12.38</v>
          </cell>
          <cell r="AC336">
            <v>0</v>
          </cell>
          <cell r="AD336">
            <v>12.38</v>
          </cell>
          <cell r="AE336">
            <v>0</v>
          </cell>
          <cell r="AF336">
            <v>0.13750000000000001</v>
          </cell>
          <cell r="AG336">
            <v>0.5</v>
          </cell>
        </row>
        <row r="337">
          <cell r="B337" t="str">
            <v>FAR897602</v>
          </cell>
          <cell r="C337" t="str">
            <v>897602</v>
          </cell>
          <cell r="D337" t="str">
            <v>EURODERM PLUS 6 cm x 9 cm. (Tegaderm+Pad-Leukomed T Plus)  x 5 Unds Ref 897602</v>
          </cell>
          <cell r="E337" t="str">
            <v>EUROFARM</v>
          </cell>
          <cell r="F337" t="str">
            <v>Tegaderm+PAD-3M - Leukomed T-PLUS-BSN</v>
          </cell>
          <cell r="G337" t="str">
            <v>CUIDADO DE HERIDAS</v>
          </cell>
          <cell r="H337" t="str">
            <v/>
          </cell>
          <cell r="I337" t="str">
            <v>CJX5</v>
          </cell>
          <cell r="J337">
            <v>0</v>
          </cell>
          <cell r="K337">
            <v>0</v>
          </cell>
          <cell r="L337" t="str">
            <v>C</v>
          </cell>
          <cell r="M337">
            <v>369</v>
          </cell>
          <cell r="N337" t="str">
            <v/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389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71.158500000000004</v>
          </cell>
          <cell r="AB337">
            <v>142.31</v>
          </cell>
          <cell r="AC337">
            <v>0</v>
          </cell>
          <cell r="AD337">
            <v>142.31</v>
          </cell>
          <cell r="AE337">
            <v>0</v>
          </cell>
          <cell r="AF337">
            <v>1.5812999999999999</v>
          </cell>
          <cell r="AG337">
            <v>0.5</v>
          </cell>
        </row>
        <row r="338">
          <cell r="B338" t="str">
            <v>HOS717602</v>
          </cell>
          <cell r="C338" t="str">
            <v>717602</v>
          </cell>
          <cell r="D338" t="str">
            <v>EURODERM PLUS 6 cm x 9 cm. (Tegaderm+Pad-Leukomed T Plus) x Und. (Caja x 50) Ref 717602</v>
          </cell>
          <cell r="E338" t="str">
            <v>EUROFARM</v>
          </cell>
          <cell r="F338" t="str">
            <v>Tegaderm+PAD-3M - Leukomed T-PLUS-BSN</v>
          </cell>
          <cell r="G338" t="str">
            <v>CUIDADO DE HERIDAS</v>
          </cell>
          <cell r="H338" t="str">
            <v>54</v>
          </cell>
          <cell r="I338" t="str">
            <v>CJX50</v>
          </cell>
          <cell r="J338">
            <v>1</v>
          </cell>
          <cell r="K338">
            <v>0</v>
          </cell>
          <cell r="L338" t="str">
            <v>C</v>
          </cell>
          <cell r="M338">
            <v>380</v>
          </cell>
          <cell r="N338" t="str">
            <v/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351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20000</v>
          </cell>
          <cell r="AA338">
            <v>9.2835000000000001</v>
          </cell>
          <cell r="AB338">
            <v>18.57</v>
          </cell>
          <cell r="AC338">
            <v>0</v>
          </cell>
          <cell r="AD338">
            <v>18.57</v>
          </cell>
          <cell r="AE338">
            <v>0</v>
          </cell>
          <cell r="AF338">
            <v>0.20630000000000001</v>
          </cell>
          <cell r="AG338">
            <v>0.5</v>
          </cell>
        </row>
        <row r="339">
          <cell r="B339" t="str">
            <v>HOS715603</v>
          </cell>
          <cell r="C339" t="str">
            <v>715603</v>
          </cell>
          <cell r="D339" t="str">
            <v>EURODERM ROLL 15 cm x 10 mt. (Hypafix Transparente) x Und. Ref 715603</v>
          </cell>
          <cell r="E339" t="str">
            <v>EUROFARM</v>
          </cell>
          <cell r="F339" t="str">
            <v>Hypafix Transparente-BSN</v>
          </cell>
          <cell r="G339" t="str">
            <v>CUIDADO DE HERIDAS</v>
          </cell>
          <cell r="H339" t="str">
            <v>21</v>
          </cell>
          <cell r="I339" t="str">
            <v>UND</v>
          </cell>
          <cell r="J339">
            <v>1</v>
          </cell>
          <cell r="K339">
            <v>0</v>
          </cell>
          <cell r="L339" t="str">
            <v>C</v>
          </cell>
          <cell r="M339">
            <v>366</v>
          </cell>
          <cell r="N339" t="str">
            <v/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372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42</v>
          </cell>
          <cell r="AA339">
            <v>618.75</v>
          </cell>
          <cell r="AB339">
            <v>825</v>
          </cell>
          <cell r="AC339">
            <v>0</v>
          </cell>
          <cell r="AD339">
            <v>825</v>
          </cell>
          <cell r="AE339">
            <v>0</v>
          </cell>
          <cell r="AF339">
            <v>13.75</v>
          </cell>
          <cell r="AG339">
            <v>0.75</v>
          </cell>
        </row>
        <row r="340">
          <cell r="B340" t="str">
            <v>HOS715604</v>
          </cell>
          <cell r="C340" t="str">
            <v>715604</v>
          </cell>
          <cell r="D340" t="str">
            <v>EURODERM ROLL 20 cm x 10 mt. (Hypafix Transparente) x Und. Ref 715604</v>
          </cell>
          <cell r="E340" t="str">
            <v>EUROFARM</v>
          </cell>
          <cell r="F340" t="str">
            <v>Hypafix Transparente-BSN</v>
          </cell>
          <cell r="G340" t="str">
            <v>CUIDADO DE HERIDAS</v>
          </cell>
          <cell r="H340" t="str">
            <v>18</v>
          </cell>
          <cell r="I340" t="str">
            <v>UND</v>
          </cell>
          <cell r="J340">
            <v>1</v>
          </cell>
          <cell r="K340">
            <v>0</v>
          </cell>
          <cell r="L340" t="str">
            <v>C</v>
          </cell>
          <cell r="M340">
            <v>300</v>
          </cell>
          <cell r="N340" t="str">
            <v/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353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60</v>
          </cell>
          <cell r="AA340">
            <v>866.25</v>
          </cell>
          <cell r="AB340">
            <v>1155</v>
          </cell>
          <cell r="AC340">
            <v>0</v>
          </cell>
          <cell r="AD340">
            <v>1155</v>
          </cell>
          <cell r="AE340">
            <v>0</v>
          </cell>
          <cell r="AF340">
            <v>19.25</v>
          </cell>
          <cell r="AG340">
            <v>0.75</v>
          </cell>
        </row>
        <row r="341">
          <cell r="B341" t="str">
            <v>FAR892103</v>
          </cell>
          <cell r="C341" t="str">
            <v>892103</v>
          </cell>
          <cell r="D341" t="str">
            <v>EURODRESSING 10 cm x 10 cm. (Gasa Estéril no Adherente) x 6 Und.  Ref 892103</v>
          </cell>
          <cell r="E341" t="str">
            <v>EUROFARM</v>
          </cell>
          <cell r="F341" t="str">
            <v>Aposito (Gasa) Estéril no Adherente</v>
          </cell>
          <cell r="G341" t="str">
            <v>CUIDADO DE HERIDAS</v>
          </cell>
          <cell r="H341" t="str">
            <v>33</v>
          </cell>
          <cell r="I341" t="str">
            <v>CJX6</v>
          </cell>
          <cell r="J341">
            <v>1</v>
          </cell>
          <cell r="K341">
            <v>0</v>
          </cell>
          <cell r="L341" t="str">
            <v>C</v>
          </cell>
          <cell r="M341">
            <v>160</v>
          </cell>
          <cell r="N341" t="str">
            <v/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384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18</v>
          </cell>
          <cell r="AA341">
            <v>89.721000000000004</v>
          </cell>
          <cell r="AB341">
            <v>163.13</v>
          </cell>
          <cell r="AC341">
            <v>0</v>
          </cell>
          <cell r="AD341">
            <v>163.13</v>
          </cell>
          <cell r="AE341">
            <v>0</v>
          </cell>
          <cell r="AF341">
            <v>1.9938</v>
          </cell>
          <cell r="AG341">
            <v>0.55000000000000004</v>
          </cell>
        </row>
        <row r="342">
          <cell r="B342" t="str">
            <v>FAR892113</v>
          </cell>
          <cell r="C342" t="str">
            <v>892113</v>
          </cell>
          <cell r="D342" t="str">
            <v>EURODRESSING METAL 10 x 10 cm. (Gasa Estéril no Adherente Aluminizada). (Caja x 6)  892113</v>
          </cell>
          <cell r="E342" t="str">
            <v>EUROFARM</v>
          </cell>
          <cell r="F342" t="str">
            <v>Aposito (Gasa) Estéril Alunimizado no Adherente</v>
          </cell>
          <cell r="G342" t="str">
            <v>CUIDADO DE HERIDAS</v>
          </cell>
          <cell r="H342" t="str">
            <v>34</v>
          </cell>
          <cell r="I342" t="str">
            <v>CJX6</v>
          </cell>
          <cell r="J342">
            <v>0</v>
          </cell>
          <cell r="K342">
            <v>0</v>
          </cell>
          <cell r="L342" t="str">
            <v/>
          </cell>
          <cell r="M342">
            <v>0</v>
          </cell>
          <cell r="N342" t="str">
            <v/>
          </cell>
          <cell r="O342">
            <v>0</v>
          </cell>
          <cell r="P342">
            <v>0</v>
          </cell>
          <cell r="Q342">
            <v>3</v>
          </cell>
          <cell r="R342">
            <v>3</v>
          </cell>
          <cell r="S342">
            <v>0</v>
          </cell>
          <cell r="T342">
            <v>390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3</v>
          </cell>
          <cell r="Z342">
            <v>3</v>
          </cell>
          <cell r="AA342">
            <v>102.096</v>
          </cell>
          <cell r="AB342">
            <v>185.63</v>
          </cell>
          <cell r="AC342">
            <v>0</v>
          </cell>
          <cell r="AD342">
            <v>185.63</v>
          </cell>
          <cell r="AE342">
            <v>0</v>
          </cell>
          <cell r="AF342">
            <v>2.2688000000000001</v>
          </cell>
          <cell r="AG342">
            <v>0.55000000000000004</v>
          </cell>
        </row>
        <row r="343">
          <cell r="B343" t="str">
            <v>HOS715002</v>
          </cell>
          <cell r="C343" t="str">
            <v>715002</v>
          </cell>
          <cell r="D343" t="str">
            <v>EUROFIX 10 cm x 10 mt. (Hypafix Tela no Tejida) x Und. Ref 715002</v>
          </cell>
          <cell r="E343" t="str">
            <v>EUROFARM</v>
          </cell>
          <cell r="F343" t="str">
            <v>Hypafix (tela no Tejida)-BSN</v>
          </cell>
          <cell r="G343" t="str">
            <v>CUIDADO DE HERIDAS</v>
          </cell>
          <cell r="H343" t="str">
            <v>15</v>
          </cell>
          <cell r="I343" t="str">
            <v>UND</v>
          </cell>
          <cell r="J343">
            <v>1</v>
          </cell>
          <cell r="K343">
            <v>0</v>
          </cell>
          <cell r="L343" t="str">
            <v/>
          </cell>
          <cell r="M343">
            <v>0</v>
          </cell>
          <cell r="N343" t="str">
            <v/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348</v>
          </cell>
          <cell r="U343">
            <v>0</v>
          </cell>
          <cell r="V343">
            <v>0</v>
          </cell>
          <cell r="W343">
            <v>6</v>
          </cell>
          <cell r="X343">
            <v>0</v>
          </cell>
          <cell r="Y343">
            <v>0</v>
          </cell>
          <cell r="Z343">
            <v>244</v>
          </cell>
          <cell r="AA343">
            <v>118.8</v>
          </cell>
          <cell r="AB343">
            <v>216</v>
          </cell>
          <cell r="AC343">
            <v>0</v>
          </cell>
          <cell r="AD343">
            <v>216</v>
          </cell>
          <cell r="AE343">
            <v>0</v>
          </cell>
          <cell r="AF343">
            <v>2.64</v>
          </cell>
          <cell r="AG343">
            <v>0.55000000000000004</v>
          </cell>
        </row>
        <row r="344">
          <cell r="B344" t="str">
            <v>FAR891800</v>
          </cell>
          <cell r="C344" t="str">
            <v>891800</v>
          </cell>
          <cell r="D344" t="str">
            <v>EUROMED 5 cm x 7 cm. (Leukomed) x 5 Unds. Ref 891800</v>
          </cell>
          <cell r="E344" t="str">
            <v>EUROFARM</v>
          </cell>
          <cell r="F344" t="str">
            <v>Leukomed-BSN</v>
          </cell>
          <cell r="G344" t="str">
            <v>CUIDADO DE HERIDAS</v>
          </cell>
          <cell r="H344" t="str">
            <v>51</v>
          </cell>
          <cell r="I344" t="str">
            <v>CJX5</v>
          </cell>
          <cell r="J344">
            <v>1</v>
          </cell>
          <cell r="K344">
            <v>0</v>
          </cell>
          <cell r="L344" t="str">
            <v>C</v>
          </cell>
          <cell r="M344">
            <v>98</v>
          </cell>
          <cell r="N344" t="str">
            <v/>
          </cell>
          <cell r="O344">
            <v>0</v>
          </cell>
          <cell r="P344">
            <v>0</v>
          </cell>
          <cell r="Q344">
            <v>10</v>
          </cell>
          <cell r="R344">
            <v>10</v>
          </cell>
          <cell r="S344">
            <v>0</v>
          </cell>
          <cell r="T344">
            <v>365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10</v>
          </cell>
          <cell r="Z344">
            <v>533</v>
          </cell>
          <cell r="AA344">
            <v>43.3125</v>
          </cell>
          <cell r="AB344">
            <v>78.75</v>
          </cell>
          <cell r="AC344">
            <v>0</v>
          </cell>
          <cell r="AD344">
            <v>78.75</v>
          </cell>
          <cell r="AE344">
            <v>0</v>
          </cell>
          <cell r="AF344">
            <v>0.96250000000000002</v>
          </cell>
          <cell r="AG344">
            <v>0.55000000000000004</v>
          </cell>
        </row>
        <row r="345">
          <cell r="B345" t="str">
            <v>FAR891852</v>
          </cell>
          <cell r="C345" t="str">
            <v>891852</v>
          </cell>
          <cell r="D345" t="str">
            <v>EUROMED ALOE 10 cm x 10 cm. (Leukomed) x 6 Unds. Ref 891852</v>
          </cell>
          <cell r="E345" t="str">
            <v>EUROFARM</v>
          </cell>
          <cell r="F345" t="str">
            <v/>
          </cell>
          <cell r="G345" t="str">
            <v/>
          </cell>
          <cell r="H345" t="str">
            <v>49</v>
          </cell>
          <cell r="I345" t="str">
            <v>CJX6</v>
          </cell>
          <cell r="J345">
            <v>1</v>
          </cell>
          <cell r="K345">
            <v>1</v>
          </cell>
          <cell r="L345" t="str">
            <v>C</v>
          </cell>
          <cell r="M345">
            <v>199</v>
          </cell>
          <cell r="N345" t="str">
            <v/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352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18</v>
          </cell>
          <cell r="AA345">
            <v>99</v>
          </cell>
          <cell r="AB345">
            <v>180</v>
          </cell>
          <cell r="AC345">
            <v>0</v>
          </cell>
          <cell r="AD345">
            <v>180</v>
          </cell>
          <cell r="AE345">
            <v>0</v>
          </cell>
          <cell r="AF345">
            <v>2.2000000000000002</v>
          </cell>
          <cell r="AG345">
            <v>0.55000000000000004</v>
          </cell>
        </row>
        <row r="346">
          <cell r="B346" t="str">
            <v>FAR891850</v>
          </cell>
          <cell r="C346" t="str">
            <v>891850</v>
          </cell>
          <cell r="D346" t="str">
            <v>EUROMED ALOE 5 cm x 7 cm. (Leukomed) x 6 Unds. Ref 891850</v>
          </cell>
          <cell r="E346" t="str">
            <v>EUROFARM</v>
          </cell>
          <cell r="F346" t="str">
            <v/>
          </cell>
          <cell r="G346" t="str">
            <v/>
          </cell>
          <cell r="H346" t="str">
            <v>49</v>
          </cell>
          <cell r="I346" t="str">
            <v>CJX6</v>
          </cell>
          <cell r="J346">
            <v>0</v>
          </cell>
          <cell r="K346">
            <v>0</v>
          </cell>
          <cell r="L346" t="str">
            <v>C</v>
          </cell>
          <cell r="M346">
            <v>359</v>
          </cell>
          <cell r="N346" t="str">
            <v/>
          </cell>
          <cell r="O346">
            <v>0</v>
          </cell>
          <cell r="P346">
            <v>0</v>
          </cell>
          <cell r="Q346">
            <v>6</v>
          </cell>
          <cell r="R346">
            <v>6</v>
          </cell>
          <cell r="S346">
            <v>0</v>
          </cell>
          <cell r="T346">
            <v>355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6</v>
          </cell>
          <cell r="Z346">
            <v>24</v>
          </cell>
          <cell r="AA346">
            <v>71.158500000000004</v>
          </cell>
          <cell r="AB346">
            <v>129.38</v>
          </cell>
          <cell r="AC346">
            <v>0</v>
          </cell>
          <cell r="AD346">
            <v>129.38</v>
          </cell>
          <cell r="AE346">
            <v>0</v>
          </cell>
          <cell r="AF346">
            <v>1.5812999999999999</v>
          </cell>
          <cell r="AG346">
            <v>0.55000000000000004</v>
          </cell>
        </row>
        <row r="347">
          <cell r="B347" t="str">
            <v>HOS560110</v>
          </cell>
          <cell r="C347" t="str">
            <v>560110</v>
          </cell>
          <cell r="D347" t="str">
            <v>EURONET PARAFFIN 10 cm x 10 cm. (Cuticell Classic) x 10 Unds. Ref 560110</v>
          </cell>
          <cell r="E347" t="str">
            <v>EUROFARM</v>
          </cell>
          <cell r="F347" t="str">
            <v>Cuticell Classic</v>
          </cell>
          <cell r="G347" t="str">
            <v>CUIDADO DE HERIDAS</v>
          </cell>
          <cell r="H347" t="str">
            <v>35</v>
          </cell>
          <cell r="I347" t="str">
            <v>CJX10</v>
          </cell>
          <cell r="J347">
            <v>1</v>
          </cell>
          <cell r="K347">
            <v>0</v>
          </cell>
          <cell r="L347" t="str">
            <v>C</v>
          </cell>
          <cell r="M347">
            <v>120</v>
          </cell>
          <cell r="N347" t="str">
            <v/>
          </cell>
          <cell r="O347">
            <v>0</v>
          </cell>
          <cell r="P347">
            <v>0</v>
          </cell>
          <cell r="Q347">
            <v>30</v>
          </cell>
          <cell r="R347">
            <v>30</v>
          </cell>
          <cell r="S347">
            <v>0</v>
          </cell>
          <cell r="T347">
            <v>349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30</v>
          </cell>
          <cell r="Z347">
            <v>2100</v>
          </cell>
          <cell r="AA347">
            <v>136.125</v>
          </cell>
          <cell r="AB347">
            <v>340.31</v>
          </cell>
          <cell r="AC347">
            <v>0</v>
          </cell>
          <cell r="AD347">
            <v>340.31</v>
          </cell>
          <cell r="AE347">
            <v>0</v>
          </cell>
          <cell r="AF347">
            <v>3.0249999999999999</v>
          </cell>
          <cell r="AG347">
            <v>0.4</v>
          </cell>
        </row>
        <row r="348">
          <cell r="B348" t="str">
            <v>HOS560120</v>
          </cell>
          <cell r="C348" t="str">
            <v>560120</v>
          </cell>
          <cell r="D348" t="str">
            <v>EURONET PARAFFIN 10 cm x 20 cm. (Cuticell Classic) x 10 Unds. Ref 560120</v>
          </cell>
          <cell r="E348" t="str">
            <v>EUROFARM</v>
          </cell>
          <cell r="F348" t="str">
            <v>Cuticell Classic</v>
          </cell>
          <cell r="G348" t="str">
            <v>CUIDADO DE HERIDAS</v>
          </cell>
          <cell r="H348" t="str">
            <v>35</v>
          </cell>
          <cell r="I348" t="str">
            <v>CJX10</v>
          </cell>
          <cell r="J348">
            <v>1</v>
          </cell>
          <cell r="K348">
            <v>0</v>
          </cell>
          <cell r="L348" t="str">
            <v/>
          </cell>
          <cell r="M348">
            <v>0</v>
          </cell>
          <cell r="N348" t="str">
            <v/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389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1600</v>
          </cell>
          <cell r="AA348">
            <v>272.25</v>
          </cell>
          <cell r="AB348">
            <v>680.63</v>
          </cell>
          <cell r="AC348">
            <v>0</v>
          </cell>
          <cell r="AD348">
            <v>680.63</v>
          </cell>
          <cell r="AE348">
            <v>0</v>
          </cell>
          <cell r="AF348">
            <v>6.05</v>
          </cell>
          <cell r="AG348">
            <v>0.4</v>
          </cell>
        </row>
        <row r="349">
          <cell r="B349" t="str">
            <v>HOS560020</v>
          </cell>
          <cell r="C349" t="str">
            <v>560020</v>
          </cell>
          <cell r="D349" t="str">
            <v>EURONET PARAFFIN 7,5 cm x 20 cm. (Cuticell Classic) x 10 Unds.  Ref 560020</v>
          </cell>
          <cell r="E349" t="str">
            <v>EUROFARM</v>
          </cell>
          <cell r="F349" t="str">
            <v>Cuticell Classic</v>
          </cell>
          <cell r="G349" t="str">
            <v>CUIDADO DE HERIDAS</v>
          </cell>
          <cell r="H349" t="str">
            <v>35</v>
          </cell>
          <cell r="I349" t="str">
            <v>CJX10</v>
          </cell>
          <cell r="J349">
            <v>1</v>
          </cell>
          <cell r="K349">
            <v>0</v>
          </cell>
          <cell r="L349" t="str">
            <v>C</v>
          </cell>
          <cell r="M349">
            <v>145</v>
          </cell>
          <cell r="N349" t="str">
            <v/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353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200</v>
          </cell>
          <cell r="AA349">
            <v>228.9375</v>
          </cell>
          <cell r="AB349">
            <v>572.35</v>
          </cell>
          <cell r="AC349">
            <v>0</v>
          </cell>
          <cell r="AD349">
            <v>572.35</v>
          </cell>
          <cell r="AE349">
            <v>0</v>
          </cell>
          <cell r="AF349">
            <v>5.0875000000000004</v>
          </cell>
          <cell r="AG349">
            <v>0.4</v>
          </cell>
        </row>
        <row r="350">
          <cell r="B350" t="str">
            <v>HOS706015</v>
          </cell>
          <cell r="C350" t="str">
            <v>706015</v>
          </cell>
          <cell r="D350" t="str">
            <v>EUROPOR 5 cm x 9,14 mt. (Micropore-Leukopore) x Und. (Caja x 12 Unds.) Ref 706015</v>
          </cell>
          <cell r="E350" t="str">
            <v>EUROFARM</v>
          </cell>
          <cell r="F350" t="str">
            <v>Micropore-3M - Leukopore-BSN</v>
          </cell>
          <cell r="G350" t="str">
            <v>CUIDADO DE HERIDAS</v>
          </cell>
          <cell r="H350" t="str">
            <v>03</v>
          </cell>
          <cell r="I350" t="str">
            <v>CJX12</v>
          </cell>
          <cell r="J350">
            <v>1</v>
          </cell>
          <cell r="K350">
            <v>0</v>
          </cell>
          <cell r="L350" t="str">
            <v>C</v>
          </cell>
          <cell r="M350">
            <v>246</v>
          </cell>
          <cell r="N350" t="str">
            <v/>
          </cell>
          <cell r="O350">
            <v>0</v>
          </cell>
          <cell r="P350">
            <v>0</v>
          </cell>
          <cell r="Q350">
            <v>12</v>
          </cell>
          <cell r="R350">
            <v>12</v>
          </cell>
          <cell r="S350">
            <v>0</v>
          </cell>
          <cell r="T350">
            <v>380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12</v>
          </cell>
          <cell r="Z350">
            <v>600</v>
          </cell>
          <cell r="AA350">
            <v>92.8125</v>
          </cell>
          <cell r="AB350">
            <v>168.75</v>
          </cell>
          <cell r="AC350">
            <v>0</v>
          </cell>
          <cell r="AD350">
            <v>168.75</v>
          </cell>
          <cell r="AE350">
            <v>0</v>
          </cell>
          <cell r="AF350">
            <v>2.0625</v>
          </cell>
          <cell r="AG350">
            <v>0.55000000000000004</v>
          </cell>
        </row>
        <row r="351">
          <cell r="B351" t="str">
            <v>HOS706017</v>
          </cell>
          <cell r="C351" t="str">
            <v>706017</v>
          </cell>
          <cell r="D351" t="str">
            <v>EUROPOR 7,5 cm x 9,14 mt. (Micropore-Leukopore) x Und. (Caja x 6 Unds.) Ref 706017</v>
          </cell>
          <cell r="E351" t="str">
            <v>EUROFARM</v>
          </cell>
          <cell r="F351" t="str">
            <v>Micropore-3M - Leukopore-BSN</v>
          </cell>
          <cell r="G351" t="str">
            <v>CUIDADO DE HERIDAS</v>
          </cell>
          <cell r="H351" t="str">
            <v>04</v>
          </cell>
          <cell r="I351" t="str">
            <v>CJX6</v>
          </cell>
          <cell r="J351">
            <v>1</v>
          </cell>
          <cell r="K351">
            <v>0</v>
          </cell>
          <cell r="L351" t="str">
            <v/>
          </cell>
          <cell r="M351">
            <v>0</v>
          </cell>
          <cell r="N351" t="str">
            <v/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389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276</v>
          </cell>
          <cell r="AA351">
            <v>142.3125</v>
          </cell>
          <cell r="AB351">
            <v>258.75</v>
          </cell>
          <cell r="AC351">
            <v>0</v>
          </cell>
          <cell r="AD351">
            <v>258.75</v>
          </cell>
          <cell r="AE351">
            <v>0</v>
          </cell>
          <cell r="AF351">
            <v>3.1625000000000001</v>
          </cell>
          <cell r="AG351">
            <v>0.55000000000000004</v>
          </cell>
        </row>
        <row r="352">
          <cell r="B352" t="str">
            <v>FAR892300</v>
          </cell>
          <cell r="C352" t="str">
            <v>892300</v>
          </cell>
          <cell r="D352" t="str">
            <v>EUROPTICAL 5,2 cm x 6,4 cm. (Apósito Ocular Oclusivo) x 6 Unds.  Ref 892300</v>
          </cell>
          <cell r="E352" t="str">
            <v>EUROFARM</v>
          </cell>
          <cell r="F352" t="str">
            <v>Aposito Ocular Oclusivo</v>
          </cell>
          <cell r="G352" t="str">
            <v>CUIDADO DE HERIDAS</v>
          </cell>
          <cell r="H352" t="str">
            <v>44</v>
          </cell>
          <cell r="I352" t="str">
            <v>CJX6</v>
          </cell>
          <cell r="J352">
            <v>1</v>
          </cell>
          <cell r="K352">
            <v>0</v>
          </cell>
          <cell r="L352" t="str">
            <v>C</v>
          </cell>
          <cell r="M352">
            <v>227</v>
          </cell>
          <cell r="N352" t="str">
            <v/>
          </cell>
          <cell r="O352">
            <v>0</v>
          </cell>
          <cell r="P352">
            <v>0</v>
          </cell>
          <cell r="Q352">
            <v>20</v>
          </cell>
          <cell r="R352">
            <v>20</v>
          </cell>
          <cell r="S352">
            <v>0</v>
          </cell>
          <cell r="T352">
            <v>361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20</v>
          </cell>
          <cell r="Z352">
            <v>132</v>
          </cell>
          <cell r="AA352">
            <v>75.487499999999997</v>
          </cell>
          <cell r="AB352">
            <v>137.25</v>
          </cell>
          <cell r="AC352">
            <v>0</v>
          </cell>
          <cell r="AD352">
            <v>137.25</v>
          </cell>
          <cell r="AE352">
            <v>0</v>
          </cell>
          <cell r="AF352">
            <v>1.6775</v>
          </cell>
          <cell r="AG352">
            <v>0.55000000000000004</v>
          </cell>
        </row>
        <row r="353">
          <cell r="B353" t="str">
            <v>FAR892301</v>
          </cell>
          <cell r="C353" t="str">
            <v>892301</v>
          </cell>
          <cell r="D353" t="str">
            <v>EUROPTICAL 5,7 cm x 8,2 cm. (Apósito Ocular Oclusivo) x 7 Und.  Ref 892301</v>
          </cell>
          <cell r="E353" t="str">
            <v>EUROFARM</v>
          </cell>
          <cell r="F353" t="str">
            <v>Aposito Ocular Oclusivo</v>
          </cell>
          <cell r="G353" t="str">
            <v>CUIDADO DE HERIDAS</v>
          </cell>
          <cell r="H353" t="str">
            <v>44</v>
          </cell>
          <cell r="I353" t="str">
            <v>CJX7</v>
          </cell>
          <cell r="J353">
            <v>1</v>
          </cell>
          <cell r="K353">
            <v>0</v>
          </cell>
          <cell r="L353" t="str">
            <v>C</v>
          </cell>
          <cell r="M353">
            <v>159</v>
          </cell>
          <cell r="N353" t="str">
            <v/>
          </cell>
          <cell r="O353">
            <v>0</v>
          </cell>
          <cell r="P353">
            <v>0</v>
          </cell>
          <cell r="Q353">
            <v>15</v>
          </cell>
          <cell r="R353">
            <v>15</v>
          </cell>
          <cell r="S353">
            <v>0</v>
          </cell>
          <cell r="T353">
            <v>363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15</v>
          </cell>
          <cell r="Z353">
            <v>50</v>
          </cell>
          <cell r="AA353">
            <v>80.4375</v>
          </cell>
          <cell r="AB353">
            <v>146.25</v>
          </cell>
          <cell r="AC353">
            <v>0</v>
          </cell>
          <cell r="AD353">
            <v>146.25</v>
          </cell>
          <cell r="AE353">
            <v>0</v>
          </cell>
          <cell r="AF353">
            <v>1.7875000000000001</v>
          </cell>
          <cell r="AG353">
            <v>0.55000000000000004</v>
          </cell>
        </row>
        <row r="354">
          <cell r="B354" t="str">
            <v>HOS703107</v>
          </cell>
          <cell r="C354" t="str">
            <v>703107</v>
          </cell>
          <cell r="D354" t="str">
            <v>EUROREEL ACETATO 7,5 cm x 9,14 mt. (Durapore) x Und. (Caja x 6 Unds.) Ref 703107</v>
          </cell>
          <cell r="E354" t="str">
            <v>EUROFARM</v>
          </cell>
          <cell r="F354" t="str">
            <v>Durapore-3M</v>
          </cell>
          <cell r="G354" t="str">
            <v>CUIDADO DE HERIDAS</v>
          </cell>
          <cell r="H354" t="str">
            <v>06</v>
          </cell>
          <cell r="I354" t="str">
            <v>CJX6</v>
          </cell>
          <cell r="J354">
            <v>1</v>
          </cell>
          <cell r="K354">
            <v>0</v>
          </cell>
          <cell r="L354" t="str">
            <v>C</v>
          </cell>
          <cell r="M354">
            <v>198</v>
          </cell>
          <cell r="N354" t="str">
            <v/>
          </cell>
          <cell r="O354">
            <v>0</v>
          </cell>
          <cell r="P354">
            <v>0</v>
          </cell>
          <cell r="Q354">
            <v>30</v>
          </cell>
          <cell r="R354">
            <v>30</v>
          </cell>
          <cell r="S354">
            <v>0</v>
          </cell>
          <cell r="T354">
            <v>368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30</v>
          </cell>
          <cell r="Z354">
            <v>1278</v>
          </cell>
          <cell r="AA354">
            <v>115.08750000000001</v>
          </cell>
          <cell r="AB354">
            <v>177.06</v>
          </cell>
          <cell r="AC354">
            <v>0</v>
          </cell>
          <cell r="AD354">
            <v>177.06</v>
          </cell>
          <cell r="AE354">
            <v>0</v>
          </cell>
          <cell r="AF354">
            <v>2.5575000000000001</v>
          </cell>
          <cell r="AG354">
            <v>0.65</v>
          </cell>
        </row>
        <row r="355">
          <cell r="B355" t="str">
            <v>FAR809002</v>
          </cell>
          <cell r="C355" t="str">
            <v>809002</v>
          </cell>
          <cell r="D355" t="str">
            <v>EUROSILK 2,5 cm x 5 mt. (Adhesivo de Acetato) x Und. (Caja x 24 Unds.) Ref 809002</v>
          </cell>
          <cell r="E355" t="str">
            <v>EUROFARM</v>
          </cell>
          <cell r="F355" t="str">
            <v>Adhesivo de Acetato</v>
          </cell>
          <cell r="G355" t="str">
            <v>CUIDADO DE HERIDAS</v>
          </cell>
          <cell r="H355" t="str">
            <v>08</v>
          </cell>
          <cell r="I355" t="str">
            <v>CJX24</v>
          </cell>
          <cell r="J355">
            <v>1</v>
          </cell>
          <cell r="K355">
            <v>0</v>
          </cell>
          <cell r="L355" t="str">
            <v>C</v>
          </cell>
          <cell r="M355">
            <v>162</v>
          </cell>
          <cell r="N355" t="str">
            <v/>
          </cell>
          <cell r="O355">
            <v>0</v>
          </cell>
          <cell r="P355">
            <v>0</v>
          </cell>
          <cell r="Q355">
            <v>7</v>
          </cell>
          <cell r="R355">
            <v>7</v>
          </cell>
          <cell r="S355">
            <v>0</v>
          </cell>
          <cell r="T355">
            <v>371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7</v>
          </cell>
          <cell r="Z355">
            <v>1512</v>
          </cell>
          <cell r="AA355">
            <v>64.349999999999994</v>
          </cell>
          <cell r="AB355">
            <v>85.8</v>
          </cell>
          <cell r="AC355">
            <v>0</v>
          </cell>
          <cell r="AD355">
            <v>85.8</v>
          </cell>
          <cell r="AE355">
            <v>0</v>
          </cell>
          <cell r="AF355">
            <v>1.43</v>
          </cell>
          <cell r="AG355">
            <v>0.75</v>
          </cell>
        </row>
        <row r="356">
          <cell r="B356" t="str">
            <v>HOS505002</v>
          </cell>
          <cell r="C356" t="str">
            <v>505002</v>
          </cell>
          <cell r="D356" t="str">
            <v>EUROSOFT 15 cm x 3 mt. (Guata Ortoban) x Und. (Caja x 6 Unds) Ref 505002</v>
          </cell>
          <cell r="E356" t="str">
            <v>EUROFARM</v>
          </cell>
          <cell r="F356" t="str">
            <v>Guata Ortoban-3M</v>
          </cell>
          <cell r="G356" t="str">
            <v>CUIDADO DE HERIDAS</v>
          </cell>
          <cell r="H356" t="str">
            <v>36</v>
          </cell>
          <cell r="I356" t="str">
            <v>CJX6</v>
          </cell>
          <cell r="J356">
            <v>6</v>
          </cell>
          <cell r="K356">
            <v>0</v>
          </cell>
          <cell r="L356" t="str">
            <v>C</v>
          </cell>
          <cell r="M356">
            <v>352</v>
          </cell>
          <cell r="N356" t="str">
            <v/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366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360</v>
          </cell>
          <cell r="AA356">
            <v>35.887500000000003</v>
          </cell>
          <cell r="AB356">
            <v>71.78</v>
          </cell>
          <cell r="AC356">
            <v>0</v>
          </cell>
          <cell r="AD356">
            <v>71.78</v>
          </cell>
          <cell r="AE356">
            <v>0</v>
          </cell>
          <cell r="AF356">
            <v>0.79749999999999999</v>
          </cell>
          <cell r="AG356">
            <v>0.5</v>
          </cell>
        </row>
        <row r="357">
          <cell r="B357" t="str">
            <v>HOS505003</v>
          </cell>
          <cell r="C357" t="str">
            <v>505003</v>
          </cell>
          <cell r="D357" t="str">
            <v>EUROSOFT 20 cm x 3 mt. (Guata Ortoban) x Und. (Caja x 6 Unds) Ref 505003</v>
          </cell>
          <cell r="E357" t="str">
            <v>EUROFARM</v>
          </cell>
          <cell r="F357" t="str">
            <v>Guata Ortoban-3M</v>
          </cell>
          <cell r="G357" t="str">
            <v>CUIDADO DE HERIDAS</v>
          </cell>
          <cell r="H357" t="str">
            <v>36</v>
          </cell>
          <cell r="I357" t="str">
            <v>CJX6</v>
          </cell>
          <cell r="J357">
            <v>6</v>
          </cell>
          <cell r="K357">
            <v>0</v>
          </cell>
          <cell r="L357" t="str">
            <v>C</v>
          </cell>
          <cell r="M357">
            <v>349</v>
          </cell>
          <cell r="N357" t="str">
            <v/>
          </cell>
          <cell r="O357">
            <v>0</v>
          </cell>
          <cell r="P357">
            <v>0</v>
          </cell>
          <cell r="Q357">
            <v>12</v>
          </cell>
          <cell r="R357">
            <v>12</v>
          </cell>
          <cell r="S357">
            <v>0</v>
          </cell>
          <cell r="T357">
            <v>365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12</v>
          </cell>
          <cell r="Z357">
            <v>360</v>
          </cell>
          <cell r="AA357">
            <v>46.408499999999997</v>
          </cell>
          <cell r="AB357">
            <v>92.81</v>
          </cell>
          <cell r="AC357">
            <v>0</v>
          </cell>
          <cell r="AD357">
            <v>92.81</v>
          </cell>
          <cell r="AE357">
            <v>0</v>
          </cell>
          <cell r="AF357">
            <v>1.0313000000000001</v>
          </cell>
          <cell r="AG357">
            <v>0.5</v>
          </cell>
        </row>
        <row r="358">
          <cell r="B358" t="str">
            <v>HOS501510</v>
          </cell>
          <cell r="C358" t="str">
            <v>501510</v>
          </cell>
          <cell r="D358" t="str">
            <v>EUROSORB 10 cm x 10 cm. (Tegaderm Alginato-Cutimed Alginato) x 10 Und. Ref 501510</v>
          </cell>
          <cell r="E358" t="str">
            <v>EUROFARM</v>
          </cell>
          <cell r="F358" t="str">
            <v>Tegaderm Alginato-3M - Cutimed Alginato-BNS</v>
          </cell>
          <cell r="G358" t="str">
            <v>CUIDADO DE HERIDAS</v>
          </cell>
          <cell r="H358" t="str">
            <v>52</v>
          </cell>
          <cell r="I358" t="str">
            <v>CJX10</v>
          </cell>
          <cell r="J358">
            <v>1</v>
          </cell>
          <cell r="K358">
            <v>0</v>
          </cell>
          <cell r="L358" t="str">
            <v>C</v>
          </cell>
          <cell r="M358">
            <v>49</v>
          </cell>
          <cell r="N358" t="str">
            <v/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351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-2</v>
          </cell>
          <cell r="Z358">
            <v>22</v>
          </cell>
          <cell r="AA358">
            <v>618.75</v>
          </cell>
          <cell r="AB358">
            <v>1237.5</v>
          </cell>
          <cell r="AC358">
            <v>0</v>
          </cell>
          <cell r="AD358">
            <v>1237.5</v>
          </cell>
          <cell r="AE358">
            <v>0</v>
          </cell>
          <cell r="AF358">
            <v>13.75</v>
          </cell>
          <cell r="AG358">
            <v>0.5</v>
          </cell>
        </row>
        <row r="359">
          <cell r="B359" t="str">
            <v>HOS501505</v>
          </cell>
          <cell r="C359" t="str">
            <v>501505</v>
          </cell>
          <cell r="D359" t="str">
            <v>EUROSORB 5 cm x 5 cm. (Tegaderm Alginato-Cutimed Alginato) x 10 Und. Ref 501505</v>
          </cell>
          <cell r="E359" t="str">
            <v>EUROFARM</v>
          </cell>
          <cell r="F359" t="str">
            <v>Tegaderm Alginato-3M - Cutimed Alginato-BNS</v>
          </cell>
          <cell r="G359" t="str">
            <v>CUIDADO DE HERIDAS</v>
          </cell>
          <cell r="H359" t="str">
            <v>52</v>
          </cell>
          <cell r="I359" t="str">
            <v>CJX10</v>
          </cell>
          <cell r="J359">
            <v>1</v>
          </cell>
          <cell r="K359">
            <v>0</v>
          </cell>
          <cell r="L359" t="str">
            <v>C</v>
          </cell>
          <cell r="M359">
            <v>224</v>
          </cell>
          <cell r="N359" t="str">
            <v/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359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5840</v>
          </cell>
          <cell r="AA359">
            <v>402.1875</v>
          </cell>
          <cell r="AB359">
            <v>804.38</v>
          </cell>
          <cell r="AC359">
            <v>0</v>
          </cell>
          <cell r="AD359">
            <v>804.38</v>
          </cell>
          <cell r="AE359">
            <v>0</v>
          </cell>
          <cell r="AF359">
            <v>8.9375</v>
          </cell>
          <cell r="AG359">
            <v>0.5</v>
          </cell>
        </row>
        <row r="360">
          <cell r="B360" t="str">
            <v>FAR826051</v>
          </cell>
          <cell r="C360" t="str">
            <v>826051</v>
          </cell>
          <cell r="D360" t="str">
            <v>EUROSTRIPS ALOE 19 mm x 72 mm. (Curitas con Aloe) x 20 Und.  Ref 826051</v>
          </cell>
          <cell r="E360" t="str">
            <v>EUROFARM</v>
          </cell>
          <cell r="F360" t="str">
            <v>Curitas con Aloe Vera</v>
          </cell>
          <cell r="G360" t="str">
            <v>CUIDADO DE HERIDAS</v>
          </cell>
          <cell r="H360" t="str">
            <v>23</v>
          </cell>
          <cell r="I360" t="str">
            <v>CJX20</v>
          </cell>
          <cell r="J360">
            <v>1</v>
          </cell>
          <cell r="K360">
            <v>0</v>
          </cell>
          <cell r="L360" t="str">
            <v>C</v>
          </cell>
          <cell r="M360">
            <v>181</v>
          </cell>
          <cell r="N360" t="str">
            <v/>
          </cell>
          <cell r="O360">
            <v>0</v>
          </cell>
          <cell r="P360">
            <v>0</v>
          </cell>
          <cell r="Q360">
            <v>12</v>
          </cell>
          <cell r="R360">
            <v>12</v>
          </cell>
          <cell r="S360">
            <v>0</v>
          </cell>
          <cell r="T360">
            <v>363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12</v>
          </cell>
          <cell r="Z360">
            <v>90</v>
          </cell>
          <cell r="AA360">
            <v>31.68</v>
          </cell>
          <cell r="AB360">
            <v>34.43</v>
          </cell>
          <cell r="AC360">
            <v>0</v>
          </cell>
          <cell r="AD360">
            <v>34.43</v>
          </cell>
          <cell r="AE360">
            <v>0</v>
          </cell>
          <cell r="AF360">
            <v>0.70399999999999996</v>
          </cell>
          <cell r="AG360">
            <v>0.92</v>
          </cell>
        </row>
        <row r="361">
          <cell r="B361" t="str">
            <v>FAR826056</v>
          </cell>
          <cell r="C361" t="str">
            <v>826056</v>
          </cell>
          <cell r="D361" t="str">
            <v>EUROSTRIPS ALOE 19 x 72 mm + 25 x 72 mm. (Curitas con Aloe) x 20 Und.  Ref 826056</v>
          </cell>
          <cell r="E361" t="str">
            <v>EUROFARM</v>
          </cell>
          <cell r="F361" t="str">
            <v>Curitas con Aloe Vera</v>
          </cell>
          <cell r="G361" t="str">
            <v>CUIDADO DE HERIDAS</v>
          </cell>
          <cell r="H361" t="str">
            <v>23</v>
          </cell>
          <cell r="I361" t="str">
            <v>CJX20</v>
          </cell>
          <cell r="J361">
            <v>1</v>
          </cell>
          <cell r="K361">
            <v>0</v>
          </cell>
          <cell r="L361" t="str">
            <v>C</v>
          </cell>
          <cell r="M361">
            <v>225</v>
          </cell>
          <cell r="N361" t="str">
            <v/>
          </cell>
          <cell r="O361">
            <v>0</v>
          </cell>
          <cell r="P361">
            <v>0</v>
          </cell>
          <cell r="Q361">
            <v>18</v>
          </cell>
          <cell r="R361">
            <v>18</v>
          </cell>
          <cell r="S361">
            <v>0</v>
          </cell>
          <cell r="T361">
            <v>364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18</v>
          </cell>
          <cell r="Z361">
            <v>90</v>
          </cell>
          <cell r="AA361">
            <v>31.68</v>
          </cell>
          <cell r="AB361">
            <v>34.43</v>
          </cell>
          <cell r="AC361">
            <v>0</v>
          </cell>
          <cell r="AD361">
            <v>34.43</v>
          </cell>
          <cell r="AE361">
            <v>0</v>
          </cell>
          <cell r="AF361">
            <v>0.70399999999999996</v>
          </cell>
          <cell r="AG361">
            <v>0.92</v>
          </cell>
        </row>
        <row r="362">
          <cell r="B362" t="str">
            <v>FAR826055</v>
          </cell>
          <cell r="C362" t="str">
            <v>826055</v>
          </cell>
          <cell r="D362" t="str">
            <v>EUROSTRIPS ALOE ASSORTED. (Curitas con Aloe Surtidas) x 20 Und.  Ref 826055</v>
          </cell>
          <cell r="E362" t="str">
            <v>EUROFARM</v>
          </cell>
          <cell r="F362" t="str">
            <v>Curitas con Aloe Vera</v>
          </cell>
          <cell r="G362" t="str">
            <v>CUIDADO DE HERIDAS</v>
          </cell>
          <cell r="H362" t="str">
            <v>23</v>
          </cell>
          <cell r="I362" t="str">
            <v>CJX20</v>
          </cell>
          <cell r="J362">
            <v>1</v>
          </cell>
          <cell r="K362">
            <v>0</v>
          </cell>
          <cell r="L362" t="str">
            <v>C</v>
          </cell>
          <cell r="M362">
            <v>367</v>
          </cell>
          <cell r="N362" t="str">
            <v/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380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50</v>
          </cell>
          <cell r="AA362">
            <v>44.55</v>
          </cell>
          <cell r="AB362">
            <v>54.33</v>
          </cell>
          <cell r="AC362">
            <v>0</v>
          </cell>
          <cell r="AD362">
            <v>54.33</v>
          </cell>
          <cell r="AE362">
            <v>0</v>
          </cell>
          <cell r="AF362">
            <v>0.99</v>
          </cell>
          <cell r="AG362">
            <v>0.82</v>
          </cell>
        </row>
        <row r="363">
          <cell r="B363" t="str">
            <v>FAR826021</v>
          </cell>
          <cell r="C363" t="str">
            <v>826021</v>
          </cell>
          <cell r="D363" t="str">
            <v>EUROSTRIPS ASSORTED. (Curitas Surtidas) x 20 Und.  Ref 826021</v>
          </cell>
          <cell r="E363" t="str">
            <v>EUROFARM</v>
          </cell>
          <cell r="F363" t="str">
            <v>Curitas</v>
          </cell>
          <cell r="G363" t="str">
            <v>CUIDADO DE HERIDAS</v>
          </cell>
          <cell r="H363" t="str">
            <v>22</v>
          </cell>
          <cell r="I363" t="str">
            <v>CJX20</v>
          </cell>
          <cell r="J363">
            <v>1</v>
          </cell>
          <cell r="K363">
            <v>0</v>
          </cell>
          <cell r="L363" t="str">
            <v>C</v>
          </cell>
          <cell r="M363">
            <v>171</v>
          </cell>
          <cell r="N363" t="str">
            <v/>
          </cell>
          <cell r="O363">
            <v>0</v>
          </cell>
          <cell r="P363">
            <v>0</v>
          </cell>
          <cell r="Q363">
            <v>30</v>
          </cell>
          <cell r="R363">
            <v>30</v>
          </cell>
          <cell r="S363">
            <v>0</v>
          </cell>
          <cell r="T363">
            <v>367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30</v>
          </cell>
          <cell r="Z363">
            <v>60</v>
          </cell>
          <cell r="AA363">
            <v>34.47</v>
          </cell>
          <cell r="AB363">
            <v>37.47</v>
          </cell>
          <cell r="AC363">
            <v>0</v>
          </cell>
          <cell r="AD363">
            <v>37.47</v>
          </cell>
          <cell r="AE363">
            <v>0</v>
          </cell>
          <cell r="AF363">
            <v>0.76600000000000001</v>
          </cell>
          <cell r="AG363">
            <v>0.92</v>
          </cell>
        </row>
        <row r="364">
          <cell r="B364" t="str">
            <v>FAR826283</v>
          </cell>
          <cell r="C364" t="str">
            <v>826283</v>
          </cell>
          <cell r="D364" t="str">
            <v>EUROSTRIPS EMO 31 mm x 72 mm. (Curitas Hemostático)  x 12 Und.  Ref 826283</v>
          </cell>
          <cell r="E364" t="str">
            <v>EUROFARM</v>
          </cell>
          <cell r="F364" t="str">
            <v>flesh perforated PE + haemostatic pad</v>
          </cell>
          <cell r="G364" t="str">
            <v>CUIDADO DE HERIDAS</v>
          </cell>
          <cell r="H364" t="str">
            <v>24</v>
          </cell>
          <cell r="I364" t="str">
            <v>CJX12</v>
          </cell>
          <cell r="J364">
            <v>1</v>
          </cell>
          <cell r="K364">
            <v>0</v>
          </cell>
          <cell r="L364" t="str">
            <v>C</v>
          </cell>
          <cell r="M364">
            <v>252</v>
          </cell>
          <cell r="N364" t="str">
            <v/>
          </cell>
          <cell r="O364">
            <v>0</v>
          </cell>
          <cell r="P364">
            <v>0</v>
          </cell>
          <cell r="Q364">
            <v>12</v>
          </cell>
          <cell r="R364">
            <v>12</v>
          </cell>
          <cell r="S364">
            <v>0</v>
          </cell>
          <cell r="T364">
            <v>361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12</v>
          </cell>
          <cell r="Z364">
            <v>72</v>
          </cell>
          <cell r="AA364">
            <v>45</v>
          </cell>
          <cell r="AB364">
            <v>48.92</v>
          </cell>
          <cell r="AC364">
            <v>0</v>
          </cell>
          <cell r="AD364">
            <v>48.92</v>
          </cell>
          <cell r="AE364">
            <v>0</v>
          </cell>
          <cell r="AF364">
            <v>1</v>
          </cell>
          <cell r="AG364">
            <v>0.92</v>
          </cell>
        </row>
        <row r="365">
          <cell r="B365" t="str">
            <v>FAR817450</v>
          </cell>
          <cell r="C365" t="str">
            <v>817450</v>
          </cell>
          <cell r="D365" t="str">
            <v>EUROSUTURE  13 mm x 100 mm. x 6 Strip (Paq. x 10) (Steri Strip-Leukosan Strip) 817450</v>
          </cell>
          <cell r="E365" t="str">
            <v>EUROFARM</v>
          </cell>
          <cell r="F365" t="str">
            <v>Steri Strip-3M - Leukosan Strip-BSN</v>
          </cell>
          <cell r="G365" t="str">
            <v>CUIDADO DE HERIDAS</v>
          </cell>
          <cell r="H365" t="str">
            <v>57</v>
          </cell>
          <cell r="I365" t="str">
            <v>CJX12</v>
          </cell>
          <cell r="J365">
            <v>1</v>
          </cell>
          <cell r="K365">
            <v>0</v>
          </cell>
          <cell r="L365" t="str">
            <v/>
          </cell>
          <cell r="M365">
            <v>0</v>
          </cell>
          <cell r="N365" t="str">
            <v/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389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68.0625</v>
          </cell>
          <cell r="AB365">
            <v>136.13</v>
          </cell>
          <cell r="AC365">
            <v>0</v>
          </cell>
          <cell r="AD365">
            <v>136.13</v>
          </cell>
          <cell r="AE365">
            <v>0</v>
          </cell>
          <cell r="AF365">
            <v>1.5125</v>
          </cell>
          <cell r="AG365">
            <v>0.5</v>
          </cell>
        </row>
        <row r="366">
          <cell r="B366" t="str">
            <v>FAR817420</v>
          </cell>
          <cell r="C366" t="str">
            <v>817420</v>
          </cell>
          <cell r="D366" t="str">
            <v>EUROSUTURE 6 mm x 38 mm. (Steri Strip-Leukosan Strip) x 12 Strips Ref 817420</v>
          </cell>
          <cell r="E366" t="str">
            <v>EUROFARM</v>
          </cell>
          <cell r="F366" t="str">
            <v>Steri Strip-3M - Leukosan Strip-BSN</v>
          </cell>
          <cell r="G366" t="str">
            <v>CUIDADO DE HERIDAS</v>
          </cell>
          <cell r="H366" t="str">
            <v>57</v>
          </cell>
          <cell r="I366" t="str">
            <v>CJX12</v>
          </cell>
          <cell r="J366">
            <v>1</v>
          </cell>
          <cell r="K366">
            <v>0</v>
          </cell>
          <cell r="L366" t="str">
            <v>C</v>
          </cell>
          <cell r="M366">
            <v>157</v>
          </cell>
          <cell r="N366" t="str">
            <v/>
          </cell>
          <cell r="O366">
            <v>0</v>
          </cell>
          <cell r="P366">
            <v>0</v>
          </cell>
          <cell r="Q366">
            <v>63</v>
          </cell>
          <cell r="R366">
            <v>63</v>
          </cell>
          <cell r="S366">
            <v>0</v>
          </cell>
          <cell r="T366">
            <v>350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63</v>
          </cell>
          <cell r="Z366">
            <v>66</v>
          </cell>
          <cell r="AA366">
            <v>61.875</v>
          </cell>
          <cell r="AB366">
            <v>123.75</v>
          </cell>
          <cell r="AC366">
            <v>0</v>
          </cell>
          <cell r="AD366">
            <v>123.75</v>
          </cell>
          <cell r="AE366">
            <v>0</v>
          </cell>
          <cell r="AF366">
            <v>1.375</v>
          </cell>
          <cell r="AG366">
            <v>0.5</v>
          </cell>
        </row>
        <row r="367">
          <cell r="B367" t="str">
            <v>FAR817430</v>
          </cell>
          <cell r="C367" t="str">
            <v>817430</v>
          </cell>
          <cell r="D367" t="str">
            <v>EUROSUTURE 6 mm x 75 mm. (Steri Strip-Leukosan Strip) x 6 Strips Ref 817430</v>
          </cell>
          <cell r="E367" t="str">
            <v>EUROFARM</v>
          </cell>
          <cell r="F367" t="str">
            <v>Steri Strip-3M - Leukosan Strip-BSN</v>
          </cell>
          <cell r="G367" t="str">
            <v>CUIDADO DE HERIDAS</v>
          </cell>
          <cell r="H367" t="str">
            <v>57</v>
          </cell>
          <cell r="I367" t="str">
            <v>CJX6</v>
          </cell>
          <cell r="J367">
            <v>1</v>
          </cell>
          <cell r="K367">
            <v>0</v>
          </cell>
          <cell r="L367" t="str">
            <v>C</v>
          </cell>
          <cell r="M367">
            <v>351</v>
          </cell>
          <cell r="N367" t="str">
            <v/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366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20</v>
          </cell>
          <cell r="AA367">
            <v>61.875</v>
          </cell>
          <cell r="AB367">
            <v>123.75</v>
          </cell>
          <cell r="AC367">
            <v>0</v>
          </cell>
          <cell r="AD367">
            <v>123.75</v>
          </cell>
          <cell r="AE367">
            <v>0</v>
          </cell>
          <cell r="AF367">
            <v>1.375</v>
          </cell>
          <cell r="AG367">
            <v>0.5</v>
          </cell>
        </row>
        <row r="368">
          <cell r="B368" t="str">
            <v>FAR812102</v>
          </cell>
          <cell r="C368" t="str">
            <v>812102</v>
          </cell>
          <cell r="D368" t="str">
            <v>EUROTRASP 2,5 cm x 5 mt. (Transpore) x Und. (Caja x 24) Ref 812102</v>
          </cell>
          <cell r="E368" t="str">
            <v>EUROFARM</v>
          </cell>
          <cell r="F368" t="str">
            <v>Transpore-3M</v>
          </cell>
          <cell r="G368" t="str">
            <v>CUIDADO DE HERIDAS</v>
          </cell>
          <cell r="H368" t="str">
            <v>12</v>
          </cell>
          <cell r="I368" t="str">
            <v>CJX24</v>
          </cell>
          <cell r="J368">
            <v>1</v>
          </cell>
          <cell r="K368">
            <v>0</v>
          </cell>
          <cell r="L368" t="str">
            <v>C</v>
          </cell>
          <cell r="M368">
            <v>172</v>
          </cell>
          <cell r="N368" t="str">
            <v/>
          </cell>
          <cell r="O368">
            <v>0</v>
          </cell>
          <cell r="P368">
            <v>0</v>
          </cell>
          <cell r="Q368">
            <v>34</v>
          </cell>
          <cell r="R368">
            <v>34</v>
          </cell>
          <cell r="S368">
            <v>0</v>
          </cell>
          <cell r="T368">
            <v>356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34</v>
          </cell>
          <cell r="Z368">
            <v>1512</v>
          </cell>
          <cell r="AA368">
            <v>55.6875</v>
          </cell>
          <cell r="AB368">
            <v>85.67</v>
          </cell>
          <cell r="AC368">
            <v>0</v>
          </cell>
          <cell r="AD368">
            <v>85.67</v>
          </cell>
          <cell r="AE368">
            <v>0</v>
          </cell>
          <cell r="AF368">
            <v>1.2375</v>
          </cell>
          <cell r="AG368">
            <v>0.65</v>
          </cell>
        </row>
        <row r="369">
          <cell r="B369" t="str">
            <v>FAR812105</v>
          </cell>
          <cell r="C369" t="str">
            <v>812105</v>
          </cell>
          <cell r="D369" t="str">
            <v>EUROTRASP 5 cm x 5 mt. (Transpore) x Und. (Caja x 12) Ref 812105</v>
          </cell>
          <cell r="E369" t="str">
            <v>EUROFARM</v>
          </cell>
          <cell r="F369" t="str">
            <v>Transpore-3M</v>
          </cell>
          <cell r="G369" t="str">
            <v>CUIDADO DE HERIDAS</v>
          </cell>
          <cell r="H369" t="str">
            <v>13</v>
          </cell>
          <cell r="I369" t="str">
            <v>CJX12</v>
          </cell>
          <cell r="J369">
            <v>1</v>
          </cell>
          <cell r="K369">
            <v>0</v>
          </cell>
          <cell r="L369" t="str">
            <v>C</v>
          </cell>
          <cell r="M369">
            <v>231</v>
          </cell>
          <cell r="N369" t="str">
            <v/>
          </cell>
          <cell r="O369">
            <v>0</v>
          </cell>
          <cell r="P369">
            <v>0</v>
          </cell>
          <cell r="Q369">
            <v>20</v>
          </cell>
          <cell r="R369">
            <v>20</v>
          </cell>
          <cell r="S369">
            <v>0</v>
          </cell>
          <cell r="T369">
            <v>351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20</v>
          </cell>
          <cell r="Z369">
            <v>1236</v>
          </cell>
          <cell r="AA369">
            <v>111.375</v>
          </cell>
          <cell r="AB369">
            <v>171.35</v>
          </cell>
          <cell r="AC369">
            <v>0</v>
          </cell>
          <cell r="AD369">
            <v>171.35</v>
          </cell>
          <cell r="AE369">
            <v>0</v>
          </cell>
          <cell r="AF369">
            <v>2.4750000000000001</v>
          </cell>
          <cell r="AG369">
            <v>0.65</v>
          </cell>
        </row>
        <row r="370">
          <cell r="B370" t="str">
            <v>HOS512005</v>
          </cell>
          <cell r="C370" t="str">
            <v>512005</v>
          </cell>
          <cell r="D370" t="str">
            <v>EUROTRASP 5 cm x 9,14 mt. (Transpore) x Und. (Caja x 12) Ref 512005</v>
          </cell>
          <cell r="E370" t="str">
            <v>EUROFARM</v>
          </cell>
          <cell r="F370" t="str">
            <v>Transpore-3M</v>
          </cell>
          <cell r="G370" t="str">
            <v>CUIDADO DE HERIDAS</v>
          </cell>
          <cell r="H370" t="str">
            <v>13</v>
          </cell>
          <cell r="I370" t="str">
            <v>CJX12</v>
          </cell>
          <cell r="J370">
            <v>12</v>
          </cell>
          <cell r="K370">
            <v>0</v>
          </cell>
          <cell r="L370" t="str">
            <v/>
          </cell>
          <cell r="M370">
            <v>0</v>
          </cell>
          <cell r="N370" t="str">
            <v/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389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966</v>
          </cell>
          <cell r="AA370">
            <v>62.46</v>
          </cell>
          <cell r="AB370">
            <v>96.09</v>
          </cell>
          <cell r="AC370">
            <v>0</v>
          </cell>
          <cell r="AD370">
            <v>96.09</v>
          </cell>
          <cell r="AE370">
            <v>0</v>
          </cell>
          <cell r="AF370">
            <v>1.3879999999999999</v>
          </cell>
          <cell r="AG370">
            <v>0.65</v>
          </cell>
        </row>
        <row r="371">
          <cell r="B371" t="str">
            <v>HOF512007</v>
          </cell>
          <cell r="C371" t="str">
            <v>512007</v>
          </cell>
          <cell r="D371" t="str">
            <v>EUROTRASP 7,5 cm x 9,14 mt. (Transpore) x FRACCION Ref 512007</v>
          </cell>
          <cell r="E371" t="str">
            <v>EUROFARM</v>
          </cell>
          <cell r="F371" t="str">
            <v/>
          </cell>
          <cell r="G371" t="str">
            <v/>
          </cell>
          <cell r="H371" t="str">
            <v/>
          </cell>
          <cell r="I371" t="str">
            <v>UND</v>
          </cell>
          <cell r="J371">
            <v>1</v>
          </cell>
          <cell r="K371">
            <v>1</v>
          </cell>
          <cell r="L371" t="str">
            <v/>
          </cell>
          <cell r="M371">
            <v>0</v>
          </cell>
          <cell r="N371" t="str">
            <v/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389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18</v>
          </cell>
          <cell r="AA371">
            <v>1.5794999999999999</v>
          </cell>
          <cell r="AB371">
            <v>2.25</v>
          </cell>
          <cell r="AC371">
            <v>0</v>
          </cell>
          <cell r="AD371">
            <v>2.25</v>
          </cell>
          <cell r="AE371">
            <v>0</v>
          </cell>
          <cell r="AF371">
            <v>3.5099999999999999E-2</v>
          </cell>
          <cell r="AG371">
            <v>0.7</v>
          </cell>
        </row>
        <row r="372">
          <cell r="B372" t="str">
            <v>HOS512007</v>
          </cell>
          <cell r="C372" t="str">
            <v>512007</v>
          </cell>
          <cell r="D372" t="str">
            <v>EUROTRASP 7,5 cm x 9,14 mt. (Transpore) x Und. (Caja x 6) Ref 512007</v>
          </cell>
          <cell r="E372" t="str">
            <v>EUROFARM</v>
          </cell>
          <cell r="F372" t="str">
            <v>Transpore-3M</v>
          </cell>
          <cell r="G372" t="str">
            <v>CUIDADO DE HERIDAS</v>
          </cell>
          <cell r="H372" t="str">
            <v>14</v>
          </cell>
          <cell r="I372" t="str">
            <v>CJX6</v>
          </cell>
          <cell r="J372">
            <v>6</v>
          </cell>
          <cell r="K372">
            <v>0</v>
          </cell>
          <cell r="L372" t="str">
            <v/>
          </cell>
          <cell r="M372">
            <v>0</v>
          </cell>
          <cell r="N372" t="str">
            <v/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389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573</v>
          </cell>
          <cell r="AA372">
            <v>84.825000000000003</v>
          </cell>
          <cell r="AB372">
            <v>130.5</v>
          </cell>
          <cell r="AC372">
            <v>0</v>
          </cell>
          <cell r="AD372">
            <v>130.5</v>
          </cell>
          <cell r="AE372">
            <v>0</v>
          </cell>
          <cell r="AF372">
            <v>1.885</v>
          </cell>
          <cell r="AG372">
            <v>0.65</v>
          </cell>
        </row>
        <row r="373">
          <cell r="B373">
            <v>272100106</v>
          </cell>
          <cell r="C373" t="str">
            <v/>
          </cell>
          <cell r="D373" t="str">
            <v>Evenflo Feeding Almohadillas desechables p/ mujeres lactantes, blanca x 60 Und</v>
          </cell>
          <cell r="E373" t="str">
            <v>EVENFLO</v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>
            <v>0</v>
          </cell>
          <cell r="K373">
            <v>0</v>
          </cell>
          <cell r="L373" t="str">
            <v/>
          </cell>
          <cell r="M373">
            <v>0</v>
          </cell>
          <cell r="N373" t="str">
            <v/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389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5</v>
          </cell>
          <cell r="AA373">
            <v>321.83999999999997</v>
          </cell>
          <cell r="AB373">
            <v>402.3</v>
          </cell>
          <cell r="AC373">
            <v>0</v>
          </cell>
          <cell r="AD373">
            <v>402.3</v>
          </cell>
          <cell r="AE373">
            <v>0</v>
          </cell>
          <cell r="AF373">
            <v>7.1520000000000001</v>
          </cell>
          <cell r="AG373">
            <v>0.8</v>
          </cell>
        </row>
        <row r="374">
          <cell r="B374">
            <v>242200927</v>
          </cell>
          <cell r="C374" t="str">
            <v>1119</v>
          </cell>
          <cell r="D374" t="str">
            <v>FAJA DORSOLUMBAR CABALLERO SANAVIT. TALLA S X UNIDAD</v>
          </cell>
          <cell r="E374" t="str">
            <v>SANAVIT</v>
          </cell>
          <cell r="F374" t="str">
            <v/>
          </cell>
          <cell r="G374" t="str">
            <v>TRAUMATOLOGIA FAJAS</v>
          </cell>
          <cell r="H374" t="str">
            <v/>
          </cell>
          <cell r="I374" t="str">
            <v>UND</v>
          </cell>
          <cell r="J374">
            <v>1</v>
          </cell>
          <cell r="K374">
            <v>1</v>
          </cell>
          <cell r="L374" t="str">
            <v/>
          </cell>
          <cell r="M374">
            <v>0</v>
          </cell>
          <cell r="N374" t="str">
            <v/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385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3</v>
          </cell>
          <cell r="AA374">
            <v>3825</v>
          </cell>
          <cell r="AB374">
            <v>7500</v>
          </cell>
          <cell r="AC374">
            <v>0</v>
          </cell>
          <cell r="AD374">
            <v>7500</v>
          </cell>
          <cell r="AE374">
            <v>0</v>
          </cell>
          <cell r="AF374">
            <v>85</v>
          </cell>
          <cell r="AG374">
            <v>0.51</v>
          </cell>
        </row>
        <row r="375">
          <cell r="B375">
            <v>242201344</v>
          </cell>
          <cell r="C375" t="str">
            <v>9018</v>
          </cell>
          <cell r="D375" t="str">
            <v>FERULA DOBLE P/DEDO MARCA SANAVIT TALLA S X UNIDAD</v>
          </cell>
          <cell r="E375" t="str">
            <v>SANAVIT</v>
          </cell>
          <cell r="F375" t="str">
            <v/>
          </cell>
          <cell r="G375" t="str">
            <v>TRAUMATOLOGIA FERULAS</v>
          </cell>
          <cell r="H375" t="str">
            <v/>
          </cell>
          <cell r="I375" t="str">
            <v>UND</v>
          </cell>
          <cell r="J375">
            <v>1</v>
          </cell>
          <cell r="K375">
            <v>1</v>
          </cell>
          <cell r="L375" t="str">
            <v/>
          </cell>
          <cell r="M375">
            <v>0</v>
          </cell>
          <cell r="N375" t="str">
            <v/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385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2</v>
          </cell>
          <cell r="AA375">
            <v>270</v>
          </cell>
          <cell r="AB375">
            <v>490.91</v>
          </cell>
          <cell r="AC375">
            <v>0</v>
          </cell>
          <cell r="AD375">
            <v>490.91</v>
          </cell>
          <cell r="AE375">
            <v>0</v>
          </cell>
          <cell r="AF375">
            <v>6</v>
          </cell>
          <cell r="AG375">
            <v>0.55000000000000004</v>
          </cell>
        </row>
        <row r="376">
          <cell r="B376">
            <v>243300108</v>
          </cell>
          <cell r="C376" t="str">
            <v/>
          </cell>
          <cell r="D376" t="str">
            <v>FLETE AEREO</v>
          </cell>
          <cell r="E376" t="str">
            <v/>
          </cell>
          <cell r="F376" t="str">
            <v/>
          </cell>
          <cell r="G376" t="str">
            <v>OTROS OTROS</v>
          </cell>
          <cell r="H376" t="str">
            <v/>
          </cell>
          <cell r="I376" t="str">
            <v>UND</v>
          </cell>
          <cell r="J376">
            <v>1</v>
          </cell>
          <cell r="K376">
            <v>1</v>
          </cell>
          <cell r="L376" t="str">
            <v/>
          </cell>
          <cell r="M376">
            <v>0</v>
          </cell>
          <cell r="N376" t="str">
            <v/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386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1</v>
          </cell>
          <cell r="AA376">
            <v>3780</v>
          </cell>
          <cell r="AB376">
            <v>5400</v>
          </cell>
          <cell r="AC376">
            <v>0</v>
          </cell>
          <cell r="AD376">
            <v>5400</v>
          </cell>
          <cell r="AE376">
            <v>0</v>
          </cell>
          <cell r="AF376">
            <v>84</v>
          </cell>
          <cell r="AG376">
            <v>0.7</v>
          </cell>
        </row>
        <row r="377">
          <cell r="B377">
            <v>241040109</v>
          </cell>
          <cell r="C377" t="str">
            <v/>
          </cell>
          <cell r="D377" t="str">
            <v>FUENTE DE PODER HP 717019-001 x Und</v>
          </cell>
          <cell r="E377" t="str">
            <v>0</v>
          </cell>
          <cell r="F377" t="str">
            <v/>
          </cell>
          <cell r="G377" t="str">
            <v/>
          </cell>
          <cell r="H377" t="str">
            <v/>
          </cell>
          <cell r="I377" t="str">
            <v>UND</v>
          </cell>
          <cell r="J377">
            <v>1</v>
          </cell>
          <cell r="K377">
            <v>1</v>
          </cell>
          <cell r="L377" t="str">
            <v/>
          </cell>
          <cell r="M377">
            <v>0</v>
          </cell>
          <cell r="N377" t="str">
            <v/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389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5850</v>
          </cell>
          <cell r="AB377">
            <v>11250</v>
          </cell>
          <cell r="AC377">
            <v>0</v>
          </cell>
          <cell r="AD377">
            <v>11250</v>
          </cell>
          <cell r="AE377">
            <v>0</v>
          </cell>
          <cell r="AF377">
            <v>130</v>
          </cell>
          <cell r="AG377">
            <v>0.52</v>
          </cell>
        </row>
        <row r="378">
          <cell r="B378">
            <v>242300609</v>
          </cell>
          <cell r="C378" t="str">
            <v>242300609</v>
          </cell>
          <cell r="D378" t="str">
            <v>GASA ESTERIL 3" x 3" (Sobre x 2 Und). Bulto x 1200 Sobres - Marca IP Medical x Und</v>
          </cell>
          <cell r="E378" t="str">
            <v>MC MEDICAL</v>
          </cell>
          <cell r="F378" t="str">
            <v/>
          </cell>
          <cell r="G378" t="str">
            <v>GASAS ESTERILES</v>
          </cell>
          <cell r="H378" t="str">
            <v/>
          </cell>
          <cell r="I378" t="str">
            <v>CJX900</v>
          </cell>
          <cell r="J378">
            <v>1</v>
          </cell>
          <cell r="K378">
            <v>1</v>
          </cell>
          <cell r="L378" t="str">
            <v/>
          </cell>
          <cell r="M378">
            <v>0</v>
          </cell>
          <cell r="N378" t="str">
            <v/>
          </cell>
          <cell r="O378">
            <v>0</v>
          </cell>
          <cell r="P378">
            <v>500</v>
          </cell>
          <cell r="Q378">
            <v>0</v>
          </cell>
          <cell r="R378">
            <v>0</v>
          </cell>
          <cell r="S378">
            <v>0</v>
          </cell>
          <cell r="T378">
            <v>385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4.194</v>
          </cell>
          <cell r="AB378">
            <v>6.45</v>
          </cell>
          <cell r="AC378">
            <v>0</v>
          </cell>
          <cell r="AD378">
            <v>6.45</v>
          </cell>
          <cell r="AE378">
            <v>0</v>
          </cell>
          <cell r="AF378">
            <v>9.3200000000000005E-2</v>
          </cell>
          <cell r="AG378">
            <v>0.65</v>
          </cell>
        </row>
        <row r="379">
          <cell r="B379">
            <v>242300613</v>
          </cell>
          <cell r="C379" t="str">
            <v/>
          </cell>
          <cell r="D379" t="str">
            <v>GASA ESTERIL 3" x 3" (Sobre x 2 unds.) Marca PROCARE x Und</v>
          </cell>
          <cell r="E379" t="str">
            <v>PROCARE</v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>
            <v>1</v>
          </cell>
          <cell r="K379">
            <v>1</v>
          </cell>
          <cell r="L379" t="str">
            <v>C</v>
          </cell>
          <cell r="M379">
            <v>364</v>
          </cell>
          <cell r="N379" t="str">
            <v/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262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2400</v>
          </cell>
          <cell r="AA379">
            <v>2.8079999999999998</v>
          </cell>
          <cell r="AB379">
            <v>3.74</v>
          </cell>
          <cell r="AC379">
            <v>0</v>
          </cell>
          <cell r="AD379">
            <v>3.74</v>
          </cell>
          <cell r="AE379">
            <v>0</v>
          </cell>
          <cell r="AF379">
            <v>6.2399999999999997E-2</v>
          </cell>
          <cell r="AG379">
            <v>0.75</v>
          </cell>
        </row>
        <row r="380">
          <cell r="B380">
            <v>241030203</v>
          </cell>
          <cell r="C380" t="str">
            <v/>
          </cell>
          <cell r="D380" t="str">
            <v>GATOS HIDRAULICO</v>
          </cell>
          <cell r="E380" t="str">
            <v/>
          </cell>
          <cell r="F380" t="str">
            <v/>
          </cell>
          <cell r="G380" t="str">
            <v>ESTERILIZACIÓN AMPOLLA STERI GAS</v>
          </cell>
          <cell r="H380" t="str">
            <v/>
          </cell>
          <cell r="I380" t="str">
            <v>UND</v>
          </cell>
          <cell r="J380">
            <v>1</v>
          </cell>
          <cell r="K380">
            <v>1</v>
          </cell>
          <cell r="L380" t="str">
            <v/>
          </cell>
          <cell r="M380">
            <v>0</v>
          </cell>
          <cell r="N380" t="str">
            <v/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389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2</v>
          </cell>
          <cell r="AA380">
            <v>6468.75</v>
          </cell>
          <cell r="AB380">
            <v>8085.94</v>
          </cell>
          <cell r="AC380">
            <v>0</v>
          </cell>
          <cell r="AD380">
            <v>8085.94</v>
          </cell>
          <cell r="AE380">
            <v>0</v>
          </cell>
          <cell r="AF380">
            <v>143.75</v>
          </cell>
          <cell r="AG380">
            <v>0.8</v>
          </cell>
        </row>
        <row r="381">
          <cell r="B381">
            <v>241020101</v>
          </cell>
          <cell r="C381" t="str">
            <v/>
          </cell>
          <cell r="D381" t="str">
            <v>GERDEX GALON X UNIDAD</v>
          </cell>
          <cell r="E381" t="str">
            <v>RODENEZA</v>
          </cell>
          <cell r="F381" t="str">
            <v/>
          </cell>
          <cell r="G381" t="str">
            <v>ESTERILIZACIÓN GERDEX</v>
          </cell>
          <cell r="H381" t="str">
            <v/>
          </cell>
          <cell r="I381" t="str">
            <v/>
          </cell>
          <cell r="J381">
            <v>1</v>
          </cell>
          <cell r="K381">
            <v>1</v>
          </cell>
          <cell r="L381" t="str">
            <v/>
          </cell>
          <cell r="M381">
            <v>0</v>
          </cell>
          <cell r="N381" t="str">
            <v/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388</v>
          </cell>
          <cell r="U381">
            <v>0</v>
          </cell>
          <cell r="V381">
            <v>20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742.95</v>
          </cell>
          <cell r="AB381">
            <v>1238.25</v>
          </cell>
          <cell r="AC381">
            <v>0</v>
          </cell>
          <cell r="AD381">
            <v>1238.25</v>
          </cell>
          <cell r="AE381">
            <v>0</v>
          </cell>
          <cell r="AF381">
            <v>16.510000000000002</v>
          </cell>
          <cell r="AG381">
            <v>0.6</v>
          </cell>
        </row>
        <row r="382">
          <cell r="B382">
            <v>250100109</v>
          </cell>
          <cell r="C382" t="str">
            <v/>
          </cell>
          <cell r="D382" t="str">
            <v>GLUCOMETRO C/10 LANCETAS Marca Prestige</v>
          </cell>
          <cell r="E382" t="str">
            <v>PRESTIGE</v>
          </cell>
          <cell r="F382" t="str">
            <v/>
          </cell>
          <cell r="G382" t="str">
            <v>GLICEMIA GLUCOMETRO</v>
          </cell>
          <cell r="H382" t="str">
            <v/>
          </cell>
          <cell r="I382" t="str">
            <v>UND</v>
          </cell>
          <cell r="J382">
            <v>1</v>
          </cell>
          <cell r="K382">
            <v>1</v>
          </cell>
          <cell r="L382" t="str">
            <v/>
          </cell>
          <cell r="M382">
            <v>0</v>
          </cell>
          <cell r="N382" t="str">
            <v/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389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4</v>
          </cell>
          <cell r="AA382">
            <v>426.31650000000002</v>
          </cell>
          <cell r="AB382">
            <v>775.12</v>
          </cell>
          <cell r="AC382">
            <v>0</v>
          </cell>
          <cell r="AD382">
            <v>775.12</v>
          </cell>
          <cell r="AE382">
            <v>0</v>
          </cell>
          <cell r="AF382">
            <v>9.4736999999999991</v>
          </cell>
          <cell r="AG382">
            <v>0.55000000000000004</v>
          </cell>
        </row>
        <row r="383">
          <cell r="B383">
            <v>250100210</v>
          </cell>
          <cell r="C383" t="str">
            <v/>
          </cell>
          <cell r="D383" t="str">
            <v>GLUCOMETRO SIN TIRAS Marca MCKESSON</v>
          </cell>
          <cell r="E383" t="str">
            <v>MCKESSON</v>
          </cell>
          <cell r="F383" t="str">
            <v/>
          </cell>
          <cell r="G383" t="str">
            <v/>
          </cell>
          <cell r="H383" t="str">
            <v/>
          </cell>
          <cell r="I383" t="str">
            <v>UND</v>
          </cell>
          <cell r="J383">
            <v>1</v>
          </cell>
          <cell r="K383">
            <v>1</v>
          </cell>
          <cell r="L383" t="str">
            <v/>
          </cell>
          <cell r="M383">
            <v>0</v>
          </cell>
          <cell r="N383" t="str">
            <v/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242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86.625</v>
          </cell>
          <cell r="AB383">
            <v>173.25</v>
          </cell>
          <cell r="AC383">
            <v>0</v>
          </cell>
          <cell r="AD383">
            <v>173.25</v>
          </cell>
          <cell r="AE383">
            <v>0</v>
          </cell>
          <cell r="AF383">
            <v>1.925</v>
          </cell>
          <cell r="AG383">
            <v>0.5</v>
          </cell>
        </row>
        <row r="384">
          <cell r="B384">
            <v>243450101</v>
          </cell>
          <cell r="C384" t="str">
            <v/>
          </cell>
          <cell r="D384" t="str">
            <v>GORRO DE ENFERMERA BLANCO MARCA MMQ x Und</v>
          </cell>
          <cell r="E384" t="str">
            <v>SAMAR</v>
          </cell>
          <cell r="F384" t="str">
            <v/>
          </cell>
          <cell r="G384" t="str">
            <v>LENCERIA GORROS</v>
          </cell>
          <cell r="H384" t="str">
            <v/>
          </cell>
          <cell r="I384" t="str">
            <v>CJX50</v>
          </cell>
          <cell r="J384">
            <v>50</v>
          </cell>
          <cell r="K384">
            <v>1</v>
          </cell>
          <cell r="L384" t="str">
            <v/>
          </cell>
          <cell r="M384">
            <v>0</v>
          </cell>
          <cell r="N384" t="str">
            <v/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389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5000</v>
          </cell>
          <cell r="AA384">
            <v>2.25</v>
          </cell>
          <cell r="AB384">
            <v>3.46</v>
          </cell>
          <cell r="AC384">
            <v>0</v>
          </cell>
          <cell r="AD384">
            <v>3.46</v>
          </cell>
          <cell r="AE384">
            <v>0</v>
          </cell>
          <cell r="AF384">
            <v>0.05</v>
          </cell>
          <cell r="AG384">
            <v>0.6502</v>
          </cell>
        </row>
        <row r="385">
          <cell r="B385">
            <v>243450105</v>
          </cell>
          <cell r="C385" t="str">
            <v/>
          </cell>
          <cell r="D385" t="str">
            <v>GORRO DE ENFERMERA MARCA SANAVIT X Und</v>
          </cell>
          <cell r="E385" t="str">
            <v/>
          </cell>
          <cell r="F385" t="str">
            <v/>
          </cell>
          <cell r="G385" t="str">
            <v/>
          </cell>
          <cell r="H385" t="str">
            <v/>
          </cell>
          <cell r="I385" t="str">
            <v>UND</v>
          </cell>
          <cell r="J385">
            <v>1</v>
          </cell>
          <cell r="K385">
            <v>1</v>
          </cell>
          <cell r="L385" t="str">
            <v/>
          </cell>
          <cell r="M385">
            <v>0</v>
          </cell>
          <cell r="N385" t="str">
            <v/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389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1000</v>
          </cell>
          <cell r="AA385">
            <v>22.5</v>
          </cell>
          <cell r="AB385">
            <v>34.61</v>
          </cell>
          <cell r="AC385">
            <v>0</v>
          </cell>
          <cell r="AD385">
            <v>34.61</v>
          </cell>
          <cell r="AE385">
            <v>0</v>
          </cell>
          <cell r="AF385">
            <v>0.5</v>
          </cell>
          <cell r="AG385">
            <v>0.65</v>
          </cell>
        </row>
        <row r="386">
          <cell r="B386">
            <v>253400204</v>
          </cell>
          <cell r="C386" t="str">
            <v>253400204</v>
          </cell>
          <cell r="D386" t="str">
            <v>GUANTE DE NITRILO TALLA "M" DIPHOCARE COLOR AZUL/\Presentacion Caja x 100 Unds.</v>
          </cell>
          <cell r="E386" t="str">
            <v>DIPHOSYC</v>
          </cell>
          <cell r="F386" t="str">
            <v/>
          </cell>
          <cell r="G386" t="str">
            <v>GUANTES NITRILO</v>
          </cell>
          <cell r="H386" t="str">
            <v/>
          </cell>
          <cell r="I386" t="str">
            <v>UND</v>
          </cell>
          <cell r="J386">
            <v>1</v>
          </cell>
          <cell r="K386">
            <v>1</v>
          </cell>
          <cell r="L386" t="str">
            <v>C</v>
          </cell>
          <cell r="M386">
            <v>336</v>
          </cell>
          <cell r="N386" t="str">
            <v/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386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180</v>
          </cell>
          <cell r="AB386">
            <v>276.92</v>
          </cell>
          <cell r="AC386">
            <v>0</v>
          </cell>
          <cell r="AD386">
            <v>276.92</v>
          </cell>
          <cell r="AE386">
            <v>0</v>
          </cell>
          <cell r="AF386">
            <v>4</v>
          </cell>
          <cell r="AG386">
            <v>0.65</v>
          </cell>
        </row>
        <row r="387">
          <cell r="B387">
            <v>253402109</v>
          </cell>
          <cell r="C387" t="str">
            <v/>
          </cell>
          <cell r="D387" t="str">
            <v>GUANTES DE EXAMEN DE NITRILO TALLA "L" Marca Diphocare/\Presentacion Caja x 100 Unds.</v>
          </cell>
          <cell r="E387" t="str">
            <v>DIPHOSYC</v>
          </cell>
          <cell r="F387" t="str">
            <v/>
          </cell>
          <cell r="G387" t="str">
            <v/>
          </cell>
          <cell r="H387" t="str">
            <v/>
          </cell>
          <cell r="I387" t="str">
            <v>CJX100</v>
          </cell>
          <cell r="J387">
            <v>1</v>
          </cell>
          <cell r="K387">
            <v>1</v>
          </cell>
          <cell r="L387" t="str">
            <v>C</v>
          </cell>
          <cell r="M387">
            <v>337</v>
          </cell>
          <cell r="N387" t="str">
            <v/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385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193.5</v>
          </cell>
          <cell r="AB387">
            <v>276.43</v>
          </cell>
          <cell r="AC387">
            <v>0</v>
          </cell>
          <cell r="AD387">
            <v>276.43</v>
          </cell>
          <cell r="AE387">
            <v>0</v>
          </cell>
          <cell r="AF387">
            <v>4.3</v>
          </cell>
          <cell r="AG387">
            <v>0.7</v>
          </cell>
        </row>
        <row r="388">
          <cell r="B388">
            <v>253400105</v>
          </cell>
          <cell r="C388" t="str">
            <v>253400105</v>
          </cell>
          <cell r="D388" t="str">
            <v>GUANTES DE EXAMEN DE NITRILO TALLA "L" Marca Mc Medical - Color Morado/\Presentacion Caja x 100 Unds.</v>
          </cell>
          <cell r="E388" t="str">
            <v>MC MEDICAL</v>
          </cell>
          <cell r="F388" t="str">
            <v/>
          </cell>
          <cell r="G388" t="str">
            <v>GUANTES EXAMEN DE LATEX</v>
          </cell>
          <cell r="H388" t="str">
            <v/>
          </cell>
          <cell r="I388" t="str">
            <v>CJX100</v>
          </cell>
          <cell r="J388">
            <v>1</v>
          </cell>
          <cell r="K388">
            <v>1</v>
          </cell>
          <cell r="L388" t="str">
            <v>C</v>
          </cell>
          <cell r="M388">
            <v>0</v>
          </cell>
          <cell r="N388" t="str">
            <v/>
          </cell>
          <cell r="O388">
            <v>0</v>
          </cell>
          <cell r="P388">
            <v>25</v>
          </cell>
          <cell r="Q388">
            <v>0</v>
          </cell>
          <cell r="R388">
            <v>0</v>
          </cell>
          <cell r="S388">
            <v>0</v>
          </cell>
          <cell r="T388">
            <v>384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211.5</v>
          </cell>
          <cell r="AB388">
            <v>325.39</v>
          </cell>
          <cell r="AC388">
            <v>0</v>
          </cell>
          <cell r="AD388">
            <v>325.39</v>
          </cell>
          <cell r="AE388">
            <v>0</v>
          </cell>
          <cell r="AF388">
            <v>4.7</v>
          </cell>
          <cell r="AG388">
            <v>0.65</v>
          </cell>
        </row>
        <row r="389">
          <cell r="B389">
            <v>253400307</v>
          </cell>
          <cell r="C389" t="str">
            <v>S/REF</v>
          </cell>
          <cell r="D389" t="str">
            <v>GUANTES DE EXAMEN DE NITRILO TALLA "M" Marca Mc Medical - Color Azul /\Presentacion Caja x 100 Unds.</v>
          </cell>
          <cell r="E389" t="str">
            <v>MC MEDICAL</v>
          </cell>
          <cell r="F389" t="str">
            <v/>
          </cell>
          <cell r="G389" t="str">
            <v>GUANTES NITRILO</v>
          </cell>
          <cell r="H389" t="str">
            <v/>
          </cell>
          <cell r="I389" t="str">
            <v>CJX100</v>
          </cell>
          <cell r="J389">
            <v>1</v>
          </cell>
          <cell r="K389">
            <v>1</v>
          </cell>
          <cell r="L389" t="str">
            <v/>
          </cell>
          <cell r="M389">
            <v>0</v>
          </cell>
          <cell r="N389" t="str">
            <v/>
          </cell>
          <cell r="O389">
            <v>0</v>
          </cell>
          <cell r="P389">
            <v>50</v>
          </cell>
          <cell r="Q389">
            <v>0</v>
          </cell>
          <cell r="R389">
            <v>0</v>
          </cell>
          <cell r="S389">
            <v>0</v>
          </cell>
          <cell r="T389">
            <v>213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42</v>
          </cell>
          <cell r="AA389">
            <v>211.5</v>
          </cell>
          <cell r="AB389">
            <v>325.39</v>
          </cell>
          <cell r="AC389">
            <v>0</v>
          </cell>
          <cell r="AD389">
            <v>325.39</v>
          </cell>
          <cell r="AE389">
            <v>0</v>
          </cell>
          <cell r="AF389">
            <v>4.7</v>
          </cell>
          <cell r="AG389">
            <v>0.65</v>
          </cell>
        </row>
        <row r="390">
          <cell r="B390">
            <v>272100107</v>
          </cell>
          <cell r="C390" t="str">
            <v/>
          </cell>
          <cell r="D390" t="str">
            <v>Green Sprouts fruta fresca Calmante Mordedor x Und</v>
          </cell>
          <cell r="E390" t="str">
            <v>GREEN SPROUTS</v>
          </cell>
          <cell r="F390" t="str">
            <v/>
          </cell>
          <cell r="G390" t="str">
            <v/>
          </cell>
          <cell r="H390" t="str">
            <v/>
          </cell>
          <cell r="I390" t="str">
            <v/>
          </cell>
          <cell r="J390">
            <v>0</v>
          </cell>
          <cell r="K390">
            <v>0</v>
          </cell>
          <cell r="L390" t="str">
            <v/>
          </cell>
          <cell r="M390">
            <v>0</v>
          </cell>
          <cell r="N390" t="str">
            <v/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389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12</v>
          </cell>
          <cell r="AA390">
            <v>179.64</v>
          </cell>
          <cell r="AB390">
            <v>224.55</v>
          </cell>
          <cell r="AC390">
            <v>0</v>
          </cell>
          <cell r="AD390">
            <v>224.55</v>
          </cell>
          <cell r="AE390">
            <v>0</v>
          </cell>
          <cell r="AF390">
            <v>3.992</v>
          </cell>
          <cell r="AG390">
            <v>0.8</v>
          </cell>
        </row>
        <row r="391">
          <cell r="B391">
            <v>242350010</v>
          </cell>
          <cell r="C391" t="str">
            <v/>
          </cell>
          <cell r="D391" t="str">
            <v>HIGH SPEED 8K X 8EEPROM PDIP28. XICOR X28HC64P</v>
          </cell>
          <cell r="E391" t="str">
            <v/>
          </cell>
          <cell r="F391" t="str">
            <v/>
          </cell>
          <cell r="G391" t="str">
            <v/>
          </cell>
          <cell r="H391" t="str">
            <v/>
          </cell>
          <cell r="I391" t="str">
            <v>UND</v>
          </cell>
          <cell r="J391">
            <v>1</v>
          </cell>
          <cell r="K391">
            <v>1</v>
          </cell>
          <cell r="L391" t="str">
            <v/>
          </cell>
          <cell r="M391">
            <v>0</v>
          </cell>
          <cell r="N391" t="str">
            <v/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389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4</v>
          </cell>
          <cell r="AA391">
            <v>5323.5</v>
          </cell>
          <cell r="AB391">
            <v>8190</v>
          </cell>
          <cell r="AC391">
            <v>0</v>
          </cell>
          <cell r="AD391">
            <v>8190</v>
          </cell>
          <cell r="AE391">
            <v>0</v>
          </cell>
          <cell r="AF391">
            <v>118.3</v>
          </cell>
          <cell r="AG391">
            <v>0.65</v>
          </cell>
        </row>
        <row r="392">
          <cell r="B392" t="str">
            <v>FAR501705</v>
          </cell>
          <cell r="C392" t="str">
            <v>501705</v>
          </cell>
          <cell r="D392" t="str">
            <v>HYDROMED GEL TUBO 15 GR. (Cutimed Gel) x Und. Ref 501705</v>
          </cell>
          <cell r="E392" t="str">
            <v>EUROFARM</v>
          </cell>
          <cell r="F392" t="str">
            <v>Hydrogel-3M - Cutimed Gel-BSN</v>
          </cell>
          <cell r="G392" t="str">
            <v>CUIDADO DE HERIDAS</v>
          </cell>
          <cell r="H392" t="str">
            <v>38</v>
          </cell>
          <cell r="I392" t="str">
            <v>UND</v>
          </cell>
          <cell r="J392">
            <v>1</v>
          </cell>
          <cell r="K392">
            <v>0</v>
          </cell>
          <cell r="L392" t="str">
            <v>C</v>
          </cell>
          <cell r="M392">
            <v>28</v>
          </cell>
          <cell r="N392" t="str">
            <v/>
          </cell>
          <cell r="O392">
            <v>0</v>
          </cell>
          <cell r="P392">
            <v>0</v>
          </cell>
          <cell r="Q392">
            <v>40</v>
          </cell>
          <cell r="R392">
            <v>40</v>
          </cell>
          <cell r="S392">
            <v>0</v>
          </cell>
          <cell r="T392">
            <v>365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40</v>
          </cell>
          <cell r="Z392">
            <v>94</v>
          </cell>
          <cell r="AA392">
            <v>86.625</v>
          </cell>
          <cell r="AB392">
            <v>173.25</v>
          </cell>
          <cell r="AC392">
            <v>0</v>
          </cell>
          <cell r="AD392">
            <v>173.25</v>
          </cell>
          <cell r="AE392">
            <v>0</v>
          </cell>
          <cell r="AF392">
            <v>1.925</v>
          </cell>
          <cell r="AG392">
            <v>0.5</v>
          </cell>
        </row>
        <row r="393">
          <cell r="B393">
            <v>242201770</v>
          </cell>
          <cell r="C393" t="str">
            <v>1109</v>
          </cell>
          <cell r="D393" t="str">
            <v>INMOVILIZADOR DE HOMBRO DAMA  Talla S Marca Sanavit x Und</v>
          </cell>
          <cell r="E393" t="str">
            <v>SANAVIT</v>
          </cell>
          <cell r="F393" t="str">
            <v/>
          </cell>
          <cell r="G393" t="str">
            <v/>
          </cell>
          <cell r="H393" t="str">
            <v/>
          </cell>
          <cell r="I393" t="str">
            <v>UND</v>
          </cell>
          <cell r="J393">
            <v>1</v>
          </cell>
          <cell r="K393">
            <v>1</v>
          </cell>
          <cell r="L393" t="str">
            <v/>
          </cell>
          <cell r="M393">
            <v>0</v>
          </cell>
          <cell r="N393" t="str">
            <v/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389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2</v>
          </cell>
          <cell r="AA393">
            <v>990</v>
          </cell>
          <cell r="AB393">
            <v>1650</v>
          </cell>
          <cell r="AC393">
            <v>0</v>
          </cell>
          <cell r="AD393">
            <v>1650</v>
          </cell>
          <cell r="AE393">
            <v>0</v>
          </cell>
          <cell r="AF393">
            <v>22</v>
          </cell>
          <cell r="AG393">
            <v>0.6</v>
          </cell>
        </row>
        <row r="394">
          <cell r="B394">
            <v>242201307</v>
          </cell>
          <cell r="C394" t="str">
            <v>7455612</v>
          </cell>
          <cell r="D394" t="str">
            <v>INMOVILIZADOR DE HOMBRO UMERUS AIR Talla L - Marca BSN Medical x Und</v>
          </cell>
          <cell r="E394" t="str">
            <v>BSN MEDICAL</v>
          </cell>
          <cell r="F394" t="str">
            <v/>
          </cell>
          <cell r="G394" t="str">
            <v>TRAUMATOLOGIA INMOVILIZADOR HOMBRO</v>
          </cell>
          <cell r="H394" t="str">
            <v/>
          </cell>
          <cell r="I394" t="str">
            <v>UND</v>
          </cell>
          <cell r="J394">
            <v>1</v>
          </cell>
          <cell r="K394">
            <v>1</v>
          </cell>
          <cell r="L394" t="str">
            <v/>
          </cell>
          <cell r="M394">
            <v>0</v>
          </cell>
          <cell r="N394" t="str">
            <v/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389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16</v>
          </cell>
          <cell r="AA394">
            <v>590.85</v>
          </cell>
          <cell r="AB394">
            <v>844.07</v>
          </cell>
          <cell r="AC394">
            <v>0</v>
          </cell>
          <cell r="AD394">
            <v>844.07</v>
          </cell>
          <cell r="AE394">
            <v>0</v>
          </cell>
          <cell r="AF394">
            <v>13.13</v>
          </cell>
          <cell r="AG394">
            <v>0.7</v>
          </cell>
        </row>
        <row r="395">
          <cell r="B395">
            <v>242201306</v>
          </cell>
          <cell r="C395" t="str">
            <v>7455611</v>
          </cell>
          <cell r="D395" t="str">
            <v>INMOVILIZADOR DE HOMBRO UMERUS AIR Talla M - Marca BSN Medical x Und</v>
          </cell>
          <cell r="E395" t="str">
            <v>BSN MEDICAL</v>
          </cell>
          <cell r="F395" t="str">
            <v/>
          </cell>
          <cell r="G395" t="str">
            <v>TRAUMATOLOGIA INMOVILIZADOR HOMBRO</v>
          </cell>
          <cell r="H395" t="str">
            <v/>
          </cell>
          <cell r="I395" t="str">
            <v>UND</v>
          </cell>
          <cell r="J395">
            <v>1</v>
          </cell>
          <cell r="K395">
            <v>1</v>
          </cell>
          <cell r="L395" t="str">
            <v/>
          </cell>
          <cell r="M395">
            <v>0</v>
          </cell>
          <cell r="N395" t="str">
            <v/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389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29</v>
          </cell>
          <cell r="AA395">
            <v>710.1</v>
          </cell>
          <cell r="AB395">
            <v>1014.43</v>
          </cell>
          <cell r="AC395">
            <v>0</v>
          </cell>
          <cell r="AD395">
            <v>1014.43</v>
          </cell>
          <cell r="AE395">
            <v>0</v>
          </cell>
          <cell r="AF395">
            <v>15.78</v>
          </cell>
          <cell r="AG395">
            <v>0.7</v>
          </cell>
        </row>
        <row r="396">
          <cell r="B396">
            <v>242201318</v>
          </cell>
          <cell r="C396" t="str">
            <v>1115</v>
          </cell>
          <cell r="D396" t="str">
            <v>INMOVILIZADOR DE RODILLA 20" XL - Marca Sanavit x Und</v>
          </cell>
          <cell r="E396" t="str">
            <v>SANAVIT</v>
          </cell>
          <cell r="F396" t="str">
            <v/>
          </cell>
          <cell r="G396" t="str">
            <v>TRAUMATOLOGIA INMOVILIZADOR RODILLA</v>
          </cell>
          <cell r="H396" t="str">
            <v/>
          </cell>
          <cell r="I396" t="str">
            <v>UND</v>
          </cell>
          <cell r="J396">
            <v>1</v>
          </cell>
          <cell r="K396">
            <v>1</v>
          </cell>
          <cell r="L396" t="str">
            <v/>
          </cell>
          <cell r="M396">
            <v>0</v>
          </cell>
          <cell r="N396" t="str">
            <v/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386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2</v>
          </cell>
          <cell r="AA396">
            <v>1305</v>
          </cell>
          <cell r="AB396">
            <v>2372.73</v>
          </cell>
          <cell r="AC396">
            <v>0</v>
          </cell>
          <cell r="AD396">
            <v>2372.73</v>
          </cell>
          <cell r="AE396">
            <v>0</v>
          </cell>
          <cell r="AF396">
            <v>29</v>
          </cell>
          <cell r="AG396">
            <v>0.55000000000000004</v>
          </cell>
        </row>
        <row r="397">
          <cell r="B397">
            <v>242400601</v>
          </cell>
          <cell r="C397" t="str">
            <v/>
          </cell>
          <cell r="D397" t="str">
            <v>KIT DE CAMA 3 PIEZAS Marca MMQ x Und</v>
          </cell>
          <cell r="E397" t="str">
            <v>MEDITEX</v>
          </cell>
          <cell r="F397" t="str">
            <v/>
          </cell>
          <cell r="G397" t="str">
            <v>LENCERIA KIT DE CAMA</v>
          </cell>
          <cell r="H397" t="str">
            <v/>
          </cell>
          <cell r="I397" t="str">
            <v>CJX30</v>
          </cell>
          <cell r="J397">
            <v>1</v>
          </cell>
          <cell r="K397">
            <v>1</v>
          </cell>
          <cell r="L397" t="str">
            <v/>
          </cell>
          <cell r="M397">
            <v>0</v>
          </cell>
          <cell r="N397" t="str">
            <v/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387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200</v>
          </cell>
          <cell r="AA397">
            <v>108</v>
          </cell>
          <cell r="AB397">
            <v>166.15</v>
          </cell>
          <cell r="AC397">
            <v>0</v>
          </cell>
          <cell r="AD397">
            <v>166.15</v>
          </cell>
          <cell r="AE397">
            <v>0</v>
          </cell>
          <cell r="AF397">
            <v>2.4</v>
          </cell>
          <cell r="AG397">
            <v>0.65</v>
          </cell>
        </row>
        <row r="398">
          <cell r="B398">
            <v>242400803</v>
          </cell>
          <cell r="C398" t="str">
            <v/>
          </cell>
          <cell r="D398" t="str">
            <v>KIT DE LAPAROTOMIA IV KIMBERLY CLARK x Und</v>
          </cell>
          <cell r="E398" t="str">
            <v>VICTUS</v>
          </cell>
          <cell r="F398" t="str">
            <v/>
          </cell>
          <cell r="G398" t="str">
            <v/>
          </cell>
          <cell r="H398" t="str">
            <v/>
          </cell>
          <cell r="I398" t="str">
            <v>UND</v>
          </cell>
          <cell r="J398">
            <v>1</v>
          </cell>
          <cell r="K398">
            <v>1</v>
          </cell>
          <cell r="L398" t="str">
            <v/>
          </cell>
          <cell r="M398">
            <v>0</v>
          </cell>
          <cell r="N398" t="str">
            <v/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387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72</v>
          </cell>
          <cell r="AA398">
            <v>1551.375</v>
          </cell>
          <cell r="AB398">
            <v>2386.73</v>
          </cell>
          <cell r="AC398">
            <v>0</v>
          </cell>
          <cell r="AD398">
            <v>2386.73</v>
          </cell>
          <cell r="AE398">
            <v>0</v>
          </cell>
          <cell r="AF398">
            <v>34.475000000000001</v>
          </cell>
          <cell r="AG398">
            <v>0.65</v>
          </cell>
        </row>
        <row r="399">
          <cell r="B399">
            <v>240650101</v>
          </cell>
          <cell r="C399" t="str">
            <v/>
          </cell>
          <cell r="D399" t="str">
            <v>LAPIZ PARA ELECTROCAUTERIO Marca SOLMED x Und./</v>
          </cell>
          <cell r="E399" t="str">
            <v/>
          </cell>
          <cell r="F399" t="str">
            <v/>
          </cell>
          <cell r="G399" t="str">
            <v>LAPIZ ELECTROCAUTERIO</v>
          </cell>
          <cell r="H399" t="str">
            <v/>
          </cell>
          <cell r="I399" t="str">
            <v>UND</v>
          </cell>
          <cell r="J399">
            <v>1</v>
          </cell>
          <cell r="K399">
            <v>1</v>
          </cell>
          <cell r="L399" t="str">
            <v/>
          </cell>
          <cell r="M399">
            <v>0</v>
          </cell>
          <cell r="N399" t="str">
            <v/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389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21.6</v>
          </cell>
          <cell r="AB399">
            <v>46.96</v>
          </cell>
          <cell r="AC399">
            <v>0</v>
          </cell>
          <cell r="AD399">
            <v>46.96</v>
          </cell>
          <cell r="AE399">
            <v>0</v>
          </cell>
          <cell r="AF399">
            <v>0.48</v>
          </cell>
          <cell r="AG399">
            <v>0.46</v>
          </cell>
        </row>
        <row r="400">
          <cell r="B400">
            <v>242450103</v>
          </cell>
          <cell r="C400" t="str">
            <v/>
          </cell>
          <cell r="D400" t="str">
            <v>LAPIZ SUCCION COAGULACION (Ref. E3310 - Valley Lab) - Marca Covidien x Und</v>
          </cell>
          <cell r="E400" t="str">
            <v>COVIDIEN</v>
          </cell>
          <cell r="F400" t="str">
            <v/>
          </cell>
          <cell r="G400" t="str">
            <v>LAPIZ SUCCION</v>
          </cell>
          <cell r="H400" t="str">
            <v/>
          </cell>
          <cell r="I400" t="str">
            <v>UND</v>
          </cell>
          <cell r="J400">
            <v>1</v>
          </cell>
          <cell r="K400">
            <v>1</v>
          </cell>
          <cell r="L400" t="str">
            <v/>
          </cell>
          <cell r="M400">
            <v>0</v>
          </cell>
          <cell r="N400" t="str">
            <v/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389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6</v>
          </cell>
          <cell r="AA400">
            <v>281.25</v>
          </cell>
          <cell r="AB400">
            <v>468.75</v>
          </cell>
          <cell r="AC400">
            <v>0</v>
          </cell>
          <cell r="AD400">
            <v>468.75</v>
          </cell>
          <cell r="AE400">
            <v>0</v>
          </cell>
          <cell r="AF400">
            <v>6.25</v>
          </cell>
          <cell r="AG400">
            <v>0.6</v>
          </cell>
        </row>
        <row r="401">
          <cell r="B401" t="str">
            <v>FAR861002</v>
          </cell>
          <cell r="C401" t="str">
            <v>861002</v>
          </cell>
          <cell r="D401" t="str">
            <v>LONG FIX ALOE 0.5MT X 6CM x Und Ref 861002</v>
          </cell>
          <cell r="E401" t="str">
            <v>EUROFARM</v>
          </cell>
          <cell r="F401" t="str">
            <v>Curita de Aloe recortable</v>
          </cell>
          <cell r="G401" t="str">
            <v/>
          </cell>
          <cell r="H401" t="str">
            <v>25</v>
          </cell>
          <cell r="I401" t="str">
            <v>UND</v>
          </cell>
          <cell r="J401">
            <v>1</v>
          </cell>
          <cell r="K401">
            <v>1</v>
          </cell>
          <cell r="L401" t="str">
            <v/>
          </cell>
          <cell r="M401">
            <v>0</v>
          </cell>
          <cell r="N401" t="str">
            <v/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389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46.395000000000003</v>
          </cell>
          <cell r="AB401">
            <v>58</v>
          </cell>
          <cell r="AC401">
            <v>0</v>
          </cell>
          <cell r="AD401">
            <v>58</v>
          </cell>
          <cell r="AE401">
            <v>0</v>
          </cell>
          <cell r="AF401">
            <v>1.0309999999999999</v>
          </cell>
          <cell r="AG401">
            <v>0.8</v>
          </cell>
        </row>
        <row r="402">
          <cell r="B402" t="str">
            <v>FAR861003</v>
          </cell>
          <cell r="C402" t="str">
            <v>861003</v>
          </cell>
          <cell r="D402" t="str">
            <v>LONG FIX ALOE 0.5MT X 8CM x Und/ Ref 861003</v>
          </cell>
          <cell r="E402" t="str">
            <v>EUROFARM</v>
          </cell>
          <cell r="F402" t="str">
            <v>Curita de Aloe recortable</v>
          </cell>
          <cell r="G402" t="str">
            <v/>
          </cell>
          <cell r="H402" t="str">
            <v>25</v>
          </cell>
          <cell r="I402" t="str">
            <v>UND</v>
          </cell>
          <cell r="J402">
            <v>1</v>
          </cell>
          <cell r="K402">
            <v>1</v>
          </cell>
          <cell r="L402" t="str">
            <v/>
          </cell>
          <cell r="M402">
            <v>0</v>
          </cell>
          <cell r="N402" t="str">
            <v/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389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55.6875</v>
          </cell>
          <cell r="AB402">
            <v>69.61</v>
          </cell>
          <cell r="AC402">
            <v>0</v>
          </cell>
          <cell r="AD402">
            <v>69.61</v>
          </cell>
          <cell r="AE402">
            <v>0</v>
          </cell>
          <cell r="AF402">
            <v>1.2375</v>
          </cell>
          <cell r="AG402">
            <v>0.8</v>
          </cell>
        </row>
        <row r="403">
          <cell r="B403">
            <v>272100108</v>
          </cell>
          <cell r="C403" t="str">
            <v/>
          </cell>
          <cell r="D403" t="str">
            <v>MAM Easy Start - Botella anticólicos x Und</v>
          </cell>
          <cell r="E403" t="str">
            <v>MAM EASY</v>
          </cell>
          <cell r="F403" t="str">
            <v/>
          </cell>
          <cell r="G403" t="str">
            <v/>
          </cell>
          <cell r="H403" t="str">
            <v/>
          </cell>
          <cell r="I403" t="str">
            <v/>
          </cell>
          <cell r="J403">
            <v>0</v>
          </cell>
          <cell r="K403">
            <v>0</v>
          </cell>
          <cell r="L403" t="str">
            <v/>
          </cell>
          <cell r="M403">
            <v>0</v>
          </cell>
          <cell r="N403" t="str">
            <v/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389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6</v>
          </cell>
          <cell r="AA403">
            <v>213.84</v>
          </cell>
          <cell r="AB403">
            <v>267.3</v>
          </cell>
          <cell r="AC403">
            <v>0</v>
          </cell>
          <cell r="AD403">
            <v>267.3</v>
          </cell>
          <cell r="AE403">
            <v>0</v>
          </cell>
          <cell r="AF403">
            <v>4.7519999999999998</v>
          </cell>
          <cell r="AG403">
            <v>0.8</v>
          </cell>
        </row>
        <row r="404">
          <cell r="B404">
            <v>250200220</v>
          </cell>
          <cell r="C404" t="str">
            <v/>
          </cell>
          <cell r="D404" t="str">
            <v>MANOS LIBRES (HEADSET)</v>
          </cell>
          <cell r="E404" t="str">
            <v/>
          </cell>
          <cell r="F404" t="str">
            <v/>
          </cell>
          <cell r="G404" t="str">
            <v>APOSITOS ACTISORB</v>
          </cell>
          <cell r="H404" t="str">
            <v/>
          </cell>
          <cell r="I404" t="str">
            <v>UND</v>
          </cell>
          <cell r="J404">
            <v>1</v>
          </cell>
          <cell r="K404">
            <v>1</v>
          </cell>
          <cell r="L404" t="str">
            <v/>
          </cell>
          <cell r="M404">
            <v>0</v>
          </cell>
          <cell r="N404" t="str">
            <v/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389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4</v>
          </cell>
          <cell r="AA404">
            <v>1228.5</v>
          </cell>
          <cell r="AB404">
            <v>1755</v>
          </cell>
          <cell r="AC404">
            <v>0</v>
          </cell>
          <cell r="AD404">
            <v>1755</v>
          </cell>
          <cell r="AE404">
            <v>0</v>
          </cell>
          <cell r="AF404">
            <v>27.3</v>
          </cell>
          <cell r="AG404">
            <v>0.7</v>
          </cell>
        </row>
        <row r="405">
          <cell r="B405">
            <v>243050210</v>
          </cell>
          <cell r="C405" t="str">
            <v>1240</v>
          </cell>
          <cell r="D405" t="str">
            <v>MASCARA DE VENTURY CON 6 VALVULAS (REF.001240) VYAIREx Und</v>
          </cell>
          <cell r="E405" t="str">
            <v>VYAIRE</v>
          </cell>
          <cell r="F405" t="str">
            <v/>
          </cell>
          <cell r="G405" t="str">
            <v>MASCARAS TIPO VENTURY</v>
          </cell>
          <cell r="H405" t="str">
            <v/>
          </cell>
          <cell r="I405" t="str">
            <v>BTOX50</v>
          </cell>
          <cell r="J405">
            <v>1</v>
          </cell>
          <cell r="K405">
            <v>1</v>
          </cell>
          <cell r="L405" t="str">
            <v>C</v>
          </cell>
          <cell r="M405">
            <v>261</v>
          </cell>
          <cell r="N405" t="str">
            <v>C</v>
          </cell>
          <cell r="O405">
            <v>217</v>
          </cell>
          <cell r="P405">
            <v>0</v>
          </cell>
          <cell r="Q405">
            <v>41</v>
          </cell>
          <cell r="R405">
            <v>41</v>
          </cell>
          <cell r="S405">
            <v>0</v>
          </cell>
          <cell r="T405">
            <v>20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41</v>
          </cell>
          <cell r="Z405">
            <v>50</v>
          </cell>
          <cell r="AA405">
            <v>108</v>
          </cell>
          <cell r="AB405">
            <v>154.29</v>
          </cell>
          <cell r="AC405">
            <v>0</v>
          </cell>
          <cell r="AD405">
            <v>154.29</v>
          </cell>
          <cell r="AE405">
            <v>0</v>
          </cell>
          <cell r="AF405">
            <v>2.4</v>
          </cell>
          <cell r="AG405">
            <v>0.7</v>
          </cell>
        </row>
        <row r="406">
          <cell r="B406">
            <v>243201304</v>
          </cell>
          <cell r="C406" t="str">
            <v>2444</v>
          </cell>
          <cell r="D406" t="str">
            <v>MICRONEBULIZADOR C/MASCARA PEDIATRICO Marca Vyaire (Ref.002444) x Und</v>
          </cell>
          <cell r="E406" t="str">
            <v>VYAIRE</v>
          </cell>
          <cell r="F406" t="str">
            <v/>
          </cell>
          <cell r="G406" t="str">
            <v/>
          </cell>
          <cell r="H406" t="str">
            <v/>
          </cell>
          <cell r="I406" t="str">
            <v>CJX50</v>
          </cell>
          <cell r="J406">
            <v>1</v>
          </cell>
          <cell r="K406">
            <v>1</v>
          </cell>
          <cell r="L406" t="str">
            <v>C</v>
          </cell>
          <cell r="M406">
            <v>376</v>
          </cell>
          <cell r="N406" t="str">
            <v/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389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50</v>
          </cell>
          <cell r="AA406">
            <v>80.55</v>
          </cell>
          <cell r="AB406">
            <v>115.07</v>
          </cell>
          <cell r="AC406">
            <v>0</v>
          </cell>
          <cell r="AD406">
            <v>115.07</v>
          </cell>
          <cell r="AE406">
            <v>0</v>
          </cell>
          <cell r="AF406">
            <v>1.79</v>
          </cell>
          <cell r="AG406">
            <v>0.7</v>
          </cell>
        </row>
        <row r="407">
          <cell r="B407">
            <v>241950405</v>
          </cell>
          <cell r="C407" t="str">
            <v/>
          </cell>
          <cell r="D407" t="str">
            <v>MONITOR GRADO MEDICO</v>
          </cell>
          <cell r="E407" t="str">
            <v/>
          </cell>
          <cell r="F407" t="str">
            <v>AMPRONIX  REF LCD1980SXIBK</v>
          </cell>
          <cell r="G407" t="str">
            <v/>
          </cell>
          <cell r="H407" t="str">
            <v/>
          </cell>
          <cell r="I407" t="str">
            <v>UND</v>
          </cell>
          <cell r="J407">
            <v>1</v>
          </cell>
          <cell r="K407">
            <v>1</v>
          </cell>
          <cell r="L407" t="str">
            <v/>
          </cell>
          <cell r="M407">
            <v>0</v>
          </cell>
          <cell r="N407" t="str">
            <v/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389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1</v>
          </cell>
          <cell r="AA407">
            <v>45450</v>
          </cell>
          <cell r="AB407">
            <v>69923.08</v>
          </cell>
          <cell r="AC407">
            <v>0</v>
          </cell>
          <cell r="AD407">
            <v>69923.08</v>
          </cell>
          <cell r="AE407">
            <v>0</v>
          </cell>
          <cell r="AF407">
            <v>1010</v>
          </cell>
          <cell r="AG407">
            <v>0.65</v>
          </cell>
        </row>
        <row r="408">
          <cell r="B408">
            <v>243300202</v>
          </cell>
          <cell r="C408" t="str">
            <v/>
          </cell>
          <cell r="D408" t="str">
            <v>MONO PARA CIRUJANO TALLA "XL" Marca MMQ 45Grs. x Und</v>
          </cell>
          <cell r="E408" t="str">
            <v>MMQ</v>
          </cell>
          <cell r="F408" t="str">
            <v/>
          </cell>
          <cell r="G408" t="str">
            <v>LENCERIA MONOS</v>
          </cell>
          <cell r="H408" t="str">
            <v/>
          </cell>
          <cell r="I408" t="str">
            <v>BTOX50</v>
          </cell>
          <cell r="J408">
            <v>1</v>
          </cell>
          <cell r="K408">
            <v>1</v>
          </cell>
          <cell r="L408" t="str">
            <v/>
          </cell>
          <cell r="M408">
            <v>0</v>
          </cell>
          <cell r="N408" t="str">
            <v/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386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500</v>
          </cell>
          <cell r="AA408">
            <v>72</v>
          </cell>
          <cell r="AB408">
            <v>120</v>
          </cell>
          <cell r="AC408">
            <v>0</v>
          </cell>
          <cell r="AD408">
            <v>120</v>
          </cell>
          <cell r="AE408">
            <v>0</v>
          </cell>
          <cell r="AF408">
            <v>1.6</v>
          </cell>
          <cell r="AG408">
            <v>0.6</v>
          </cell>
        </row>
        <row r="409">
          <cell r="B409">
            <v>272100109</v>
          </cell>
          <cell r="C409" t="str">
            <v/>
          </cell>
          <cell r="D409" t="str">
            <v>Medela, Biberón para amamantar al bebé, Transparente x Und</v>
          </cell>
          <cell r="E409" t="str">
            <v>MEDELA</v>
          </cell>
          <cell r="F409" t="str">
            <v/>
          </cell>
          <cell r="G409" t="str">
            <v/>
          </cell>
          <cell r="H409" t="str">
            <v/>
          </cell>
          <cell r="I409" t="str">
            <v/>
          </cell>
          <cell r="J409">
            <v>0</v>
          </cell>
          <cell r="K409">
            <v>0</v>
          </cell>
          <cell r="L409" t="str">
            <v/>
          </cell>
          <cell r="M409">
            <v>0</v>
          </cell>
          <cell r="N409" t="str">
            <v/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389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3</v>
          </cell>
          <cell r="AA409">
            <v>788.76</v>
          </cell>
          <cell r="AB409">
            <v>985.95</v>
          </cell>
          <cell r="AC409">
            <v>0</v>
          </cell>
          <cell r="AD409">
            <v>985.95</v>
          </cell>
          <cell r="AE409">
            <v>0</v>
          </cell>
          <cell r="AF409">
            <v>17.527999999999999</v>
          </cell>
          <cell r="AG409">
            <v>0.8</v>
          </cell>
        </row>
        <row r="410">
          <cell r="B410">
            <v>243050106</v>
          </cell>
          <cell r="C410" t="str">
            <v/>
          </cell>
          <cell r="D410" t="str">
            <v>NARIZ ARTIFICIAL (Airlife) Marca Cardenal Health Ref. 4883003 x Und</v>
          </cell>
          <cell r="E410" t="str">
            <v>CARDINAL HEALTH</v>
          </cell>
          <cell r="F410" t="str">
            <v/>
          </cell>
          <cell r="G410" t="str">
            <v/>
          </cell>
          <cell r="H410" t="str">
            <v/>
          </cell>
          <cell r="I410" t="str">
            <v>CJX20</v>
          </cell>
          <cell r="J410">
            <v>1</v>
          </cell>
          <cell r="K410">
            <v>1</v>
          </cell>
          <cell r="L410" t="str">
            <v/>
          </cell>
          <cell r="M410">
            <v>0</v>
          </cell>
          <cell r="N410" t="str">
            <v/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389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100</v>
          </cell>
          <cell r="AA410">
            <v>130.5</v>
          </cell>
          <cell r="AB410">
            <v>217.5</v>
          </cell>
          <cell r="AC410">
            <v>0</v>
          </cell>
          <cell r="AD410">
            <v>217.5</v>
          </cell>
          <cell r="AE410">
            <v>0</v>
          </cell>
          <cell r="AF410">
            <v>2.9</v>
          </cell>
          <cell r="AG410">
            <v>0.6</v>
          </cell>
        </row>
        <row r="411">
          <cell r="B411">
            <v>252300504</v>
          </cell>
          <cell r="C411" t="str">
            <v>30-060</v>
          </cell>
          <cell r="D411" t="str">
            <v>NEURO SPONGES (COTONOIDE) 1" x 3" (SOBRE x 10 Unds.)  Marca De Royal</v>
          </cell>
          <cell r="E411" t="str">
            <v>DE ROYAL</v>
          </cell>
          <cell r="F411" t="str">
            <v/>
          </cell>
          <cell r="G411" t="str">
            <v>COMPRESAS COTONOIDE</v>
          </cell>
          <cell r="H411" t="str">
            <v/>
          </cell>
          <cell r="I411" t="str">
            <v>CJX10</v>
          </cell>
          <cell r="J411">
            <v>1</v>
          </cell>
          <cell r="K411">
            <v>1</v>
          </cell>
          <cell r="L411" t="str">
            <v/>
          </cell>
          <cell r="M411">
            <v>0</v>
          </cell>
          <cell r="N411" t="str">
            <v/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389</v>
          </cell>
          <cell r="U411">
            <v>0</v>
          </cell>
          <cell r="V411">
            <v>0</v>
          </cell>
          <cell r="W411">
            <v>20</v>
          </cell>
          <cell r="X411">
            <v>0</v>
          </cell>
          <cell r="Y411">
            <v>20</v>
          </cell>
          <cell r="Z411">
            <v>20</v>
          </cell>
          <cell r="AA411">
            <v>576.24300000000005</v>
          </cell>
          <cell r="AB411">
            <v>768.33</v>
          </cell>
          <cell r="AC411">
            <v>0</v>
          </cell>
          <cell r="AD411">
            <v>768.33</v>
          </cell>
          <cell r="AE411">
            <v>0</v>
          </cell>
          <cell r="AF411">
            <v>12.805400000000001</v>
          </cell>
          <cell r="AG411">
            <v>0.75</v>
          </cell>
        </row>
        <row r="412">
          <cell r="B412">
            <v>252300501</v>
          </cell>
          <cell r="C412" t="str">
            <v>30-054</v>
          </cell>
          <cell r="D412" t="str">
            <v>NEURO SPONGES (COTONOIDE) 1/2" x 1/2" (SOBRE x 10 Unds.)  Marca De Royal</v>
          </cell>
          <cell r="E412" t="str">
            <v>DE ROYAL</v>
          </cell>
          <cell r="F412" t="str">
            <v/>
          </cell>
          <cell r="G412" t="str">
            <v>COMPRESAS COTONOIDE</v>
          </cell>
          <cell r="H412" t="str">
            <v/>
          </cell>
          <cell r="I412" t="str">
            <v>CJX10</v>
          </cell>
          <cell r="J412">
            <v>1</v>
          </cell>
          <cell r="K412">
            <v>1</v>
          </cell>
          <cell r="L412" t="str">
            <v/>
          </cell>
          <cell r="M412">
            <v>0</v>
          </cell>
          <cell r="N412" t="str">
            <v/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389</v>
          </cell>
          <cell r="U412">
            <v>0</v>
          </cell>
          <cell r="V412">
            <v>0</v>
          </cell>
          <cell r="W412">
            <v>5</v>
          </cell>
          <cell r="X412">
            <v>0</v>
          </cell>
          <cell r="Y412">
            <v>0</v>
          </cell>
          <cell r="Z412">
            <v>9</v>
          </cell>
          <cell r="AA412">
            <v>537.03899999999999</v>
          </cell>
          <cell r="AB412">
            <v>716.05</v>
          </cell>
          <cell r="AC412">
            <v>0</v>
          </cell>
          <cell r="AD412">
            <v>716.05</v>
          </cell>
          <cell r="AE412">
            <v>0</v>
          </cell>
          <cell r="AF412">
            <v>11.934200000000001</v>
          </cell>
          <cell r="AG412">
            <v>0.75</v>
          </cell>
        </row>
        <row r="413">
          <cell r="B413">
            <v>252300502</v>
          </cell>
          <cell r="C413" t="str">
            <v/>
          </cell>
          <cell r="D413" t="str">
            <v>NEURO SPONGES (COTONOIDE) 3" x 3" (SOBRE x 10 Unds.) Marca De Royal</v>
          </cell>
          <cell r="E413" t="str">
            <v>DE ROYAL</v>
          </cell>
          <cell r="F413" t="str">
            <v/>
          </cell>
          <cell r="G413" t="str">
            <v>COMPRESAS COTONOIDE</v>
          </cell>
          <cell r="H413" t="str">
            <v/>
          </cell>
          <cell r="I413" t="str">
            <v>CJX10</v>
          </cell>
          <cell r="J413">
            <v>1</v>
          </cell>
          <cell r="K413">
            <v>1</v>
          </cell>
          <cell r="L413" t="str">
            <v>C</v>
          </cell>
          <cell r="M413">
            <v>204</v>
          </cell>
          <cell r="N413" t="str">
            <v>C</v>
          </cell>
          <cell r="O413">
            <v>256</v>
          </cell>
          <cell r="P413">
            <v>0</v>
          </cell>
          <cell r="Q413">
            <v>2</v>
          </cell>
          <cell r="R413">
            <v>2</v>
          </cell>
          <cell r="S413">
            <v>0</v>
          </cell>
          <cell r="T413">
            <v>11</v>
          </cell>
          <cell r="U413">
            <v>0</v>
          </cell>
          <cell r="V413">
            <v>0</v>
          </cell>
          <cell r="W413">
            <v>26</v>
          </cell>
          <cell r="X413">
            <v>0</v>
          </cell>
          <cell r="Y413">
            <v>2</v>
          </cell>
          <cell r="Z413">
            <v>15</v>
          </cell>
          <cell r="AA413">
            <v>295.2</v>
          </cell>
          <cell r="AB413">
            <v>454.15</v>
          </cell>
          <cell r="AC413">
            <v>0</v>
          </cell>
          <cell r="AD413">
            <v>454.15</v>
          </cell>
          <cell r="AE413">
            <v>0</v>
          </cell>
          <cell r="AF413">
            <v>6.56</v>
          </cell>
          <cell r="AG413">
            <v>0.65</v>
          </cell>
        </row>
        <row r="414">
          <cell r="B414">
            <v>250450401</v>
          </cell>
          <cell r="C414" t="str">
            <v/>
          </cell>
          <cell r="D414" t="str">
            <v>NEVERA DE MEDICAMENTOS</v>
          </cell>
          <cell r="E414" t="str">
            <v/>
          </cell>
          <cell r="F414" t="str">
            <v/>
          </cell>
          <cell r="G414" t="str">
            <v/>
          </cell>
          <cell r="H414" t="str">
            <v/>
          </cell>
          <cell r="I414" t="str">
            <v>UND</v>
          </cell>
          <cell r="J414">
            <v>1</v>
          </cell>
          <cell r="K414">
            <v>1</v>
          </cell>
          <cell r="L414" t="str">
            <v/>
          </cell>
          <cell r="M414">
            <v>0</v>
          </cell>
          <cell r="N414" t="str">
            <v/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389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1</v>
          </cell>
          <cell r="AA414">
            <v>69131.25</v>
          </cell>
          <cell r="AB414">
            <v>87752.29</v>
          </cell>
          <cell r="AC414">
            <v>0</v>
          </cell>
          <cell r="AD414">
            <v>87752.29</v>
          </cell>
          <cell r="AE414">
            <v>0</v>
          </cell>
          <cell r="AF414">
            <v>1536.25</v>
          </cell>
          <cell r="AG414">
            <v>0.78780000000000006</v>
          </cell>
        </row>
        <row r="415">
          <cell r="B415">
            <v>272100110</v>
          </cell>
          <cell r="C415" t="str">
            <v/>
          </cell>
          <cell r="D415" t="str">
            <v>Nanobebe - Chupetes para bebés 0 a 3 meses x Und</v>
          </cell>
          <cell r="E415" t="str">
            <v>NANOBEBE</v>
          </cell>
          <cell r="F415" t="str">
            <v/>
          </cell>
          <cell r="G415" t="str">
            <v/>
          </cell>
          <cell r="H415" t="str">
            <v/>
          </cell>
          <cell r="I415" t="str">
            <v/>
          </cell>
          <cell r="J415">
            <v>0</v>
          </cell>
          <cell r="K415">
            <v>0</v>
          </cell>
          <cell r="L415" t="str">
            <v/>
          </cell>
          <cell r="M415">
            <v>0</v>
          </cell>
          <cell r="N415" t="str">
            <v/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389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6</v>
          </cell>
          <cell r="AA415">
            <v>241.2</v>
          </cell>
          <cell r="AB415">
            <v>301.5</v>
          </cell>
          <cell r="AC415">
            <v>0</v>
          </cell>
          <cell r="AD415">
            <v>301.5</v>
          </cell>
          <cell r="AE415">
            <v>0</v>
          </cell>
          <cell r="AF415">
            <v>5.36</v>
          </cell>
          <cell r="AG415">
            <v>0.8</v>
          </cell>
        </row>
        <row r="416">
          <cell r="B416">
            <v>240350111</v>
          </cell>
          <cell r="C416" t="str">
            <v/>
          </cell>
          <cell r="D416" t="str">
            <v>PAPEL POLIPROPILENO 1.01 x 1.01 (50 GR. SSMMS ) Marca MMQ x Und</v>
          </cell>
          <cell r="E416" t="str">
            <v>MEDIC-ART</v>
          </cell>
          <cell r="F416" t="str">
            <v/>
          </cell>
          <cell r="G416" t="str">
            <v>ESTERILIZACIÓN PAPEL DE POLIPROPILENO</v>
          </cell>
          <cell r="H416" t="str">
            <v/>
          </cell>
          <cell r="I416" t="str">
            <v>CJX200</v>
          </cell>
          <cell r="J416">
            <v>1</v>
          </cell>
          <cell r="K416">
            <v>1</v>
          </cell>
          <cell r="L416" t="str">
            <v>C</v>
          </cell>
          <cell r="M416">
            <v>342</v>
          </cell>
          <cell r="N416" t="str">
            <v/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58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5600</v>
          </cell>
          <cell r="AA416">
            <v>36</v>
          </cell>
          <cell r="AB416">
            <v>60</v>
          </cell>
          <cell r="AC416">
            <v>0</v>
          </cell>
          <cell r="AD416">
            <v>60</v>
          </cell>
          <cell r="AE416">
            <v>0</v>
          </cell>
          <cell r="AF416">
            <v>0.8</v>
          </cell>
          <cell r="AG416">
            <v>0.6</v>
          </cell>
        </row>
        <row r="417">
          <cell r="B417">
            <v>272100139</v>
          </cell>
          <cell r="C417" t="str">
            <v/>
          </cell>
          <cell r="D417" t="str">
            <v>PERCHERO INFANTIL</v>
          </cell>
          <cell r="E417" t="str">
            <v/>
          </cell>
          <cell r="F417" t="str">
            <v/>
          </cell>
          <cell r="G417" t="str">
            <v/>
          </cell>
          <cell r="H417" t="str">
            <v/>
          </cell>
          <cell r="I417" t="str">
            <v>UND</v>
          </cell>
          <cell r="J417">
            <v>0</v>
          </cell>
          <cell r="K417">
            <v>0</v>
          </cell>
          <cell r="L417" t="str">
            <v/>
          </cell>
          <cell r="M417">
            <v>0</v>
          </cell>
          <cell r="N417" t="str">
            <v/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386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1</v>
          </cell>
          <cell r="AA417">
            <v>7560</v>
          </cell>
          <cell r="AB417">
            <v>10800</v>
          </cell>
          <cell r="AC417">
            <v>0</v>
          </cell>
          <cell r="AD417">
            <v>10800</v>
          </cell>
          <cell r="AE417">
            <v>0</v>
          </cell>
          <cell r="AF417">
            <v>168</v>
          </cell>
          <cell r="AG417">
            <v>0.7</v>
          </cell>
        </row>
        <row r="418">
          <cell r="B418">
            <v>292250202</v>
          </cell>
          <cell r="C418" t="str">
            <v>292250202</v>
          </cell>
          <cell r="D418" t="str">
            <v>PROTECTOR DE YESO PARA 1/2 BRAZO x 3 Unds Marca Waterproof Ref 292250202</v>
          </cell>
          <cell r="E418" t="str">
            <v>WATERPROFF</v>
          </cell>
          <cell r="F418" t="str">
            <v>Protector Yeso</v>
          </cell>
          <cell r="G418" t="str">
            <v/>
          </cell>
          <cell r="H418" t="str">
            <v/>
          </cell>
          <cell r="I418" t="str">
            <v>UND</v>
          </cell>
          <cell r="J418">
            <v>1</v>
          </cell>
          <cell r="K418">
            <v>1</v>
          </cell>
          <cell r="L418" t="str">
            <v/>
          </cell>
          <cell r="M418">
            <v>0</v>
          </cell>
          <cell r="N418" t="str">
            <v/>
          </cell>
          <cell r="O418">
            <v>0</v>
          </cell>
          <cell r="P418">
            <v>0</v>
          </cell>
          <cell r="Q418">
            <v>3</v>
          </cell>
          <cell r="R418">
            <v>3</v>
          </cell>
          <cell r="S418">
            <v>0</v>
          </cell>
          <cell r="T418">
            <v>369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3</v>
          </cell>
          <cell r="Z418">
            <v>17</v>
          </cell>
          <cell r="AA418">
            <v>382.5</v>
          </cell>
          <cell r="AB418">
            <v>695.45</v>
          </cell>
          <cell r="AC418">
            <v>0</v>
          </cell>
          <cell r="AD418">
            <v>695.45</v>
          </cell>
          <cell r="AE418">
            <v>0</v>
          </cell>
          <cell r="AF418">
            <v>8.5</v>
          </cell>
          <cell r="AG418">
            <v>0.55000000000000004</v>
          </cell>
        </row>
        <row r="419">
          <cell r="B419">
            <v>241250704</v>
          </cell>
          <cell r="C419" t="str">
            <v/>
          </cell>
          <cell r="D419" t="str">
            <v>PUNTA P/ELECTROBISTURI.COLORADO MOD.N104A x Und</v>
          </cell>
          <cell r="E419" t="str">
            <v>STRYKER</v>
          </cell>
          <cell r="F419" t="str">
            <v/>
          </cell>
          <cell r="G419" t="str">
            <v/>
          </cell>
          <cell r="H419" t="str">
            <v/>
          </cell>
          <cell r="I419" t="str">
            <v>UND</v>
          </cell>
          <cell r="J419">
            <v>1</v>
          </cell>
          <cell r="K419">
            <v>1</v>
          </cell>
          <cell r="L419" t="str">
            <v/>
          </cell>
          <cell r="M419">
            <v>0</v>
          </cell>
          <cell r="N419" t="str">
            <v/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387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6</v>
          </cell>
          <cell r="AA419">
            <v>5340.15</v>
          </cell>
          <cell r="AB419">
            <v>16687.97</v>
          </cell>
          <cell r="AC419">
            <v>0</v>
          </cell>
          <cell r="AD419">
            <v>16687.97</v>
          </cell>
          <cell r="AE419">
            <v>0</v>
          </cell>
          <cell r="AF419">
            <v>118.67</v>
          </cell>
          <cell r="AG419">
            <v>0.32</v>
          </cell>
        </row>
        <row r="420">
          <cell r="B420">
            <v>272100111</v>
          </cell>
          <cell r="C420" t="str">
            <v/>
          </cell>
          <cell r="D420" t="str">
            <v>Paños de Muselina grandes de 20 x 10 pulgadas para eructos x Und</v>
          </cell>
          <cell r="E420" t="str">
            <v>MUSELINA</v>
          </cell>
          <cell r="F420" t="str">
            <v/>
          </cell>
          <cell r="G420" t="str">
            <v/>
          </cell>
          <cell r="H420" t="str">
            <v/>
          </cell>
          <cell r="I420" t="str">
            <v/>
          </cell>
          <cell r="J420">
            <v>0</v>
          </cell>
          <cell r="K420">
            <v>0</v>
          </cell>
          <cell r="L420" t="str">
            <v/>
          </cell>
          <cell r="M420">
            <v>0</v>
          </cell>
          <cell r="N420" t="str">
            <v/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389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12</v>
          </cell>
          <cell r="AA420">
            <v>536.76</v>
          </cell>
          <cell r="AB420">
            <v>670.95</v>
          </cell>
          <cell r="AC420">
            <v>0</v>
          </cell>
          <cell r="AD420">
            <v>670.95</v>
          </cell>
          <cell r="AE420">
            <v>0</v>
          </cell>
          <cell r="AF420">
            <v>11.928000000000001</v>
          </cell>
          <cell r="AG420">
            <v>0.8</v>
          </cell>
        </row>
        <row r="421">
          <cell r="B421">
            <v>272100113</v>
          </cell>
          <cell r="C421" t="str">
            <v/>
          </cell>
          <cell r="D421" t="str">
            <v>Philips AVENT - Chupete, 0-3 meses, 6-18 meses Azul/Verde Paq x 2</v>
          </cell>
          <cell r="E421" t="str">
            <v>PHILIPS AVENT</v>
          </cell>
          <cell r="F421" t="str">
            <v/>
          </cell>
          <cell r="G421" t="str">
            <v/>
          </cell>
          <cell r="H421" t="str">
            <v/>
          </cell>
          <cell r="I421" t="str">
            <v/>
          </cell>
          <cell r="J421">
            <v>0</v>
          </cell>
          <cell r="K421">
            <v>0</v>
          </cell>
          <cell r="L421" t="str">
            <v/>
          </cell>
          <cell r="M421">
            <v>0</v>
          </cell>
          <cell r="N421" t="str">
            <v/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389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6</v>
          </cell>
          <cell r="AA421">
            <v>357.84</v>
          </cell>
          <cell r="AB421">
            <v>447.3</v>
          </cell>
          <cell r="AC421">
            <v>0</v>
          </cell>
          <cell r="AD421">
            <v>447.3</v>
          </cell>
          <cell r="AE421">
            <v>0</v>
          </cell>
          <cell r="AF421">
            <v>7.952</v>
          </cell>
          <cell r="AG421">
            <v>0.8</v>
          </cell>
        </row>
        <row r="422">
          <cell r="B422">
            <v>272100114</v>
          </cell>
          <cell r="C422" t="str">
            <v/>
          </cell>
          <cell r="D422" t="str">
            <v>Philips AVENT Biberón anticólico c/ ventilación s/aire 4 Oz Transp SCY701/91 x Und</v>
          </cell>
          <cell r="E422" t="str">
            <v>PHILIPS AVENT</v>
          </cell>
          <cell r="F422" t="str">
            <v/>
          </cell>
          <cell r="G422" t="str">
            <v/>
          </cell>
          <cell r="H422" t="str">
            <v/>
          </cell>
          <cell r="I422" t="str">
            <v/>
          </cell>
          <cell r="J422">
            <v>0</v>
          </cell>
          <cell r="K422">
            <v>0</v>
          </cell>
          <cell r="L422" t="str">
            <v/>
          </cell>
          <cell r="M422">
            <v>0</v>
          </cell>
          <cell r="N422" t="str">
            <v/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389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6</v>
          </cell>
          <cell r="AA422">
            <v>483.12</v>
          </cell>
          <cell r="AB422">
            <v>603.9</v>
          </cell>
          <cell r="AC422">
            <v>0</v>
          </cell>
          <cell r="AD422">
            <v>603.9</v>
          </cell>
          <cell r="AE422">
            <v>0</v>
          </cell>
          <cell r="AF422">
            <v>10.736000000000001</v>
          </cell>
          <cell r="AG422">
            <v>0.8</v>
          </cell>
        </row>
        <row r="423">
          <cell r="B423">
            <v>272100151</v>
          </cell>
          <cell r="C423" t="str">
            <v/>
          </cell>
          <cell r="D423" t="str">
            <v>Philips AVENT Chupete Ultra Air de 6 a 18 meses, ballena/estrella de mar, paquete de 2, SCF085</v>
          </cell>
          <cell r="E423" t="str">
            <v/>
          </cell>
          <cell r="F423" t="str">
            <v/>
          </cell>
          <cell r="G423" t="str">
            <v/>
          </cell>
          <cell r="H423" t="str">
            <v/>
          </cell>
          <cell r="I423" t="str">
            <v>UND</v>
          </cell>
          <cell r="J423">
            <v>1</v>
          </cell>
          <cell r="K423">
            <v>1</v>
          </cell>
          <cell r="L423" t="str">
            <v/>
          </cell>
          <cell r="M423">
            <v>0</v>
          </cell>
          <cell r="N423" t="str">
            <v/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389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6</v>
          </cell>
          <cell r="AA423">
            <v>375.79500000000002</v>
          </cell>
          <cell r="AB423">
            <v>536.85</v>
          </cell>
          <cell r="AC423">
            <v>0</v>
          </cell>
          <cell r="AD423">
            <v>536.85</v>
          </cell>
          <cell r="AE423">
            <v>0</v>
          </cell>
          <cell r="AF423">
            <v>8.3510000000000009</v>
          </cell>
          <cell r="AG423">
            <v>0.7</v>
          </cell>
        </row>
        <row r="424">
          <cell r="B424">
            <v>272100112</v>
          </cell>
          <cell r="C424" t="str">
            <v/>
          </cell>
          <cell r="D424" t="str">
            <v>Philips AVENT- Biberón anticólicos c/ventilación AirFree 266ml Transp SCY703/91</v>
          </cell>
          <cell r="E424" t="str">
            <v>PHILIPS AVENT</v>
          </cell>
          <cell r="F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>
            <v>0</v>
          </cell>
          <cell r="K424">
            <v>0</v>
          </cell>
          <cell r="L424" t="str">
            <v/>
          </cell>
          <cell r="M424">
            <v>0</v>
          </cell>
          <cell r="N424" t="str">
            <v/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389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6</v>
          </cell>
          <cell r="AA424">
            <v>483.12</v>
          </cell>
          <cell r="AB424">
            <v>603.9</v>
          </cell>
          <cell r="AC424">
            <v>0</v>
          </cell>
          <cell r="AD424">
            <v>603.9</v>
          </cell>
          <cell r="AE424">
            <v>0</v>
          </cell>
          <cell r="AF424">
            <v>10.736000000000001</v>
          </cell>
          <cell r="AG424">
            <v>0.8</v>
          </cell>
        </row>
        <row r="425">
          <cell r="B425">
            <v>272100115</v>
          </cell>
          <cell r="C425" t="str">
            <v/>
          </cell>
          <cell r="D425" t="str">
            <v>Philips Avent Biberón anticólico Flow 1 pezón, 2 unidades, SCY761/02</v>
          </cell>
          <cell r="E425" t="str">
            <v>PHILIPS AVENT</v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>
            <v>0</v>
          </cell>
          <cell r="K425">
            <v>0</v>
          </cell>
          <cell r="L425" t="str">
            <v/>
          </cell>
          <cell r="M425">
            <v>0</v>
          </cell>
          <cell r="N425" t="str">
            <v/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389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6</v>
          </cell>
          <cell r="AA425">
            <v>321.83999999999997</v>
          </cell>
          <cell r="AB425">
            <v>402.3</v>
          </cell>
          <cell r="AC425">
            <v>0</v>
          </cell>
          <cell r="AD425">
            <v>402.3</v>
          </cell>
          <cell r="AE425">
            <v>0</v>
          </cell>
          <cell r="AF425">
            <v>7.1520000000000001</v>
          </cell>
          <cell r="AG425">
            <v>0.8</v>
          </cell>
        </row>
        <row r="426">
          <cell r="B426">
            <v>272100116</v>
          </cell>
          <cell r="C426" t="str">
            <v/>
          </cell>
          <cell r="D426" t="str">
            <v>Philips Avent Esterilizador SCF291/00 xUnd</v>
          </cell>
          <cell r="E426" t="str">
            <v>PHILIPS AVENT</v>
          </cell>
          <cell r="F426" t="str">
            <v/>
          </cell>
          <cell r="G426" t="str">
            <v/>
          </cell>
          <cell r="H426" t="str">
            <v/>
          </cell>
          <cell r="I426" t="str">
            <v/>
          </cell>
          <cell r="J426">
            <v>0</v>
          </cell>
          <cell r="K426">
            <v>0</v>
          </cell>
          <cell r="L426" t="str">
            <v/>
          </cell>
          <cell r="M426">
            <v>0</v>
          </cell>
          <cell r="N426" t="str">
            <v/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389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3</v>
          </cell>
          <cell r="AA426">
            <v>3760.56</v>
          </cell>
          <cell r="AB426">
            <v>4700.7</v>
          </cell>
          <cell r="AC426">
            <v>0</v>
          </cell>
          <cell r="AD426">
            <v>4700.7</v>
          </cell>
          <cell r="AE426">
            <v>0</v>
          </cell>
          <cell r="AF426">
            <v>83.567999999999998</v>
          </cell>
          <cell r="AG426">
            <v>0.8</v>
          </cell>
        </row>
        <row r="427">
          <cell r="B427">
            <v>272100152</v>
          </cell>
          <cell r="C427" t="str">
            <v/>
          </cell>
          <cell r="D427" t="str">
            <v>Philips Avent Tetina anticólico Flow 2 pezones, 2 unidades,</v>
          </cell>
          <cell r="E427" t="str">
            <v/>
          </cell>
          <cell r="F427" t="str">
            <v/>
          </cell>
          <cell r="G427" t="str">
            <v/>
          </cell>
          <cell r="H427" t="str">
            <v/>
          </cell>
          <cell r="I427" t="str">
            <v>UND</v>
          </cell>
          <cell r="J427">
            <v>1</v>
          </cell>
          <cell r="K427">
            <v>1</v>
          </cell>
          <cell r="L427" t="str">
            <v/>
          </cell>
          <cell r="M427">
            <v>0</v>
          </cell>
          <cell r="N427" t="str">
            <v/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389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5</v>
          </cell>
          <cell r="AA427">
            <v>281.61</v>
          </cell>
          <cell r="AB427">
            <v>402.3</v>
          </cell>
          <cell r="AC427">
            <v>0</v>
          </cell>
          <cell r="AD427">
            <v>402.3</v>
          </cell>
          <cell r="AE427">
            <v>0</v>
          </cell>
          <cell r="AF427">
            <v>6.258</v>
          </cell>
          <cell r="AG427">
            <v>0.7</v>
          </cell>
        </row>
        <row r="428">
          <cell r="B428">
            <v>241260903</v>
          </cell>
          <cell r="C428" t="str">
            <v/>
          </cell>
          <cell r="D428" t="str">
            <v>RECOLECTOR DE ORINA 2000cc (Cystoflo) Marca Grossmed x Und</v>
          </cell>
          <cell r="E428" t="str">
            <v>GROSSMED</v>
          </cell>
          <cell r="F428" t="str">
            <v/>
          </cell>
          <cell r="G428" t="str">
            <v/>
          </cell>
          <cell r="H428" t="str">
            <v/>
          </cell>
          <cell r="I428" t="str">
            <v>CJX10</v>
          </cell>
          <cell r="J428">
            <v>1</v>
          </cell>
          <cell r="K428">
            <v>1</v>
          </cell>
          <cell r="L428" t="str">
            <v>C</v>
          </cell>
          <cell r="M428">
            <v>65</v>
          </cell>
          <cell r="N428" t="str">
            <v/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280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130</v>
          </cell>
          <cell r="AA428">
            <v>14.4</v>
          </cell>
          <cell r="AB428">
            <v>18</v>
          </cell>
          <cell r="AC428">
            <v>0</v>
          </cell>
          <cell r="AD428">
            <v>18</v>
          </cell>
          <cell r="AE428">
            <v>0</v>
          </cell>
          <cell r="AF428">
            <v>0.32</v>
          </cell>
          <cell r="AG428">
            <v>0.8</v>
          </cell>
        </row>
        <row r="429">
          <cell r="B429">
            <v>262000901</v>
          </cell>
          <cell r="C429" t="str">
            <v/>
          </cell>
          <cell r="D429" t="str">
            <v>REGULADOR DE FLUJO (CUENTA GOTAS) Mc Medical x Und./\Presentacion Bulto x 50 Unds.</v>
          </cell>
          <cell r="E429" t="str">
            <v>MC MEDICAL</v>
          </cell>
          <cell r="F429" t="str">
            <v/>
          </cell>
          <cell r="G429" t="str">
            <v/>
          </cell>
          <cell r="H429" t="str">
            <v/>
          </cell>
          <cell r="I429" t="str">
            <v>UND</v>
          </cell>
          <cell r="J429">
            <v>1</v>
          </cell>
          <cell r="K429">
            <v>1</v>
          </cell>
          <cell r="L429" t="str">
            <v/>
          </cell>
          <cell r="M429">
            <v>0</v>
          </cell>
          <cell r="N429" t="str">
            <v/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387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90</v>
          </cell>
          <cell r="AA429">
            <v>45</v>
          </cell>
          <cell r="AB429">
            <v>69.23</v>
          </cell>
          <cell r="AC429">
            <v>0</v>
          </cell>
          <cell r="AD429">
            <v>69.23</v>
          </cell>
          <cell r="AE429">
            <v>0</v>
          </cell>
          <cell r="AF429">
            <v>1</v>
          </cell>
          <cell r="AG429">
            <v>0.65</v>
          </cell>
        </row>
        <row r="430">
          <cell r="B430">
            <v>250450810</v>
          </cell>
          <cell r="C430" t="str">
            <v/>
          </cell>
          <cell r="D430" t="str">
            <v>RINGER LACTATO 500ML - MARCA BAXTER x Und</v>
          </cell>
          <cell r="E430" t="str">
            <v>BAXTER</v>
          </cell>
          <cell r="F430" t="str">
            <v/>
          </cell>
          <cell r="G430" t="str">
            <v/>
          </cell>
          <cell r="H430" t="str">
            <v/>
          </cell>
          <cell r="I430" t="str">
            <v>CJX40</v>
          </cell>
          <cell r="J430">
            <v>40</v>
          </cell>
          <cell r="K430">
            <v>1</v>
          </cell>
          <cell r="L430" t="str">
            <v/>
          </cell>
          <cell r="M430">
            <v>0</v>
          </cell>
          <cell r="N430" t="str">
            <v/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389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800</v>
          </cell>
          <cell r="AA430">
            <v>127.35</v>
          </cell>
          <cell r="AB430">
            <v>159.19</v>
          </cell>
          <cell r="AC430">
            <v>0</v>
          </cell>
          <cell r="AD430">
            <v>159.19</v>
          </cell>
          <cell r="AE430">
            <v>0</v>
          </cell>
          <cell r="AF430">
            <v>2.83</v>
          </cell>
          <cell r="AG430">
            <v>0.8</v>
          </cell>
        </row>
        <row r="431">
          <cell r="B431">
            <v>272100117</v>
          </cell>
          <cell r="C431" t="str">
            <v/>
          </cell>
          <cell r="D431" t="str">
            <v>RaZbaby Comedero de frutas para bebés x Und</v>
          </cell>
          <cell r="E431" t="str">
            <v>RAZBABY</v>
          </cell>
          <cell r="F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>
            <v>0</v>
          </cell>
          <cell r="K431">
            <v>0</v>
          </cell>
          <cell r="L431" t="str">
            <v/>
          </cell>
          <cell r="M431">
            <v>0</v>
          </cell>
          <cell r="N431" t="str">
            <v/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389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6</v>
          </cell>
          <cell r="AA431">
            <v>364.32</v>
          </cell>
          <cell r="AB431">
            <v>455.4</v>
          </cell>
          <cell r="AC431">
            <v>0</v>
          </cell>
          <cell r="AD431">
            <v>455.4</v>
          </cell>
          <cell r="AE431">
            <v>0</v>
          </cell>
          <cell r="AF431">
            <v>8.0960000000000001</v>
          </cell>
          <cell r="AG431">
            <v>0.8</v>
          </cell>
        </row>
        <row r="432">
          <cell r="B432">
            <v>250100304</v>
          </cell>
          <cell r="C432" t="str">
            <v/>
          </cell>
          <cell r="D432" t="str">
            <v>SABANA DE CAMILLA 35Grs. SMS ( 1 x 1.80 ) Marca SANIPAD x Und</v>
          </cell>
          <cell r="E432" t="str">
            <v>SANIPAD</v>
          </cell>
          <cell r="F432" t="str">
            <v/>
          </cell>
          <cell r="G432" t="str">
            <v>LENCERIA SABANAS DE CAMILLA</v>
          </cell>
          <cell r="H432" t="str">
            <v/>
          </cell>
          <cell r="I432" t="str">
            <v>CJX120</v>
          </cell>
          <cell r="J432">
            <v>1</v>
          </cell>
          <cell r="K432">
            <v>1</v>
          </cell>
          <cell r="L432" t="str">
            <v/>
          </cell>
          <cell r="M432">
            <v>0</v>
          </cell>
          <cell r="N432" t="str">
            <v/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387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9900</v>
          </cell>
          <cell r="AA432">
            <v>27.45</v>
          </cell>
          <cell r="AB432">
            <v>42.23</v>
          </cell>
          <cell r="AC432">
            <v>0</v>
          </cell>
          <cell r="AD432">
            <v>42.23</v>
          </cell>
          <cell r="AE432">
            <v>0</v>
          </cell>
          <cell r="AF432">
            <v>0.61</v>
          </cell>
          <cell r="AG432">
            <v>0.65</v>
          </cell>
        </row>
        <row r="433">
          <cell r="B433" t="str">
            <v>FAR892063</v>
          </cell>
          <cell r="C433" t="str">
            <v>892063</v>
          </cell>
          <cell r="D433" t="str">
            <v>SILVERMED 10 cm x 10 cm. (Apósito de Plata) x 5 Unds. Ref 892063</v>
          </cell>
          <cell r="E433" t="str">
            <v>EUROFARM</v>
          </cell>
          <cell r="F433" t="str">
            <v>Aposito de Plata</v>
          </cell>
          <cell r="G433" t="str">
            <v>CUIDADO DE HERIDAS</v>
          </cell>
          <cell r="H433" t="str">
            <v>47</v>
          </cell>
          <cell r="I433" t="str">
            <v>CJX5</v>
          </cell>
          <cell r="J433">
            <v>1</v>
          </cell>
          <cell r="K433">
            <v>0</v>
          </cell>
          <cell r="L433" t="str">
            <v>C</v>
          </cell>
          <cell r="M433">
            <v>346</v>
          </cell>
          <cell r="N433" t="str">
            <v/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340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360</v>
          </cell>
          <cell r="AA433">
            <v>191.83500000000001</v>
          </cell>
          <cell r="AB433">
            <v>348.79</v>
          </cell>
          <cell r="AC433">
            <v>0</v>
          </cell>
          <cell r="AD433">
            <v>348.79</v>
          </cell>
          <cell r="AE433">
            <v>0</v>
          </cell>
          <cell r="AF433">
            <v>4.2629999999999999</v>
          </cell>
          <cell r="AG433">
            <v>0.55000000000000004</v>
          </cell>
        </row>
        <row r="434">
          <cell r="B434" t="str">
            <v>FAR892066</v>
          </cell>
          <cell r="C434" t="str">
            <v>892066</v>
          </cell>
          <cell r="D434" t="str">
            <v>SILVERMED 10 cm x 20 cm. (Apósito de Plata) x 3 Unds. Ref 892066</v>
          </cell>
          <cell r="E434" t="str">
            <v>EUROFARM</v>
          </cell>
          <cell r="F434" t="str">
            <v>Aposito de Plata</v>
          </cell>
          <cell r="G434" t="str">
            <v>CUIDADO DE HERIDAS</v>
          </cell>
          <cell r="H434" t="str">
            <v/>
          </cell>
          <cell r="I434" t="str">
            <v>CJX3</v>
          </cell>
          <cell r="J434">
            <v>1</v>
          </cell>
          <cell r="K434">
            <v>1</v>
          </cell>
          <cell r="L434" t="str">
            <v>C</v>
          </cell>
          <cell r="M434">
            <v>347</v>
          </cell>
          <cell r="N434" t="str">
            <v/>
          </cell>
          <cell r="O434">
            <v>0</v>
          </cell>
          <cell r="P434">
            <v>0</v>
          </cell>
          <cell r="Q434">
            <v>31</v>
          </cell>
          <cell r="R434">
            <v>31</v>
          </cell>
          <cell r="S434">
            <v>0</v>
          </cell>
          <cell r="T434">
            <v>365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31</v>
          </cell>
          <cell r="Z434">
            <v>31</v>
          </cell>
          <cell r="AA434">
            <v>216.58500000000001</v>
          </cell>
          <cell r="AB434">
            <v>393.79</v>
          </cell>
          <cell r="AC434">
            <v>0</v>
          </cell>
          <cell r="AD434">
            <v>393.79</v>
          </cell>
          <cell r="AE434">
            <v>0</v>
          </cell>
          <cell r="AF434">
            <v>4.8129999999999997</v>
          </cell>
          <cell r="AG434">
            <v>0.55000000000000004</v>
          </cell>
        </row>
        <row r="435">
          <cell r="B435" t="str">
            <v>FAR892073</v>
          </cell>
          <cell r="C435" t="str">
            <v>892073</v>
          </cell>
          <cell r="D435" t="str">
            <v>SILVERMED S.B. 10 cm x 10 cm. (Apósito de Plata s/Borde) x 5 Und. Ref 892073</v>
          </cell>
          <cell r="E435" t="str">
            <v>EUROFARM</v>
          </cell>
          <cell r="F435" t="str">
            <v>Aposito de Plata sin Borde</v>
          </cell>
          <cell r="G435" t="str">
            <v>CUIDADO DE HERIDAS</v>
          </cell>
          <cell r="H435" t="str">
            <v>48</v>
          </cell>
          <cell r="I435" t="str">
            <v>CJX5</v>
          </cell>
          <cell r="J435">
            <v>1</v>
          </cell>
          <cell r="K435">
            <v>0</v>
          </cell>
          <cell r="L435" t="str">
            <v>C</v>
          </cell>
          <cell r="M435">
            <v>70</v>
          </cell>
          <cell r="N435" t="str">
            <v/>
          </cell>
          <cell r="O435">
            <v>0</v>
          </cell>
          <cell r="P435">
            <v>0</v>
          </cell>
          <cell r="Q435">
            <v>35</v>
          </cell>
          <cell r="R435">
            <v>35</v>
          </cell>
          <cell r="S435">
            <v>0</v>
          </cell>
          <cell r="T435">
            <v>351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35</v>
          </cell>
          <cell r="Z435">
            <v>360</v>
          </cell>
          <cell r="AA435">
            <v>247.5</v>
          </cell>
          <cell r="AB435">
            <v>450</v>
          </cell>
          <cell r="AC435">
            <v>0</v>
          </cell>
          <cell r="AD435">
            <v>450</v>
          </cell>
          <cell r="AE435">
            <v>0</v>
          </cell>
          <cell r="AF435">
            <v>5.5</v>
          </cell>
          <cell r="AG435">
            <v>0.55000000000000004</v>
          </cell>
        </row>
        <row r="436">
          <cell r="B436">
            <v>242350809</v>
          </cell>
          <cell r="C436" t="str">
            <v/>
          </cell>
          <cell r="D436" t="str">
            <v>SIST SUSP/ANCLAJE D/PROLAPSO CPSAPLIC2A ANCHOR</v>
          </cell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I436" t="str">
            <v>UND</v>
          </cell>
          <cell r="J436">
            <v>1</v>
          </cell>
          <cell r="K436">
            <v>1</v>
          </cell>
          <cell r="L436" t="str">
            <v/>
          </cell>
          <cell r="M436">
            <v>0</v>
          </cell>
          <cell r="N436" t="str">
            <v/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389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4</v>
          </cell>
          <cell r="AA436">
            <v>16031.25</v>
          </cell>
          <cell r="AB436">
            <v>41105.769999999997</v>
          </cell>
          <cell r="AC436">
            <v>0</v>
          </cell>
          <cell r="AD436">
            <v>41105.769999999997</v>
          </cell>
          <cell r="AE436">
            <v>0</v>
          </cell>
          <cell r="AF436">
            <v>356.25</v>
          </cell>
          <cell r="AG436">
            <v>0.39</v>
          </cell>
        </row>
        <row r="437">
          <cell r="B437">
            <v>250500512</v>
          </cell>
          <cell r="C437" t="str">
            <v>NEOS SURGE</v>
          </cell>
          <cell r="D437" t="str">
            <v>SISTEMA DE FIJACION CRANEAL 16MM x Und</v>
          </cell>
          <cell r="E437" t="str">
            <v>0</v>
          </cell>
          <cell r="F437" t="str">
            <v/>
          </cell>
          <cell r="G437" t="str">
            <v/>
          </cell>
          <cell r="H437" t="str">
            <v/>
          </cell>
          <cell r="I437" t="str">
            <v>UND</v>
          </cell>
          <cell r="J437">
            <v>1</v>
          </cell>
          <cell r="K437">
            <v>1</v>
          </cell>
          <cell r="L437" t="str">
            <v/>
          </cell>
          <cell r="M437">
            <v>0</v>
          </cell>
          <cell r="N437" t="str">
            <v/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386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15435</v>
          </cell>
          <cell r="AB437">
            <v>30870</v>
          </cell>
          <cell r="AC437">
            <v>0</v>
          </cell>
          <cell r="AD437">
            <v>30870</v>
          </cell>
          <cell r="AE437">
            <v>0</v>
          </cell>
          <cell r="AF437">
            <v>343</v>
          </cell>
          <cell r="AG437">
            <v>0.5</v>
          </cell>
        </row>
        <row r="438">
          <cell r="B438">
            <v>242202324</v>
          </cell>
          <cell r="C438" t="str">
            <v/>
          </cell>
          <cell r="D438" t="str">
            <v>SUJETADOR DE VIA VENOSA Talla Medium  (Venoclisis) x Und</v>
          </cell>
          <cell r="E438" t="str">
            <v>DIASI</v>
          </cell>
          <cell r="F438" t="str">
            <v/>
          </cell>
          <cell r="G438" t="str">
            <v>SUJETADORES DE VIA</v>
          </cell>
          <cell r="H438" t="str">
            <v/>
          </cell>
          <cell r="I438" t="str">
            <v>UND</v>
          </cell>
          <cell r="J438">
            <v>1</v>
          </cell>
          <cell r="K438">
            <v>1</v>
          </cell>
          <cell r="L438" t="str">
            <v/>
          </cell>
          <cell r="M438">
            <v>0</v>
          </cell>
          <cell r="N438" t="str">
            <v/>
          </cell>
          <cell r="O438">
            <v>0</v>
          </cell>
          <cell r="P438">
            <v>0</v>
          </cell>
          <cell r="Q438">
            <v>25</v>
          </cell>
          <cell r="R438">
            <v>0</v>
          </cell>
          <cell r="S438">
            <v>0</v>
          </cell>
          <cell r="T438">
            <v>385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250</v>
          </cell>
          <cell r="AA438">
            <v>236.25</v>
          </cell>
          <cell r="AB438">
            <v>393.75</v>
          </cell>
          <cell r="AC438">
            <v>0</v>
          </cell>
          <cell r="AD438">
            <v>393.75</v>
          </cell>
          <cell r="AE438">
            <v>0</v>
          </cell>
          <cell r="AF438">
            <v>5.25</v>
          </cell>
          <cell r="AG438">
            <v>0.6</v>
          </cell>
        </row>
        <row r="439">
          <cell r="B439">
            <v>250200228</v>
          </cell>
          <cell r="C439" t="str">
            <v/>
          </cell>
          <cell r="D439" t="str">
            <v>SUMINISTRO DE CABLE PARA PACIENTE X UNIDAD</v>
          </cell>
          <cell r="E439" t="str">
            <v/>
          </cell>
          <cell r="F439" t="str">
            <v/>
          </cell>
          <cell r="G439" t="str">
            <v>APOSITOS RESTORE</v>
          </cell>
          <cell r="H439" t="str">
            <v/>
          </cell>
          <cell r="I439" t="str">
            <v>UND</v>
          </cell>
          <cell r="J439">
            <v>1</v>
          </cell>
          <cell r="K439">
            <v>1</v>
          </cell>
          <cell r="L439" t="str">
            <v/>
          </cell>
          <cell r="M439">
            <v>0</v>
          </cell>
          <cell r="N439" t="str">
            <v/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386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1</v>
          </cell>
          <cell r="AA439">
            <v>1543.5</v>
          </cell>
          <cell r="AB439">
            <v>2205</v>
          </cell>
          <cell r="AC439">
            <v>0</v>
          </cell>
          <cell r="AD439">
            <v>2205</v>
          </cell>
          <cell r="AE439">
            <v>0</v>
          </cell>
          <cell r="AF439">
            <v>34.299999999999997</v>
          </cell>
          <cell r="AG439">
            <v>0.7</v>
          </cell>
        </row>
        <row r="440">
          <cell r="B440">
            <v>240202948</v>
          </cell>
          <cell r="C440" t="str">
            <v/>
          </cell>
          <cell r="D440" t="str">
            <v>SUT PDS II VIOLET MONOFILAMENT CT-1 36MM ETHICON (Z341H) CAJA X 36 UND</v>
          </cell>
          <cell r="E440" t="str">
            <v>ETHICON</v>
          </cell>
          <cell r="F440" t="str">
            <v/>
          </cell>
          <cell r="G440" t="str">
            <v/>
          </cell>
          <cell r="H440" t="str">
            <v/>
          </cell>
          <cell r="I440" t="str">
            <v>CJX36</v>
          </cell>
          <cell r="J440">
            <v>36</v>
          </cell>
          <cell r="K440">
            <v>1</v>
          </cell>
          <cell r="L440" t="str">
            <v/>
          </cell>
          <cell r="M440">
            <v>0</v>
          </cell>
          <cell r="N440" t="str">
            <v/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386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36</v>
          </cell>
          <cell r="AA440">
            <v>584.54999999999995</v>
          </cell>
          <cell r="AB440">
            <v>811.88</v>
          </cell>
          <cell r="AC440">
            <v>0</v>
          </cell>
          <cell r="AD440">
            <v>811.88</v>
          </cell>
          <cell r="AE440">
            <v>0</v>
          </cell>
          <cell r="AF440">
            <v>12.99</v>
          </cell>
          <cell r="AG440">
            <v>0.72</v>
          </cell>
        </row>
        <row r="441">
          <cell r="B441">
            <v>240202048</v>
          </cell>
          <cell r="C441" t="str">
            <v/>
          </cell>
          <cell r="D441" t="str">
            <v>SUT TEMPORARY CARDIAC PACING WIRE 2-0 TPW10 ETHICON CAJA X 12 UND</v>
          </cell>
          <cell r="E441" t="str">
            <v>ETHICON</v>
          </cell>
          <cell r="F441" t="str">
            <v/>
          </cell>
          <cell r="G441" t="str">
            <v/>
          </cell>
          <cell r="H441" t="str">
            <v/>
          </cell>
          <cell r="I441" t="str">
            <v>CJX36</v>
          </cell>
          <cell r="J441">
            <v>12</v>
          </cell>
          <cell r="K441">
            <v>1</v>
          </cell>
          <cell r="L441" t="str">
            <v/>
          </cell>
          <cell r="M441">
            <v>0</v>
          </cell>
          <cell r="N441" t="str">
            <v/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386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12</v>
          </cell>
          <cell r="AA441">
            <v>2793.6</v>
          </cell>
          <cell r="AB441">
            <v>4365</v>
          </cell>
          <cell r="AC441">
            <v>0</v>
          </cell>
          <cell r="AD441">
            <v>4365</v>
          </cell>
          <cell r="AE441">
            <v>0</v>
          </cell>
          <cell r="AF441">
            <v>62.08</v>
          </cell>
          <cell r="AG441">
            <v>0.64</v>
          </cell>
        </row>
        <row r="442">
          <cell r="B442">
            <v>252800538</v>
          </cell>
          <cell r="C442" t="str">
            <v>1944</v>
          </cell>
          <cell r="D442" t="str">
            <v>SUT. COV V-LOC 3-0 90 23 CM CV-23 VLOCM1944 REF:1944  x Und</v>
          </cell>
          <cell r="E442" t="str">
            <v>COVIDIEN</v>
          </cell>
          <cell r="F442" t="str">
            <v/>
          </cell>
          <cell r="G442" t="str">
            <v/>
          </cell>
          <cell r="H442" t="str">
            <v/>
          </cell>
          <cell r="I442" t="str">
            <v>CJX12</v>
          </cell>
          <cell r="J442">
            <v>1</v>
          </cell>
          <cell r="K442">
            <v>1</v>
          </cell>
          <cell r="L442" t="str">
            <v/>
          </cell>
          <cell r="M442">
            <v>0</v>
          </cell>
          <cell r="N442" t="str">
            <v/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387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12</v>
          </cell>
          <cell r="AA442">
            <v>3911.355</v>
          </cell>
          <cell r="AB442">
            <v>6111.49</v>
          </cell>
          <cell r="AC442">
            <v>0</v>
          </cell>
          <cell r="AD442">
            <v>6111.49</v>
          </cell>
          <cell r="AE442">
            <v>0</v>
          </cell>
          <cell r="AF442">
            <v>86.918999999999997</v>
          </cell>
          <cell r="AG442">
            <v>0.64</v>
          </cell>
        </row>
        <row r="443">
          <cell r="B443">
            <v>252800519</v>
          </cell>
          <cell r="C443" t="str">
            <v>M604</v>
          </cell>
          <cell r="D443" t="str">
            <v>SUT. COV V-LOC180 ABSORBIBLE. 3-0 V-20 REF: L0604 x Und</v>
          </cell>
          <cell r="E443" t="str">
            <v>COVIDIEN</v>
          </cell>
          <cell r="F443" t="str">
            <v/>
          </cell>
          <cell r="G443" t="str">
            <v/>
          </cell>
          <cell r="H443" t="str">
            <v/>
          </cell>
          <cell r="I443" t="str">
            <v>CJX12</v>
          </cell>
          <cell r="J443">
            <v>12</v>
          </cell>
          <cell r="K443">
            <v>1</v>
          </cell>
          <cell r="L443" t="str">
            <v>B</v>
          </cell>
          <cell r="M443">
            <v>21</v>
          </cell>
          <cell r="N443" t="str">
            <v/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168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12</v>
          </cell>
          <cell r="AA443">
            <v>2476.8000000000002</v>
          </cell>
          <cell r="AB443">
            <v>3096</v>
          </cell>
          <cell r="AC443">
            <v>0</v>
          </cell>
          <cell r="AD443">
            <v>3096</v>
          </cell>
          <cell r="AE443">
            <v>0</v>
          </cell>
          <cell r="AF443">
            <v>55.04</v>
          </cell>
          <cell r="AG443">
            <v>0.8</v>
          </cell>
        </row>
        <row r="444">
          <cell r="B444">
            <v>252360104</v>
          </cell>
          <cell r="C444" t="str">
            <v>Y493G</v>
          </cell>
          <cell r="D444" t="str">
            <v>SUT. MONOCRYL 5-0 P13 Y493G</v>
          </cell>
          <cell r="E444" t="str">
            <v>J&amp;J</v>
          </cell>
          <cell r="F444" t="str">
            <v/>
          </cell>
          <cell r="G444" t="str">
            <v>OTROS OTROS</v>
          </cell>
          <cell r="H444" t="str">
            <v/>
          </cell>
          <cell r="I444" t="str">
            <v>CJX12</v>
          </cell>
          <cell r="J444">
            <v>12</v>
          </cell>
          <cell r="K444">
            <v>1</v>
          </cell>
          <cell r="L444" t="str">
            <v/>
          </cell>
          <cell r="M444">
            <v>0</v>
          </cell>
          <cell r="N444" t="str">
            <v/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389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12</v>
          </cell>
          <cell r="AA444">
            <v>2073.645</v>
          </cell>
          <cell r="AB444">
            <v>3240.07</v>
          </cell>
          <cell r="AC444">
            <v>0</v>
          </cell>
          <cell r="AD444">
            <v>3240.07</v>
          </cell>
          <cell r="AE444">
            <v>0</v>
          </cell>
          <cell r="AF444">
            <v>46.081000000000003</v>
          </cell>
          <cell r="AG444">
            <v>0.64</v>
          </cell>
        </row>
        <row r="445">
          <cell r="B445">
            <v>252600170</v>
          </cell>
          <cell r="C445" t="str">
            <v/>
          </cell>
          <cell r="D445" t="str">
            <v>SUT. PDS II 1 XLH  Z881G CARDIOVASCULAR x Und</v>
          </cell>
          <cell r="E445" t="str">
            <v>J&amp;J</v>
          </cell>
          <cell r="F445" t="str">
            <v/>
          </cell>
          <cell r="G445" t="str">
            <v/>
          </cell>
          <cell r="H445" t="str">
            <v/>
          </cell>
          <cell r="I445" t="str">
            <v>UND</v>
          </cell>
          <cell r="J445">
            <v>1</v>
          </cell>
          <cell r="K445">
            <v>1</v>
          </cell>
          <cell r="L445" t="str">
            <v>C</v>
          </cell>
          <cell r="M445">
            <v>215</v>
          </cell>
          <cell r="N445" t="str">
            <v>C</v>
          </cell>
          <cell r="O445">
            <v>229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129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211.95</v>
          </cell>
          <cell r="AB445">
            <v>264.94</v>
          </cell>
          <cell r="AC445">
            <v>0</v>
          </cell>
          <cell r="AD445">
            <v>264.94</v>
          </cell>
          <cell r="AE445">
            <v>0</v>
          </cell>
          <cell r="AF445">
            <v>4.71</v>
          </cell>
          <cell r="AG445">
            <v>0.8</v>
          </cell>
        </row>
        <row r="446">
          <cell r="B446">
            <v>252650445</v>
          </cell>
          <cell r="C446" t="str">
            <v>PXX41N</v>
          </cell>
          <cell r="D446" t="str">
            <v>SUT. PXX41N MARCA COVIDIEN. CAJA X 6 UND</v>
          </cell>
          <cell r="E446" t="str">
            <v/>
          </cell>
          <cell r="F446" t="str">
            <v/>
          </cell>
          <cell r="G446" t="str">
            <v>SUTURAS JOHNSON</v>
          </cell>
          <cell r="H446" t="str">
            <v/>
          </cell>
          <cell r="I446" t="str">
            <v>CJX6</v>
          </cell>
          <cell r="J446">
            <v>6</v>
          </cell>
          <cell r="K446">
            <v>1</v>
          </cell>
          <cell r="L446" t="str">
            <v>C</v>
          </cell>
          <cell r="M446">
            <v>371</v>
          </cell>
          <cell r="N446" t="str">
            <v/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386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937.35</v>
          </cell>
          <cell r="AB446">
            <v>1171.69</v>
          </cell>
          <cell r="AC446">
            <v>0</v>
          </cell>
          <cell r="AD446">
            <v>1171.69</v>
          </cell>
          <cell r="AE446">
            <v>0</v>
          </cell>
          <cell r="AF446">
            <v>20.83</v>
          </cell>
          <cell r="AG446">
            <v>0.8</v>
          </cell>
        </row>
        <row r="447">
          <cell r="B447">
            <v>252800416</v>
          </cell>
          <cell r="C447" t="str">
            <v/>
          </cell>
          <cell r="D447" t="str">
            <v>SUT. SOFSILK 0 3.5M 30" 75CM, Marca Covidien (GS 834-K834H) x Und</v>
          </cell>
          <cell r="E447" t="str">
            <v>COVIDIEN</v>
          </cell>
          <cell r="F447" t="str">
            <v>GS 834 COVIDIEN</v>
          </cell>
          <cell r="G447" t="str">
            <v/>
          </cell>
          <cell r="H447" t="str">
            <v/>
          </cell>
          <cell r="I447" t="str">
            <v>CJX36</v>
          </cell>
          <cell r="J447">
            <v>36</v>
          </cell>
          <cell r="K447">
            <v>1</v>
          </cell>
          <cell r="L447" t="str">
            <v>C</v>
          </cell>
          <cell r="M447">
            <v>353</v>
          </cell>
          <cell r="N447" t="str">
            <v/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389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72</v>
          </cell>
          <cell r="AA447">
            <v>25.2</v>
          </cell>
          <cell r="AB447">
            <v>31.5</v>
          </cell>
          <cell r="AC447">
            <v>0</v>
          </cell>
          <cell r="AD447">
            <v>31.5</v>
          </cell>
          <cell r="AE447">
            <v>0</v>
          </cell>
          <cell r="AF447">
            <v>0.56000000000000005</v>
          </cell>
          <cell r="AG447">
            <v>0.8</v>
          </cell>
        </row>
        <row r="448">
          <cell r="B448">
            <v>252850046</v>
          </cell>
          <cell r="C448" t="str">
            <v/>
          </cell>
          <cell r="D448" t="str">
            <v>SUT.BIOSYN 5-0 SM-5624 CAJA X 12 UND</v>
          </cell>
          <cell r="E448" t="str">
            <v>COVIDIEN</v>
          </cell>
          <cell r="F448" t="str">
            <v/>
          </cell>
          <cell r="G448" t="str">
            <v/>
          </cell>
          <cell r="H448" t="str">
            <v/>
          </cell>
          <cell r="I448" t="str">
            <v>CJX12</v>
          </cell>
          <cell r="J448">
            <v>1</v>
          </cell>
          <cell r="K448">
            <v>1</v>
          </cell>
          <cell r="L448" t="str">
            <v/>
          </cell>
          <cell r="M448">
            <v>0</v>
          </cell>
          <cell r="N448" t="str">
            <v/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386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12</v>
          </cell>
          <cell r="AA448">
            <v>916.72649999999999</v>
          </cell>
          <cell r="AB448">
            <v>1432.39</v>
          </cell>
          <cell r="AC448">
            <v>0</v>
          </cell>
          <cell r="AD448">
            <v>1432.39</v>
          </cell>
          <cell r="AE448">
            <v>0</v>
          </cell>
          <cell r="AF448">
            <v>20.371700000000001</v>
          </cell>
          <cell r="AG448">
            <v>0.64</v>
          </cell>
        </row>
        <row r="449">
          <cell r="B449">
            <v>252850946</v>
          </cell>
          <cell r="C449" t="str">
            <v/>
          </cell>
          <cell r="D449" t="str">
            <v>SUT.SEDA NEGRA TRENZ 4.0 TF N267H CARD CAJA X 36 UND</v>
          </cell>
          <cell r="E449" t="str">
            <v>COVIDIEN</v>
          </cell>
          <cell r="F449" t="str">
            <v/>
          </cell>
          <cell r="G449" t="str">
            <v/>
          </cell>
          <cell r="H449" t="str">
            <v/>
          </cell>
          <cell r="I449" t="str">
            <v>CJX36</v>
          </cell>
          <cell r="J449">
            <v>1</v>
          </cell>
          <cell r="K449">
            <v>1</v>
          </cell>
          <cell r="L449" t="str">
            <v/>
          </cell>
          <cell r="M449">
            <v>0</v>
          </cell>
          <cell r="N449" t="str">
            <v/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386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36</v>
          </cell>
          <cell r="AA449">
            <v>520.95600000000002</v>
          </cell>
          <cell r="AB449">
            <v>814</v>
          </cell>
          <cell r="AC449">
            <v>0</v>
          </cell>
          <cell r="AD449">
            <v>814</v>
          </cell>
          <cell r="AE449">
            <v>0</v>
          </cell>
          <cell r="AF449">
            <v>11.5768</v>
          </cell>
          <cell r="AG449">
            <v>0.64</v>
          </cell>
        </row>
        <row r="450">
          <cell r="B450">
            <v>240600327</v>
          </cell>
          <cell r="C450" t="str">
            <v/>
          </cell>
          <cell r="D450" t="str">
            <v>TRAQUEOSTOMO DE CRISTAL 7.5  CON BALON x Und</v>
          </cell>
          <cell r="E450" t="str">
            <v>COVIDIEN</v>
          </cell>
          <cell r="F450" t="str">
            <v/>
          </cell>
          <cell r="G450" t="str">
            <v/>
          </cell>
          <cell r="H450" t="str">
            <v/>
          </cell>
          <cell r="I450" t="str">
            <v>UND</v>
          </cell>
          <cell r="J450">
            <v>1</v>
          </cell>
          <cell r="K450">
            <v>1</v>
          </cell>
          <cell r="L450" t="str">
            <v/>
          </cell>
          <cell r="M450">
            <v>0</v>
          </cell>
          <cell r="N450" t="str">
            <v/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389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6</v>
          </cell>
          <cell r="AA450">
            <v>6930</v>
          </cell>
          <cell r="AB450">
            <v>10828.13</v>
          </cell>
          <cell r="AC450">
            <v>0</v>
          </cell>
          <cell r="AD450">
            <v>10828.13</v>
          </cell>
          <cell r="AE450">
            <v>0</v>
          </cell>
          <cell r="AF450">
            <v>154</v>
          </cell>
          <cell r="AG450">
            <v>0.64</v>
          </cell>
        </row>
        <row r="451">
          <cell r="B451">
            <v>240600226</v>
          </cell>
          <cell r="C451" t="str">
            <v/>
          </cell>
          <cell r="D451" t="str">
            <v>TRAQUEOSTOMO DE CRISTAL 8.5 x Und</v>
          </cell>
          <cell r="E451" t="str">
            <v>COVIDIEN</v>
          </cell>
          <cell r="F451" t="str">
            <v/>
          </cell>
          <cell r="G451" t="str">
            <v>TRAQUEOSTOMO TRAQUEOSTOMO</v>
          </cell>
          <cell r="H451" t="str">
            <v/>
          </cell>
          <cell r="I451" t="str">
            <v>UND</v>
          </cell>
          <cell r="J451">
            <v>1</v>
          </cell>
          <cell r="K451">
            <v>1</v>
          </cell>
          <cell r="L451" t="str">
            <v>C</v>
          </cell>
          <cell r="M451">
            <v>335</v>
          </cell>
          <cell r="N451" t="str">
            <v/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389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4</v>
          </cell>
          <cell r="AA451">
            <v>6930</v>
          </cell>
          <cell r="AB451">
            <v>8152.94</v>
          </cell>
          <cell r="AC451">
            <v>0</v>
          </cell>
          <cell r="AD451">
            <v>8152.94</v>
          </cell>
          <cell r="AE451">
            <v>0</v>
          </cell>
          <cell r="AF451">
            <v>154</v>
          </cell>
          <cell r="AG451">
            <v>0.85</v>
          </cell>
        </row>
        <row r="452">
          <cell r="B452">
            <v>253400733</v>
          </cell>
          <cell r="C452" t="str">
            <v/>
          </cell>
          <cell r="D452" t="str">
            <v>TRAQUEOSTOMO FENESTRADO 7.0 x Und</v>
          </cell>
          <cell r="E452" t="str">
            <v>COVIDIEN</v>
          </cell>
          <cell r="F452" t="str">
            <v/>
          </cell>
          <cell r="G452" t="str">
            <v/>
          </cell>
          <cell r="H452" t="str">
            <v/>
          </cell>
          <cell r="I452" t="str">
            <v>UND</v>
          </cell>
          <cell r="J452">
            <v>1</v>
          </cell>
          <cell r="K452">
            <v>1</v>
          </cell>
          <cell r="L452" t="str">
            <v/>
          </cell>
          <cell r="M452">
            <v>0</v>
          </cell>
          <cell r="N452" t="str">
            <v/>
          </cell>
          <cell r="O452">
            <v>0</v>
          </cell>
          <cell r="P452">
            <v>4</v>
          </cell>
          <cell r="Q452">
            <v>4</v>
          </cell>
          <cell r="R452">
            <v>0</v>
          </cell>
          <cell r="S452">
            <v>0</v>
          </cell>
          <cell r="T452">
            <v>389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4</v>
          </cell>
          <cell r="AA452">
            <v>6930</v>
          </cell>
          <cell r="AB452">
            <v>10828.13</v>
          </cell>
          <cell r="AC452">
            <v>0</v>
          </cell>
          <cell r="AD452">
            <v>10828.13</v>
          </cell>
          <cell r="AE452">
            <v>0</v>
          </cell>
          <cell r="AF452">
            <v>154</v>
          </cell>
          <cell r="AG452">
            <v>0.64</v>
          </cell>
        </row>
        <row r="453">
          <cell r="B453">
            <v>240600527</v>
          </cell>
          <cell r="C453" t="str">
            <v>4.5 PCF</v>
          </cell>
          <cell r="D453" t="str">
            <v>TRAQUEOSTOMO PEDIATRICO 4.5 x Und</v>
          </cell>
          <cell r="E453" t="str">
            <v>COVIDIEN</v>
          </cell>
          <cell r="F453" t="str">
            <v/>
          </cell>
          <cell r="G453" t="str">
            <v/>
          </cell>
          <cell r="H453" t="str">
            <v/>
          </cell>
          <cell r="I453" t="str">
            <v>UND</v>
          </cell>
          <cell r="J453">
            <v>1</v>
          </cell>
          <cell r="K453">
            <v>1</v>
          </cell>
          <cell r="L453" t="str">
            <v/>
          </cell>
          <cell r="M453">
            <v>0</v>
          </cell>
          <cell r="N453" t="str">
            <v/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386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1</v>
          </cell>
          <cell r="AA453">
            <v>6930</v>
          </cell>
          <cell r="AB453">
            <v>10828.13</v>
          </cell>
          <cell r="AC453">
            <v>0</v>
          </cell>
          <cell r="AD453">
            <v>10828.13</v>
          </cell>
          <cell r="AE453">
            <v>0</v>
          </cell>
          <cell r="AF453">
            <v>154</v>
          </cell>
          <cell r="AG453">
            <v>0.64</v>
          </cell>
        </row>
        <row r="454">
          <cell r="B454">
            <v>240600627</v>
          </cell>
          <cell r="C454" t="str">
            <v>5.0 PCF</v>
          </cell>
          <cell r="D454" t="str">
            <v>TRAQUEOSTOMO PEDIATRICO 5.0 x Und</v>
          </cell>
          <cell r="E454" t="str">
            <v>COVIDIEN</v>
          </cell>
          <cell r="F454" t="str">
            <v/>
          </cell>
          <cell r="G454" t="str">
            <v/>
          </cell>
          <cell r="H454" t="str">
            <v/>
          </cell>
          <cell r="I454" t="str">
            <v>UND</v>
          </cell>
          <cell r="J454">
            <v>1</v>
          </cell>
          <cell r="K454">
            <v>1</v>
          </cell>
          <cell r="L454" t="str">
            <v/>
          </cell>
          <cell r="M454">
            <v>0</v>
          </cell>
          <cell r="N454" t="str">
            <v/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386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1</v>
          </cell>
          <cell r="AA454">
            <v>6930</v>
          </cell>
          <cell r="AB454">
            <v>10828.13</v>
          </cell>
          <cell r="AC454">
            <v>0</v>
          </cell>
          <cell r="AD454">
            <v>10828.13</v>
          </cell>
          <cell r="AE454">
            <v>0</v>
          </cell>
          <cell r="AF454">
            <v>154</v>
          </cell>
          <cell r="AG454">
            <v>0.64</v>
          </cell>
        </row>
        <row r="455">
          <cell r="B455">
            <v>253400953</v>
          </cell>
          <cell r="C455" t="str">
            <v>3.0NCF</v>
          </cell>
          <cell r="D455" t="str">
            <v>TRAQUEOTOMO DESCARTABLE PEDIATRICO 3.0</v>
          </cell>
          <cell r="E455" t="str">
            <v>COVIDIEN</v>
          </cell>
          <cell r="F455" t="str">
            <v/>
          </cell>
          <cell r="G455" t="str">
            <v/>
          </cell>
          <cell r="H455" t="str">
            <v/>
          </cell>
          <cell r="I455" t="str">
            <v>UND</v>
          </cell>
          <cell r="J455">
            <v>1</v>
          </cell>
          <cell r="K455">
            <v>1</v>
          </cell>
          <cell r="L455" t="str">
            <v/>
          </cell>
          <cell r="M455">
            <v>0</v>
          </cell>
          <cell r="N455" t="str">
            <v/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389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1</v>
          </cell>
          <cell r="AA455">
            <v>6237</v>
          </cell>
          <cell r="AB455">
            <v>9745.31</v>
          </cell>
          <cell r="AC455">
            <v>0</v>
          </cell>
          <cell r="AD455">
            <v>9745.31</v>
          </cell>
          <cell r="AE455">
            <v>0</v>
          </cell>
          <cell r="AF455">
            <v>138.6</v>
          </cell>
          <cell r="AG455">
            <v>0.64</v>
          </cell>
        </row>
        <row r="456">
          <cell r="B456">
            <v>253400753</v>
          </cell>
          <cell r="C456" t="str">
            <v>5.5PCF</v>
          </cell>
          <cell r="D456" t="str">
            <v>TRAQUEOTOMO DESCARTABLE PEDIATRICO 5.5</v>
          </cell>
          <cell r="E456" t="str">
            <v>COVIDIEN</v>
          </cell>
          <cell r="F456" t="str">
            <v/>
          </cell>
          <cell r="G456" t="str">
            <v/>
          </cell>
          <cell r="H456" t="str">
            <v/>
          </cell>
          <cell r="I456" t="str">
            <v>UND</v>
          </cell>
          <cell r="J456">
            <v>1</v>
          </cell>
          <cell r="K456">
            <v>1</v>
          </cell>
          <cell r="L456" t="str">
            <v/>
          </cell>
          <cell r="M456">
            <v>0</v>
          </cell>
          <cell r="N456" t="str">
            <v/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386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1</v>
          </cell>
          <cell r="AA456">
            <v>6237</v>
          </cell>
          <cell r="AB456">
            <v>9745.31</v>
          </cell>
          <cell r="AC456">
            <v>0</v>
          </cell>
          <cell r="AD456">
            <v>9745.31</v>
          </cell>
          <cell r="AE456">
            <v>0</v>
          </cell>
          <cell r="AF456">
            <v>138.6</v>
          </cell>
          <cell r="AG456">
            <v>0.64</v>
          </cell>
        </row>
        <row r="457">
          <cell r="B457">
            <v>253400633</v>
          </cell>
          <cell r="C457" t="str">
            <v/>
          </cell>
          <cell r="D457" t="str">
            <v>TRAQUEOTOMO FENESTRADO 6.0 (REF.512060) x Und</v>
          </cell>
          <cell r="E457" t="str">
            <v>COVIDIEN</v>
          </cell>
          <cell r="F457" t="str">
            <v/>
          </cell>
          <cell r="G457" t="str">
            <v/>
          </cell>
          <cell r="H457" t="str">
            <v/>
          </cell>
          <cell r="I457" t="str">
            <v>UND</v>
          </cell>
          <cell r="J457">
            <v>1</v>
          </cell>
          <cell r="K457">
            <v>1</v>
          </cell>
          <cell r="L457" t="str">
            <v/>
          </cell>
          <cell r="M457">
            <v>0</v>
          </cell>
          <cell r="N457" t="str">
            <v/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389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2</v>
          </cell>
          <cell r="AA457">
            <v>1361.25</v>
          </cell>
          <cell r="AB457">
            <v>2126.9499999999998</v>
          </cell>
          <cell r="AC457">
            <v>0</v>
          </cell>
          <cell r="AD457">
            <v>2126.9499999999998</v>
          </cell>
          <cell r="AE457">
            <v>0</v>
          </cell>
          <cell r="AF457">
            <v>30.25</v>
          </cell>
          <cell r="AG457">
            <v>0.64</v>
          </cell>
        </row>
        <row r="458">
          <cell r="B458">
            <v>250450923</v>
          </cell>
          <cell r="C458" t="str">
            <v>100/100/03</v>
          </cell>
          <cell r="D458" t="str">
            <v>TUBO ENDOTRAQUEAL 3.0 C/BALON MARCA AIRCARE SMITH MEDICAL x Und</v>
          </cell>
          <cell r="E458" t="str">
            <v>SMITH MEDICAL</v>
          </cell>
          <cell r="F458" t="str">
            <v/>
          </cell>
          <cell r="G458" t="str">
            <v/>
          </cell>
          <cell r="H458" t="str">
            <v/>
          </cell>
          <cell r="I458" t="str">
            <v>UND</v>
          </cell>
          <cell r="J458">
            <v>1</v>
          </cell>
          <cell r="K458">
            <v>1</v>
          </cell>
          <cell r="L458" t="str">
            <v>C</v>
          </cell>
          <cell r="M458">
            <v>155</v>
          </cell>
          <cell r="N458" t="str">
            <v>C</v>
          </cell>
          <cell r="O458">
            <v>212</v>
          </cell>
          <cell r="P458">
            <v>0</v>
          </cell>
          <cell r="Q458">
            <v>5</v>
          </cell>
          <cell r="R458">
            <v>5</v>
          </cell>
          <cell r="S458">
            <v>0</v>
          </cell>
          <cell r="T458">
            <v>5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5</v>
          </cell>
          <cell r="Z458">
            <v>5</v>
          </cell>
          <cell r="AA458">
            <v>138.15</v>
          </cell>
          <cell r="AB458">
            <v>162.53</v>
          </cell>
          <cell r="AC458">
            <v>0</v>
          </cell>
          <cell r="AD458">
            <v>162.53</v>
          </cell>
          <cell r="AE458">
            <v>0</v>
          </cell>
          <cell r="AF458">
            <v>3.07</v>
          </cell>
          <cell r="AG458">
            <v>0.85</v>
          </cell>
        </row>
        <row r="459">
          <cell r="B459">
            <v>250450305</v>
          </cell>
          <cell r="C459" t="str">
            <v>DYND48030</v>
          </cell>
          <cell r="D459" t="str">
            <v>TUBO ENDOTRAQUEAL 3.0 S/BALON HI LOW Marca MEDLINE x Und</v>
          </cell>
          <cell r="E459" t="str">
            <v>MEDLINE</v>
          </cell>
          <cell r="F459" t="str">
            <v/>
          </cell>
          <cell r="G459" t="str">
            <v/>
          </cell>
          <cell r="H459" t="str">
            <v/>
          </cell>
          <cell r="I459" t="str">
            <v>UND</v>
          </cell>
          <cell r="J459">
            <v>1</v>
          </cell>
          <cell r="K459">
            <v>1</v>
          </cell>
          <cell r="L459" t="str">
            <v/>
          </cell>
          <cell r="M459">
            <v>0</v>
          </cell>
          <cell r="N459" t="str">
            <v/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387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8</v>
          </cell>
          <cell r="AA459">
            <v>138.15</v>
          </cell>
          <cell r="AB459">
            <v>230.25</v>
          </cell>
          <cell r="AC459">
            <v>0</v>
          </cell>
          <cell r="AD459">
            <v>230.25</v>
          </cell>
          <cell r="AE459">
            <v>0</v>
          </cell>
          <cell r="AF459">
            <v>3.07</v>
          </cell>
          <cell r="AG459">
            <v>0.6</v>
          </cell>
        </row>
        <row r="460">
          <cell r="B460">
            <v>240150116</v>
          </cell>
          <cell r="C460" t="str">
            <v>100/111/04</v>
          </cell>
          <cell r="D460" t="str">
            <v>TUBO ENDOTRAQUEAL 4.0 S/BALON Marca Smith Medical x Und</v>
          </cell>
          <cell r="E460" t="str">
            <v>SMITH MEDICAL</v>
          </cell>
          <cell r="F460" t="str">
            <v/>
          </cell>
          <cell r="G460" t="str">
            <v>TUBOS ENDOTRAQUEAL</v>
          </cell>
          <cell r="H460" t="str">
            <v/>
          </cell>
          <cell r="I460" t="str">
            <v>CJX10</v>
          </cell>
          <cell r="J460">
            <v>1</v>
          </cell>
          <cell r="K460">
            <v>1</v>
          </cell>
          <cell r="L460" t="str">
            <v/>
          </cell>
          <cell r="M460">
            <v>0</v>
          </cell>
          <cell r="N460" t="str">
            <v/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255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600</v>
          </cell>
          <cell r="AA460">
            <v>138.15</v>
          </cell>
          <cell r="AB460">
            <v>230.25</v>
          </cell>
          <cell r="AC460">
            <v>0</v>
          </cell>
          <cell r="AD460">
            <v>230.25</v>
          </cell>
          <cell r="AE460">
            <v>0</v>
          </cell>
          <cell r="AF460">
            <v>3.07</v>
          </cell>
          <cell r="AG460">
            <v>0.6</v>
          </cell>
        </row>
        <row r="461">
          <cell r="B461">
            <v>250450200</v>
          </cell>
          <cell r="C461" t="str">
            <v>100/100/04</v>
          </cell>
          <cell r="D461" t="str">
            <v>TUBO ENDOTRAQUEAL 4.5 C/BALON MARCA AIRCARE SMITH MEDICAL x Und</v>
          </cell>
          <cell r="E461" t="str">
            <v>SMITH MEDICAL</v>
          </cell>
          <cell r="F461" t="str">
            <v/>
          </cell>
          <cell r="G461" t="str">
            <v/>
          </cell>
          <cell r="H461" t="str">
            <v/>
          </cell>
          <cell r="I461" t="str">
            <v>UND</v>
          </cell>
          <cell r="J461">
            <v>1</v>
          </cell>
          <cell r="K461">
            <v>1</v>
          </cell>
          <cell r="L461" t="str">
            <v>C</v>
          </cell>
          <cell r="M461">
            <v>339</v>
          </cell>
          <cell r="N461" t="str">
            <v/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80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10</v>
          </cell>
          <cell r="AA461">
            <v>138.15</v>
          </cell>
          <cell r="AB461">
            <v>162.53</v>
          </cell>
          <cell r="AC461">
            <v>0</v>
          </cell>
          <cell r="AD461">
            <v>162.53</v>
          </cell>
          <cell r="AE461">
            <v>0</v>
          </cell>
          <cell r="AF461">
            <v>3.07</v>
          </cell>
          <cell r="AG461">
            <v>0.85</v>
          </cell>
        </row>
        <row r="462">
          <cell r="B462">
            <v>250450203</v>
          </cell>
          <cell r="C462" t="str">
            <v>100/127/04</v>
          </cell>
          <cell r="D462" t="str">
            <v>TUBO ENDOTRAQUEAL 4.5 S/BALON MARCA PORTEX SMITH MEDICAL x Und</v>
          </cell>
          <cell r="E462" t="str">
            <v>SMITH MEDICAL</v>
          </cell>
          <cell r="F462" t="str">
            <v/>
          </cell>
          <cell r="G462" t="str">
            <v/>
          </cell>
          <cell r="H462" t="str">
            <v/>
          </cell>
          <cell r="I462" t="str">
            <v>CJX10</v>
          </cell>
          <cell r="J462">
            <v>1</v>
          </cell>
          <cell r="K462">
            <v>1</v>
          </cell>
          <cell r="L462" t="str">
            <v>C</v>
          </cell>
          <cell r="M462">
            <v>350</v>
          </cell>
          <cell r="N462" t="str">
            <v/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369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3</v>
          </cell>
          <cell r="AA462">
            <v>138.15</v>
          </cell>
          <cell r="AB462">
            <v>162.53</v>
          </cell>
          <cell r="AC462">
            <v>0</v>
          </cell>
          <cell r="AD462">
            <v>162.53</v>
          </cell>
          <cell r="AE462">
            <v>0</v>
          </cell>
          <cell r="AF462">
            <v>3.07</v>
          </cell>
          <cell r="AG462">
            <v>0.85</v>
          </cell>
        </row>
        <row r="463">
          <cell r="B463">
            <v>250450301</v>
          </cell>
          <cell r="C463" t="str">
            <v>100/111/05</v>
          </cell>
          <cell r="D463" t="str">
            <v>TUBO ENDOTRAQUEAL 5.0 S/BALON Marca SMITH MEDICAL PORTEX x Und</v>
          </cell>
          <cell r="E463" t="str">
            <v>PORTEX</v>
          </cell>
          <cell r="F463" t="str">
            <v/>
          </cell>
          <cell r="G463" t="str">
            <v/>
          </cell>
          <cell r="H463" t="str">
            <v/>
          </cell>
          <cell r="I463" t="str">
            <v>CJX10</v>
          </cell>
          <cell r="J463">
            <v>1</v>
          </cell>
          <cell r="K463">
            <v>1</v>
          </cell>
          <cell r="L463" t="str">
            <v>C</v>
          </cell>
          <cell r="M463">
            <v>357</v>
          </cell>
          <cell r="N463" t="str">
            <v/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369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5</v>
          </cell>
          <cell r="AA463">
            <v>138.15</v>
          </cell>
          <cell r="AB463">
            <v>162.53</v>
          </cell>
          <cell r="AC463">
            <v>0</v>
          </cell>
          <cell r="AD463">
            <v>162.53</v>
          </cell>
          <cell r="AE463">
            <v>0</v>
          </cell>
          <cell r="AF463">
            <v>3.07</v>
          </cell>
          <cell r="AG463">
            <v>0.85</v>
          </cell>
        </row>
        <row r="464">
          <cell r="B464">
            <v>240600236</v>
          </cell>
          <cell r="C464" t="str">
            <v>DYND43065</v>
          </cell>
          <cell r="D464" t="str">
            <v>TUBO ENDOTRAQUEAL 6,5 C/BALON MEDLINE x Und</v>
          </cell>
          <cell r="E464" t="str">
            <v>MEDLINE</v>
          </cell>
          <cell r="F464" t="str">
            <v>(REF.DYND43065)</v>
          </cell>
          <cell r="G464" t="str">
            <v/>
          </cell>
          <cell r="H464" t="str">
            <v/>
          </cell>
          <cell r="I464" t="str">
            <v>UND</v>
          </cell>
          <cell r="J464">
            <v>1</v>
          </cell>
          <cell r="K464">
            <v>1</v>
          </cell>
          <cell r="L464" t="str">
            <v>C</v>
          </cell>
          <cell r="M464">
            <v>344</v>
          </cell>
          <cell r="N464" t="str">
            <v/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185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6</v>
          </cell>
          <cell r="AA464">
            <v>138.15</v>
          </cell>
          <cell r="AB464">
            <v>162.53</v>
          </cell>
          <cell r="AC464">
            <v>0</v>
          </cell>
          <cell r="AD464">
            <v>162.53</v>
          </cell>
          <cell r="AE464">
            <v>0</v>
          </cell>
          <cell r="AF464">
            <v>3.07</v>
          </cell>
          <cell r="AG464">
            <v>0.85</v>
          </cell>
        </row>
        <row r="465">
          <cell r="B465">
            <v>240600239</v>
          </cell>
          <cell r="C465" t="str">
            <v>DYNJAETC7</v>
          </cell>
          <cell r="D465" t="str">
            <v>TUBO ENDOTRAQUEAL 7,5 C/BALON MEDLINE x Und</v>
          </cell>
          <cell r="E465" t="str">
            <v>MEDLINE</v>
          </cell>
          <cell r="F465" t="str">
            <v>(REF.DYNJAETC75S)</v>
          </cell>
          <cell r="G465" t="str">
            <v/>
          </cell>
          <cell r="H465" t="str">
            <v/>
          </cell>
          <cell r="I465" t="str">
            <v>CJX10</v>
          </cell>
          <cell r="J465">
            <v>1</v>
          </cell>
          <cell r="K465">
            <v>1</v>
          </cell>
          <cell r="L465" t="str">
            <v>C</v>
          </cell>
          <cell r="M465">
            <v>343</v>
          </cell>
          <cell r="N465" t="str">
            <v/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70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50</v>
          </cell>
          <cell r="AA465">
            <v>138.15</v>
          </cell>
          <cell r="AB465">
            <v>162.53</v>
          </cell>
          <cell r="AC465">
            <v>0</v>
          </cell>
          <cell r="AD465">
            <v>162.53</v>
          </cell>
          <cell r="AE465">
            <v>0</v>
          </cell>
          <cell r="AF465">
            <v>3.07</v>
          </cell>
          <cell r="AG465">
            <v>0.85</v>
          </cell>
        </row>
        <row r="466">
          <cell r="B466">
            <v>250150202</v>
          </cell>
          <cell r="C466" t="str">
            <v>DYND48035</v>
          </cell>
          <cell r="D466" t="str">
            <v>TUBO ENDOTRAQUEAL HI LOW 3.5 S/BALON MEDLINE x Und</v>
          </cell>
          <cell r="E466" t="str">
            <v>MEDLINE</v>
          </cell>
          <cell r="F466" t="str">
            <v/>
          </cell>
          <cell r="G466" t="str">
            <v/>
          </cell>
          <cell r="H466" t="str">
            <v/>
          </cell>
          <cell r="I466" t="str">
            <v>CJX10</v>
          </cell>
          <cell r="J466">
            <v>1</v>
          </cell>
          <cell r="K466">
            <v>1</v>
          </cell>
          <cell r="L466" t="str">
            <v>C</v>
          </cell>
          <cell r="M466">
            <v>293</v>
          </cell>
          <cell r="N466" t="str">
            <v>C</v>
          </cell>
          <cell r="O466">
            <v>275</v>
          </cell>
          <cell r="P466">
            <v>0</v>
          </cell>
          <cell r="Q466">
            <v>9</v>
          </cell>
          <cell r="R466">
            <v>9</v>
          </cell>
          <cell r="S466">
            <v>0</v>
          </cell>
          <cell r="T466">
            <v>5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9</v>
          </cell>
          <cell r="Z466">
            <v>9</v>
          </cell>
          <cell r="AA466">
            <v>138.15</v>
          </cell>
          <cell r="AB466">
            <v>162.53</v>
          </cell>
          <cell r="AC466">
            <v>0</v>
          </cell>
          <cell r="AD466">
            <v>162.53</v>
          </cell>
          <cell r="AE466">
            <v>0</v>
          </cell>
          <cell r="AF466">
            <v>3.07</v>
          </cell>
          <cell r="AG466">
            <v>0.85</v>
          </cell>
        </row>
        <row r="467">
          <cell r="B467">
            <v>243450307</v>
          </cell>
          <cell r="C467" t="str">
            <v>DYND43080</v>
          </cell>
          <cell r="D467" t="str">
            <v>TUBO ENDOTRAQUEAL HI LOW 4.0 C/BALON MEDLINE x UND</v>
          </cell>
          <cell r="E467" t="str">
            <v>MEDLINE</v>
          </cell>
          <cell r="F467" t="str">
            <v/>
          </cell>
          <cell r="G467" t="str">
            <v/>
          </cell>
          <cell r="H467" t="str">
            <v/>
          </cell>
          <cell r="I467" t="str">
            <v>UND</v>
          </cell>
          <cell r="J467">
            <v>1</v>
          </cell>
          <cell r="K467">
            <v>1</v>
          </cell>
          <cell r="L467" t="str">
            <v>C</v>
          </cell>
          <cell r="M467">
            <v>416</v>
          </cell>
          <cell r="N467" t="str">
            <v>C</v>
          </cell>
          <cell r="O467">
            <v>172</v>
          </cell>
          <cell r="P467">
            <v>0</v>
          </cell>
          <cell r="Q467">
            <v>10</v>
          </cell>
          <cell r="R467">
            <v>10</v>
          </cell>
          <cell r="S467">
            <v>0</v>
          </cell>
          <cell r="T467">
            <v>5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10</v>
          </cell>
          <cell r="Z467">
            <v>10</v>
          </cell>
          <cell r="AA467">
            <v>138.15</v>
          </cell>
          <cell r="AB467">
            <v>162.53</v>
          </cell>
          <cell r="AC467">
            <v>0</v>
          </cell>
          <cell r="AD467">
            <v>162.53</v>
          </cell>
          <cell r="AE467">
            <v>0</v>
          </cell>
          <cell r="AF467">
            <v>3.07</v>
          </cell>
          <cell r="AG467">
            <v>0.85</v>
          </cell>
        </row>
        <row r="468">
          <cell r="B468">
            <v>240600301</v>
          </cell>
          <cell r="C468" t="str">
            <v/>
          </cell>
          <cell r="D468" t="str">
            <v>TUBO TAPA ROJA GRADILLA X 100 UNDS. MARCA MC MEDICAL</v>
          </cell>
          <cell r="E468" t="str">
            <v>DIPHOSYC</v>
          </cell>
          <cell r="F468" t="str">
            <v/>
          </cell>
          <cell r="G468" t="str">
            <v>TUBOS ENDOTRAQUEAL</v>
          </cell>
          <cell r="H468" t="str">
            <v/>
          </cell>
          <cell r="I468" t="str">
            <v>CJX100</v>
          </cell>
          <cell r="J468">
            <v>1</v>
          </cell>
          <cell r="K468">
            <v>1</v>
          </cell>
          <cell r="L468" t="str">
            <v>C</v>
          </cell>
          <cell r="M468">
            <v>362</v>
          </cell>
          <cell r="N468" t="str">
            <v/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270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900</v>
          </cell>
          <cell r="AA468">
            <v>3.42</v>
          </cell>
          <cell r="AB468">
            <v>5.26</v>
          </cell>
          <cell r="AC468">
            <v>0</v>
          </cell>
          <cell r="AD468">
            <v>5.26</v>
          </cell>
          <cell r="AE468">
            <v>0</v>
          </cell>
          <cell r="AF468">
            <v>7.5999999999999998E-2</v>
          </cell>
          <cell r="AG468">
            <v>0.65</v>
          </cell>
        </row>
        <row r="469">
          <cell r="B469" t="str">
            <v>AJUSTE002</v>
          </cell>
          <cell r="C469" t="str">
            <v/>
          </cell>
          <cell r="D469" t="str">
            <v>Z*Ajuste Admin Base Imponible</v>
          </cell>
          <cell r="E469" t="str">
            <v/>
          </cell>
          <cell r="F469" t="str">
            <v/>
          </cell>
          <cell r="G469" t="str">
            <v/>
          </cell>
          <cell r="H469" t="str">
            <v/>
          </cell>
          <cell r="I469" t="str">
            <v/>
          </cell>
          <cell r="J469">
            <v>1</v>
          </cell>
          <cell r="K469">
            <v>1</v>
          </cell>
          <cell r="L469" t="str">
            <v>C</v>
          </cell>
          <cell r="M469">
            <v>415</v>
          </cell>
          <cell r="N469" t="str">
            <v/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389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45</v>
          </cell>
          <cell r="AC469">
            <v>0</v>
          </cell>
          <cell r="AD469">
            <v>45</v>
          </cell>
          <cell r="AE469">
            <v>0</v>
          </cell>
          <cell r="AF469">
            <v>0</v>
          </cell>
          <cell r="AG469">
            <v>0</v>
          </cell>
        </row>
        <row r="470">
          <cell r="B470" t="str">
            <v>AJUSTE001</v>
          </cell>
          <cell r="C470" t="str">
            <v/>
          </cell>
          <cell r="D470" t="str">
            <v>Z*Ajuste Admin Exento</v>
          </cell>
          <cell r="E470" t="str">
            <v/>
          </cell>
          <cell r="F470" t="str">
            <v/>
          </cell>
          <cell r="G470" t="str">
            <v/>
          </cell>
          <cell r="H470" t="str">
            <v/>
          </cell>
          <cell r="I470" t="str">
            <v/>
          </cell>
          <cell r="J470">
            <v>1</v>
          </cell>
          <cell r="K470">
            <v>1</v>
          </cell>
          <cell r="L470" t="str">
            <v>C</v>
          </cell>
          <cell r="M470">
            <v>414</v>
          </cell>
          <cell r="N470" t="str">
            <v/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389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45</v>
          </cell>
          <cell r="AC470">
            <v>0</v>
          </cell>
          <cell r="AD470">
            <v>45</v>
          </cell>
          <cell r="AE470">
            <v>0</v>
          </cell>
          <cell r="AF470">
            <v>0</v>
          </cell>
          <cell r="AG470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"/>
  <sheetViews>
    <sheetView tabSelected="1" workbookViewId="0">
      <selection activeCell="C8" sqref="C8"/>
    </sheetView>
  </sheetViews>
  <sheetFormatPr baseColWidth="10" defaultRowHeight="15"/>
  <cols>
    <col min="1" max="1" width="6" customWidth="1"/>
    <col min="2" max="2" width="17.5703125" customWidth="1"/>
    <col min="3" max="3" width="14.85546875" customWidth="1"/>
    <col min="4" max="4" width="34.7109375" customWidth="1"/>
    <col min="5" max="5" width="28.28515625" customWidth="1"/>
    <col min="6" max="6" width="31" customWidth="1"/>
    <col min="7" max="7" width="8" bestFit="1" customWidth="1"/>
    <col min="8" max="8" width="9.42578125" customWidth="1"/>
    <col min="9" max="9" width="13.7109375" bestFit="1" customWidth="1"/>
    <col min="10" max="10" width="20.28515625" bestFit="1" customWidth="1"/>
    <col min="11" max="11" width="12" style="4" bestFit="1" customWidth="1"/>
    <col min="12" max="12" width="21.5703125" style="6" customWidth="1"/>
    <col min="13" max="13" width="12.140625" style="4" customWidth="1"/>
    <col min="14" max="14" width="25.7109375" customWidth="1"/>
    <col min="15" max="15" width="28.28515625" customWidth="1"/>
    <col min="16" max="16" width="25.7109375" customWidth="1"/>
    <col min="17" max="17" width="36.42578125" customWidth="1"/>
    <col min="18" max="19" width="54" customWidth="1"/>
    <col min="20" max="20" width="12.140625" customWidth="1"/>
    <col min="21" max="21" width="10.7109375" customWidth="1"/>
    <col min="22" max="22" width="14.85546875" customWidth="1"/>
    <col min="23" max="23" width="16.28515625" customWidth="1"/>
    <col min="24" max="25" width="6" customWidth="1"/>
    <col min="26" max="26" width="9.42578125" customWidth="1"/>
    <col min="27" max="27" width="16.28515625" customWidth="1"/>
    <col min="28" max="29" width="24.28515625" customWidth="1"/>
    <col min="30" max="30" width="11.5703125" customWidth="1"/>
  </cols>
  <sheetData>
    <row r="1" spans="1:29">
      <c r="A1">
        <v>1</v>
      </c>
      <c r="B1">
        <f>+A1+1</f>
        <v>2</v>
      </c>
      <c r="C1">
        <f t="shared" ref="C1:AC1" si="0">+B1+1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f t="shared" si="0"/>
        <v>7</v>
      </c>
      <c r="H1">
        <f t="shared" si="0"/>
        <v>8</v>
      </c>
      <c r="I1">
        <f t="shared" si="0"/>
        <v>9</v>
      </c>
      <c r="J1">
        <f t="shared" si="0"/>
        <v>10</v>
      </c>
      <c r="K1">
        <f t="shared" si="0"/>
        <v>11</v>
      </c>
      <c r="L1">
        <f t="shared" si="0"/>
        <v>12</v>
      </c>
      <c r="M1">
        <f t="shared" si="0"/>
        <v>13</v>
      </c>
      <c r="N1">
        <f t="shared" si="0"/>
        <v>14</v>
      </c>
      <c r="O1">
        <f t="shared" si="0"/>
        <v>15</v>
      </c>
      <c r="P1">
        <f t="shared" si="0"/>
        <v>16</v>
      </c>
      <c r="Q1">
        <f t="shared" si="0"/>
        <v>17</v>
      </c>
      <c r="R1">
        <f t="shared" si="0"/>
        <v>18</v>
      </c>
      <c r="S1">
        <f t="shared" si="0"/>
        <v>19</v>
      </c>
      <c r="T1">
        <f t="shared" si="0"/>
        <v>20</v>
      </c>
      <c r="U1">
        <f t="shared" si="0"/>
        <v>21</v>
      </c>
      <c r="V1">
        <f t="shared" si="0"/>
        <v>22</v>
      </c>
      <c r="W1">
        <f t="shared" si="0"/>
        <v>23</v>
      </c>
      <c r="X1">
        <f t="shared" si="0"/>
        <v>24</v>
      </c>
      <c r="Y1">
        <f t="shared" si="0"/>
        <v>25</v>
      </c>
      <c r="Z1">
        <f t="shared" si="0"/>
        <v>26</v>
      </c>
      <c r="AA1">
        <f t="shared" si="0"/>
        <v>27</v>
      </c>
      <c r="AB1">
        <f t="shared" si="0"/>
        <v>28</v>
      </c>
      <c r="AC1">
        <f t="shared" si="0"/>
        <v>29</v>
      </c>
    </row>
    <row r="2" spans="1:2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7" t="s">
        <v>10</v>
      </c>
      <c r="L2" s="8" t="s">
        <v>11</v>
      </c>
      <c r="M2" s="7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</row>
    <row r="3" spans="1:29">
      <c r="A3" s="2">
        <v>143</v>
      </c>
      <c r="B3" s="2">
        <v>242200703</v>
      </c>
      <c r="C3" s="2">
        <v>242200703</v>
      </c>
      <c r="D3" t="s">
        <v>33</v>
      </c>
      <c r="E3" s="2">
        <v>2050</v>
      </c>
      <c r="F3" t="s">
        <v>32</v>
      </c>
      <c r="G3" s="3">
        <f>+VLOOKUP(B3,'[1]master_prod_15todos(30-11-2 (2)'!$B$2:$AF$470,31,FALSE)</f>
        <v>26</v>
      </c>
      <c r="H3" s="2">
        <v>0</v>
      </c>
      <c r="I3" s="2">
        <v>0</v>
      </c>
      <c r="J3" s="2">
        <v>0</v>
      </c>
      <c r="K3" s="5">
        <f t="shared" ref="K3" si="1">SUM(G3:J3)</f>
        <v>26</v>
      </c>
      <c r="L3" s="6">
        <f>+VLOOKUP(B3,'[1]master_prod_15todos(30-11-2 (2)'!$B$2:$AG$470,32,FALSE)</f>
        <v>0.82330000000000003</v>
      </c>
      <c r="M3" s="9">
        <f t="shared" ref="M3" si="2">+K3/L3</f>
        <v>31.580225920077734</v>
      </c>
      <c r="N3" t="s">
        <v>29</v>
      </c>
      <c r="O3" t="s">
        <v>29</v>
      </c>
      <c r="P3" t="s">
        <v>29</v>
      </c>
      <c r="Q3" t="s">
        <v>30</v>
      </c>
      <c r="R3" t="s">
        <v>31</v>
      </c>
      <c r="T3" s="2">
        <v>1</v>
      </c>
      <c r="U3" s="2">
        <v>1</v>
      </c>
      <c r="V3" s="2">
        <v>1</v>
      </c>
      <c r="W3" s="2">
        <v>1</v>
      </c>
      <c r="X3" s="2">
        <v>0</v>
      </c>
      <c r="Y3" s="2">
        <v>1</v>
      </c>
      <c r="Z3" s="2">
        <v>0</v>
      </c>
      <c r="AA3" s="2">
        <v>1</v>
      </c>
      <c r="AB3" s="2">
        <v>0</v>
      </c>
      <c r="AC3" s="2">
        <v>0</v>
      </c>
    </row>
  </sheetData>
  <autoFilter ref="A2:AC3" xr:uid="{00000000-0001-0000-0000-000000000000}"/>
  <sortState xmlns:xlrd2="http://schemas.microsoft.com/office/spreadsheetml/2017/richdata2" ref="A3:M3">
    <sortCondition ref="G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f1878c-52b4-4574-ac8e-fdcf25904a2b">
      <Terms xmlns="http://schemas.microsoft.com/office/infopath/2007/PartnerControls"/>
    </lcf76f155ced4ddcb4097134ff3c332f>
    <TaxCatchAll xmlns="e3ad3912-799d-4c84-8d28-ee902b7464c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86AACC1FF3A5B4DA700ABA3E03054D6" ma:contentTypeVersion="14" ma:contentTypeDescription="Crear nuevo documento." ma:contentTypeScope="" ma:versionID="d9cac0b107996ccc0aaa65f6899b26f9">
  <xsd:schema xmlns:xsd="http://www.w3.org/2001/XMLSchema" xmlns:xs="http://www.w3.org/2001/XMLSchema" xmlns:p="http://schemas.microsoft.com/office/2006/metadata/properties" xmlns:ns2="fff1878c-52b4-4574-ac8e-fdcf25904a2b" xmlns:ns3="e3ad3912-799d-4c84-8d28-ee902b7464c8" targetNamespace="http://schemas.microsoft.com/office/2006/metadata/properties" ma:root="true" ma:fieldsID="5a83e0799332009eaab1fdbd18b3d450" ns2:_="" ns3:_="">
    <xsd:import namespace="fff1878c-52b4-4574-ac8e-fdcf25904a2b"/>
    <xsd:import namespace="e3ad3912-799d-4c84-8d28-ee902b7464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1878c-52b4-4574-ac8e-fdcf25904a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bd9b833-2baa-4412-8019-25e83684b1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ad3912-799d-4c84-8d28-ee902b7464c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a704301-fc95-47c3-a177-27c8490869ac}" ma:internalName="TaxCatchAll" ma:showField="CatchAllData" ma:web="e3ad3912-799d-4c84-8d28-ee902b7464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929274-5FC3-4BDE-92E0-EC6D11159716}">
  <ds:schemaRefs>
    <ds:schemaRef ds:uri="http://schemas.microsoft.com/office/2006/metadata/properties"/>
    <ds:schemaRef ds:uri="http://schemas.microsoft.com/office/infopath/2007/PartnerControls"/>
    <ds:schemaRef ds:uri="fff1878c-52b4-4574-ac8e-fdcf25904a2b"/>
    <ds:schemaRef ds:uri="e3ad3912-799d-4c84-8d28-ee902b7464c8"/>
  </ds:schemaRefs>
</ds:datastoreItem>
</file>

<file path=customXml/itemProps2.xml><?xml version="1.0" encoding="utf-8"?>
<ds:datastoreItem xmlns:ds="http://schemas.openxmlformats.org/officeDocument/2006/customXml" ds:itemID="{A27E31EA-BCC4-47F4-A7C9-6632A0C2D5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C557C0-762F-405F-86AA-1610CD1C12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f1878c-52b4-4574-ac8e-fdcf25904a2b"/>
    <ds:schemaRef ds:uri="e3ad3912-799d-4c84-8d28-ee902b7464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(Corp MMQ Gerencia)</dc:creator>
  <cp:lastModifiedBy>Jose Vargas</cp:lastModifiedBy>
  <dcterms:created xsi:type="dcterms:W3CDTF">2024-11-30T15:32:21Z</dcterms:created>
  <dcterms:modified xsi:type="dcterms:W3CDTF">2024-11-30T19:07:34Z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0x010100386AACC1FF3A5B4DA700ABA3E03054D6</vt:lpwstr>
  </property>
</Properties>
</file>