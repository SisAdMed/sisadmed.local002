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(CorpMMQGerencia)\Downloads\"/>
    </mc:Choice>
  </mc:AlternateContent>
  <xr:revisionPtr revIDLastSave="0" documentId="13_ncr:1_{33EA77E1-0067-46DA-8EAC-13D440B5CFA7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Sheet1!$A$2:$AI$46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3" i="1"/>
</calcChain>
</file>

<file path=xl/sharedStrings.xml><?xml version="1.0" encoding="utf-8"?>
<sst xmlns="http://schemas.openxmlformats.org/spreadsheetml/2006/main" count="468" uniqueCount="126">
  <si>
    <t>Sistema Administrativo y Médico - SisAdMed</t>
  </si>
  <si>
    <t>Id</t>
  </si>
  <si>
    <t>Código</t>
  </si>
  <si>
    <t>Código 2</t>
  </si>
  <si>
    <t>Descripción</t>
  </si>
  <si>
    <t>Referencia</t>
  </si>
  <si>
    <t>Marca</t>
  </si>
  <si>
    <t>Costo</t>
  </si>
  <si>
    <t>Flete</t>
  </si>
  <si>
    <t>Otros cargos</t>
  </si>
  <si>
    <t>Cargos Door to Door</t>
  </si>
  <si>
    <t>Costo 1</t>
  </si>
  <si>
    <t>% Utilidad</t>
  </si>
  <si>
    <t>Venta</t>
  </si>
  <si>
    <t>Bul.Emp</t>
  </si>
  <si>
    <t>Unidades</t>
  </si>
  <si>
    <t>Empaque</t>
  </si>
  <si>
    <t>Grupo</t>
  </si>
  <si>
    <t>Nombre Genérico</t>
  </si>
  <si>
    <t>Descripción del Producto</t>
  </si>
  <si>
    <t>Un.Compra</t>
  </si>
  <si>
    <t>Un.Venta</t>
  </si>
  <si>
    <t>Util.Consig</t>
  </si>
  <si>
    <t>Venta Consig</t>
  </si>
  <si>
    <t>IVA</t>
  </si>
  <si>
    <t>Lote</t>
  </si>
  <si>
    <t>Interno</t>
  </si>
  <si>
    <t>Door to Door</t>
  </si>
  <si>
    <t>% Utilidad Consig.</t>
  </si>
  <si>
    <t>Venta Consignación</t>
  </si>
  <si>
    <t>Origen</t>
  </si>
  <si>
    <t>Alto</t>
  </si>
  <si>
    <t>Ancho</t>
  </si>
  <si>
    <t>Largo</t>
  </si>
  <si>
    <t>Status</t>
  </si>
  <si>
    <t>Acciones</t>
  </si>
  <si>
    <t>x Unidad</t>
  </si>
  <si>
    <t>I</t>
  </si>
  <si>
    <t>Activo</t>
  </si>
  <si>
    <t>Caja x 12 unid</t>
  </si>
  <si>
    <t>SUTURAS</t>
  </si>
  <si>
    <t>SUTURA</t>
  </si>
  <si>
    <t>N</t>
  </si>
  <si>
    <t>DEMETECH</t>
  </si>
  <si>
    <t>SUT. POLYGLACTIN 910 G18226B0P (VICRYL  2-0  J317H)/70 CM AGUJA CURVA ROUND BODIED DSH 1/2 36MM X UND.^MARCA DEMETECH</t>
  </si>
  <si>
    <t>J317H</t>
  </si>
  <si>
    <t>J341H</t>
  </si>
  <si>
    <t>SUT. POLYGLACTIN 910 G1180136B0P (VICRYL 1  J341H)/70 CM AGUJA CURVA ROUND BODIED DCT-1 1/2 36MM X UND.^MARCA DEMETECH</t>
  </si>
  <si>
    <t>813T</t>
  </si>
  <si>
    <t>DEMEWAX BW2.5G (CERA PARA HUESO 2.5G)/\MARCA DEMETECH</t>
  </si>
  <si>
    <t>SUT. CHROMIC CATGUT CC1120136B0P (CROMICO 1 813T) 70CM AGUJA CURVA ROUND BODIED DCT1 1/2 36MM  MUSCULO,NASAL,FARINGE,PIEL</t>
  </si>
  <si>
    <t>SUT. CHROMIC CATGUT CC1122036BOP (CROMICO 2-0  811T )   70CM   1/2 AGUJA CURVA 36MM  DCT-1</t>
  </si>
  <si>
    <t>811T</t>
  </si>
  <si>
    <t>SUT. CHROMIC CATGUT CC1123036BOP (CROMICO 3-0 810T  )  70CM 1/2 AGUJA CURVA 36MM  DCT-1</t>
  </si>
  <si>
    <t>810T</t>
  </si>
  <si>
    <t>SUT. CHROMIC CATGUT CC1124017B0P (CROMICO 4-0 U203T)/70 CM AGUJA CURVA DE 1/2 17MM RB DRB-1</t>
  </si>
  <si>
    <t>U203T</t>
  </si>
  <si>
    <t>SUT. PLAIN  CATGUT CP1132036BOP (PLAIN 2-0 843T)  70CM  AGUJA CURVA DE 1/2 36MM RB DCT-1</t>
  </si>
  <si>
    <t>843T</t>
  </si>
  <si>
    <t>SUT. PLAIN  CATGUT CP1133036BOP (PLAIN 3-0 842) / 70 CM AGUJA CURVA DE 1/2 36MM RB DCT-1 MUSCULO,NASAL,FARINGE,PIEL</t>
  </si>
  <si>
    <t>SUT. NYLON MONOFILAMENT NL162026F4P (ETHILON 2-0 164T) 45CM AGUJA CURVA REVERSE CUTTING DFS 3/8 26MM PIEL</t>
  </si>
  <si>
    <t>164T</t>
  </si>
  <si>
    <t>SUT. NYLON MONOFILAMENT NL262060A4P (ETHILON 2-0 628H) 75CM AGUJA RECTA REVERSE CUTTING DKS 60MM</t>
  </si>
  <si>
    <t>628H</t>
  </si>
  <si>
    <t>SUT. NYLON MONOFILAMENT NL263060A4P (ETHILON 3-0 627H) /75 CM AGUJA RECTA 60MM REVERSE CUTTING DKS  PIEL</t>
  </si>
  <si>
    <t>627H</t>
  </si>
  <si>
    <t>SUT. NYLON MONOFILAMENT NL163024F4P (ETHILON 3-0 163T) 45CM AGUJA CURVA REVERSE CUTTING DFS-1 3/8 24MM PIEL</t>
  </si>
  <si>
    <t>163T</t>
  </si>
  <si>
    <t>SUT. NYLON MONOFILAMENT NL163019F4P (ETHILON 3-0 14503T)/45 CMAGUJA CURVA DE 3/8 36MM REVERSE CUTTING DFS-2</t>
  </si>
  <si>
    <t>14503T</t>
  </si>
  <si>
    <t>SUT. NYLON MONOFILAMENT NL164019F4P (ETHILON 4-0 14502T)/45 CM AGUJA CURVA DE 3/8 19MM REVERSE CUTTING DFS-2</t>
  </si>
  <si>
    <t>14502T</t>
  </si>
  <si>
    <t>SUT. NYLON MONOFILAMENT NL165019F4P (ETHILON 5-0 14501T) /45 CM AGUJA CURVA DE 3/8 19MM RC DFS-2</t>
  </si>
  <si>
    <t>14501T</t>
  </si>
  <si>
    <t>SUT. NYLON MONOFILAMENT NL166016F4P (ETHILON 6-0 160T)/45 CM AGUJA CURVA DE 3/8 36MM REVERSE CUTTING DFS-3</t>
  </si>
  <si>
    <t>160T</t>
  </si>
  <si>
    <t>SUT. NYLON MONOFILAMENT NL861000,65G7P (ETHILON 10-0 7718G)/30CMAGUJA CURVA ESPATULADA 3/8 6,5 MM DGT 140-8</t>
  </si>
  <si>
    <t>7718G</t>
  </si>
  <si>
    <t>SUT. POLYGLACTIN 910 G1180036B0P (VICRYL  0  J340H)/75 CM AGUJA CURVA DE 1/2 36MM RB DCT-1</t>
  </si>
  <si>
    <t>J340H</t>
  </si>
  <si>
    <t>SUT. POLYGLACTIN 910 G1182036BOP  (VICRYL  2-0  J339H) /70 CM AGUJA CURVA DE 1/2 36MM RB DCT-1</t>
  </si>
  <si>
    <t>j339H</t>
  </si>
  <si>
    <t>SUT. POLYGLACTIN 910 G1173019F4P (VICRYL  3-0  J123H)/70 CM AGUJA CURVA DE 3/8 19MM REVERSE CUTTING DFS-2</t>
  </si>
  <si>
    <t>J123H</t>
  </si>
  <si>
    <t>SUT. POLYGLACTIN 910 G1183026B0P (VICRYL 3-0 J316H/70 CM AGUJA CURVA DE 1/2 26MM RB DSH</t>
  </si>
  <si>
    <t>J316H</t>
  </si>
  <si>
    <t>SUT. POLYGLACTIN 910 G283036B0P (VICRYL  3-0  J338H)/75 CM AGUJA CURVA DE 1/2 36MM RB DCT-1</t>
  </si>
  <si>
    <t>J338H</t>
  </si>
  <si>
    <t>SUT. POLYGLACTIN 910 G1174019F4P  (VICRYL  4-0  J122H)/70 CM AGUJA CURVA DE 3/8 19MM REVERSE CUTTING DFS-2</t>
  </si>
  <si>
    <t>J122H</t>
  </si>
  <si>
    <t>SUT. POLIGLECAPRONE 25 MO1173019F13M (MONOCRYL 3-0 Y427H )/70 CM AGUJA CURVA DE 3/8 19MM PRECISION PT REV CUTTING DPS-2</t>
  </si>
  <si>
    <t>Y427H</t>
  </si>
  <si>
    <t>SUT. POLIGLECAPRONE 25 MO1174019F13M ( MONOCRYL 4-0 Y426H ) /70 CM AGUJA CURVA DE 3/8 19MM PRECISION PT REV CUTTING DPS-2</t>
  </si>
  <si>
    <t>Y426H</t>
  </si>
  <si>
    <t>POLYPROPYLENE  PM292060A4P (PROLENE 2-0  8623H)/75 CM AGUJA RECTA STR 60MM REVERSE CUTTING DKS PIEL</t>
  </si>
  <si>
    <t>8623H</t>
  </si>
  <si>
    <t>POLYPROPYLENE  PM193024F4P (PROLENE 3-0  8184T)/45 CM AGUJA CURVA DE 3/8 24MM REVERSE CUTTING DFS-1</t>
  </si>
  <si>
    <t>8184T</t>
  </si>
  <si>
    <t>POLYPROPYLENE  PM293060A4P (PROLENE 3-0  8622H)/75 CM AGUJA RECTA STR 60MM REVERSE CUTTING DKS PIEL</t>
  </si>
  <si>
    <t>8622H</t>
  </si>
  <si>
    <t>POLYPROPYLENE  PM194019F4P (PROLENE 4-0  8183T)/45 CM AGUJA CURVA DE 3/8 19MM REVERSE CUTTING DFS-2</t>
  </si>
  <si>
    <t>8183T</t>
  </si>
  <si>
    <t>POLYPROPILENE PM196016F4P(PROLENE 6-0  8160T )/45 CM AGUJA CURVA DE 3/8 16MM REVERSE CUTTING DFS-3</t>
  </si>
  <si>
    <t>8160T</t>
  </si>
  <si>
    <t>RAPID ABSORBABLE PGR273019F13M (3-0 RAPID A VR9923G)/75 CM AGUJA CURVA DE 3/8 19MM RC DPS-2</t>
  </si>
  <si>
    <t>VR9923G</t>
  </si>
  <si>
    <t>RAPID ABSORBABLE PGR1173019F13M (3-0 RAPID)</t>
  </si>
  <si>
    <t>SILK SK260026F4P (SEDA 0  K860H)/ 75 CM  AGUJA CURVA DE 3/8  26MM REVERSE CUTTING DFS</t>
  </si>
  <si>
    <t>K860H</t>
  </si>
  <si>
    <t>SILK SK260026B0P (SEDA 0  K834H)/ 75 CM AGUJA CURVA DE 1/2 26MM RB DSH</t>
  </si>
  <si>
    <t>K834H</t>
  </si>
  <si>
    <t>SILK SK10X2601 (SEDA 1 SA87T) NO NEEDLE</t>
  </si>
  <si>
    <t>SILK SK262026B0P (SEDA 2-0 K833H)  75 CM  AGUJA CURVA  1/2  26MM DSH</t>
  </si>
  <si>
    <t>K833H</t>
  </si>
  <si>
    <t>SILK SK262060A4P (SEDA 2-0 623H)/75 CM AGUJA RECTA STR 60MM REVERSE CUTTING DKS PIEL</t>
  </si>
  <si>
    <t>623H</t>
  </si>
  <si>
    <t>SILK SK262036B0P(SEDA 2-0 K843H)/75 CM AGUJA CURVA DE 1/2 36MM RB DCT-1</t>
  </si>
  <si>
    <t>k843H</t>
  </si>
  <si>
    <t>SILK SK10X2630 (SEDA 3-0 SA84T) / NO NEEDLE 10*75 CM / 10*30</t>
  </si>
  <si>
    <t>SA84T</t>
  </si>
  <si>
    <t>POLYESTER BRAIDED (WITHOUT  COVERING  PT15500,8E9P 5-0  1760G ) / 45CM 1/4 8MM CONVENTIONAL SPATULA DS-14</t>
  </si>
  <si>
    <t>1760G</t>
  </si>
  <si>
    <t>POLYESTER BRAIDED (WITHOUT  COVERING  PT15600,8E9P 6-0  1722G )/ 45CM 1/4 8MM  CONVENTIONAL SPATULA DS-14</t>
  </si>
  <si>
    <t>1722G</t>
  </si>
  <si>
    <t>POLYDIOXANONE PX1184019F4P 4/0/\MARCA DEMETECH</t>
  </si>
  <si>
    <t>PX1184019F4P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</si>
</sst>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6"/>
  <sheetViews>
    <sheetView tabSelected="1" topLeftCell="D1" workbookViewId="0">
      <selection activeCell="M3" sqref="M3:M46"/>
    </sheetView>
  </sheetViews>
  <sheetFormatPr baseColWidth="10" defaultRowHeight="14.4" x14ac:dyDescent="0.3"/>
  <cols>
    <col min="1" max="1" width="6" customWidth="1"/>
    <col min="2" max="2" width="17.5546875" customWidth="1"/>
    <col min="3" max="3" width="12.109375" customWidth="1"/>
    <col min="4" max="4" width="54" customWidth="1"/>
    <col min="5" max="5" width="14.6640625" bestFit="1" customWidth="1"/>
    <col min="6" max="6" width="10.77734375" bestFit="1" customWidth="1"/>
    <col min="7" max="7" width="23" customWidth="1"/>
    <col min="8" max="8" width="9.44140625" customWidth="1"/>
    <col min="9" max="9" width="16.21875" customWidth="1"/>
    <col min="10" max="10" width="27" customWidth="1"/>
    <col min="11" max="11" width="23" customWidth="1"/>
    <col min="12" max="12" width="21.5546875" customWidth="1"/>
    <col min="13" max="13" width="20.21875" customWidth="1"/>
    <col min="14" max="14" width="25.6640625" customWidth="1"/>
    <col min="15" max="15" width="28.33203125" customWidth="1"/>
    <col min="16" max="16" width="25.6640625" customWidth="1"/>
    <col min="17" max="17" width="36.44140625" customWidth="1"/>
    <col min="18" max="19" width="54" customWidth="1"/>
    <col min="20" max="20" width="12.109375" customWidth="1"/>
    <col min="21" max="21" width="10.77734375" customWidth="1"/>
    <col min="22" max="22" width="14.88671875" customWidth="1"/>
    <col min="23" max="23" width="16.21875" customWidth="1"/>
    <col min="24" max="25" width="6" customWidth="1"/>
    <col min="26" max="26" width="9.44140625" customWidth="1"/>
    <col min="27" max="27" width="16.21875" customWidth="1"/>
    <col min="28" max="29" width="24.33203125" customWidth="1"/>
    <col min="30" max="31" width="8.109375" customWidth="1"/>
    <col min="32" max="32" width="6.77734375" customWidth="1"/>
    <col min="33" max="33" width="9.44140625" customWidth="1"/>
    <col min="34" max="35" width="10.77734375" customWidth="1"/>
  </cols>
  <sheetData>
    <row r="1" spans="1:35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s="1" customFormat="1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6" t="s">
        <v>34</v>
      </c>
      <c r="AI2" s="6" t="s">
        <v>35</v>
      </c>
    </row>
    <row r="3" spans="1:35" x14ac:dyDescent="0.3">
      <c r="A3" s="2">
        <v>841</v>
      </c>
      <c r="B3" s="2">
        <v>252650403</v>
      </c>
      <c r="C3" s="2">
        <v>252650403</v>
      </c>
      <c r="D3" t="s">
        <v>44</v>
      </c>
      <c r="E3" t="s">
        <v>45</v>
      </c>
      <c r="F3" t="s">
        <v>43</v>
      </c>
      <c r="G3" s="3">
        <v>59.28</v>
      </c>
      <c r="H3" s="2">
        <v>0</v>
      </c>
      <c r="I3" s="2">
        <v>0</v>
      </c>
      <c r="J3" s="2">
        <v>0</v>
      </c>
      <c r="K3" s="3">
        <v>59.28</v>
      </c>
      <c r="L3" s="3">
        <v>0.65</v>
      </c>
      <c r="M3" s="7">
        <f>+K3/L3</f>
        <v>91.2</v>
      </c>
      <c r="N3" t="s">
        <v>39</v>
      </c>
      <c r="O3" t="s">
        <v>39</v>
      </c>
      <c r="P3" t="s">
        <v>39</v>
      </c>
      <c r="Q3" t="s">
        <v>40</v>
      </c>
      <c r="R3" t="s">
        <v>41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0</v>
      </c>
      <c r="AA3" s="2">
        <v>0</v>
      </c>
      <c r="AB3" s="2">
        <v>0</v>
      </c>
      <c r="AC3" s="2">
        <v>0</v>
      </c>
      <c r="AD3" t="s">
        <v>37</v>
      </c>
      <c r="AE3" s="2">
        <v>1</v>
      </c>
      <c r="AF3" s="2">
        <v>1</v>
      </c>
      <c r="AG3" s="2">
        <v>1</v>
      </c>
      <c r="AH3" t="s">
        <v>38</v>
      </c>
    </row>
    <row r="4" spans="1:35" x14ac:dyDescent="0.3">
      <c r="A4" s="2">
        <v>838</v>
      </c>
      <c r="B4" s="2">
        <v>252650410</v>
      </c>
      <c r="C4" s="2">
        <v>252650410</v>
      </c>
      <c r="D4" t="s">
        <v>47</v>
      </c>
      <c r="E4" t="s">
        <v>46</v>
      </c>
      <c r="F4" t="s">
        <v>43</v>
      </c>
      <c r="G4" s="3">
        <v>40.200000000000003</v>
      </c>
      <c r="H4" s="2">
        <v>0</v>
      </c>
      <c r="I4" s="2">
        <v>0</v>
      </c>
      <c r="J4" s="2">
        <v>0</v>
      </c>
      <c r="K4" s="3">
        <v>40.200000000000003</v>
      </c>
      <c r="L4" s="3">
        <v>0.55000000000000004</v>
      </c>
      <c r="M4" s="7">
        <f t="shared" ref="M4:M46" si="0">+K4/L4</f>
        <v>73.090909090909093</v>
      </c>
      <c r="N4" t="s">
        <v>39</v>
      </c>
      <c r="O4" t="s">
        <v>39</v>
      </c>
      <c r="P4" t="s">
        <v>39</v>
      </c>
      <c r="Q4" t="s">
        <v>40</v>
      </c>
      <c r="R4" t="s">
        <v>41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0</v>
      </c>
      <c r="AA4" s="2">
        <v>0</v>
      </c>
      <c r="AB4" s="2">
        <v>0</v>
      </c>
      <c r="AC4" s="2">
        <v>0</v>
      </c>
      <c r="AD4" t="s">
        <v>37</v>
      </c>
      <c r="AE4" s="2">
        <v>1</v>
      </c>
      <c r="AF4" s="2">
        <v>1</v>
      </c>
      <c r="AG4" s="2">
        <v>1</v>
      </c>
      <c r="AH4" t="s">
        <v>38</v>
      </c>
    </row>
    <row r="5" spans="1:35" x14ac:dyDescent="0.3">
      <c r="A5" s="2">
        <v>724</v>
      </c>
      <c r="B5" s="2">
        <v>252800426</v>
      </c>
      <c r="C5" s="2">
        <v>252800426</v>
      </c>
      <c r="D5" t="s">
        <v>49</v>
      </c>
      <c r="F5" t="s">
        <v>43</v>
      </c>
      <c r="G5">
        <v>25.200000000000003</v>
      </c>
      <c r="H5" s="2">
        <v>0</v>
      </c>
      <c r="I5" s="2">
        <v>0</v>
      </c>
      <c r="J5" s="2">
        <v>0</v>
      </c>
      <c r="K5" s="3">
        <v>25.200000000000003</v>
      </c>
      <c r="L5">
        <v>0.6</v>
      </c>
      <c r="M5" s="7">
        <f t="shared" si="0"/>
        <v>42.000000000000007</v>
      </c>
      <c r="N5" t="s">
        <v>39</v>
      </c>
      <c r="O5" t="s">
        <v>36</v>
      </c>
      <c r="P5" t="s">
        <v>39</v>
      </c>
      <c r="Q5" t="s">
        <v>40</v>
      </c>
      <c r="R5" t="s">
        <v>41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0</v>
      </c>
      <c r="AA5" s="2">
        <v>1</v>
      </c>
      <c r="AB5" s="2">
        <v>0</v>
      </c>
      <c r="AC5" s="2">
        <v>0</v>
      </c>
      <c r="AD5" t="s">
        <v>37</v>
      </c>
      <c r="AE5" s="2">
        <v>1</v>
      </c>
      <c r="AF5" s="2">
        <v>1</v>
      </c>
      <c r="AG5" s="2">
        <v>1</v>
      </c>
      <c r="AH5" t="s">
        <v>38</v>
      </c>
    </row>
    <row r="6" spans="1:35" x14ac:dyDescent="0.3">
      <c r="A6" s="2">
        <v>820</v>
      </c>
      <c r="B6" s="2">
        <v>252800923</v>
      </c>
      <c r="C6" s="2">
        <v>252800923</v>
      </c>
      <c r="D6" t="s">
        <v>50</v>
      </c>
      <c r="E6" t="s">
        <v>48</v>
      </c>
      <c r="F6" t="s">
        <v>43</v>
      </c>
      <c r="G6" s="3">
        <v>20.88</v>
      </c>
      <c r="H6" s="2">
        <v>0</v>
      </c>
      <c r="I6" s="2">
        <v>0</v>
      </c>
      <c r="J6" s="2">
        <v>0</v>
      </c>
      <c r="K6" s="3">
        <v>20.88</v>
      </c>
      <c r="L6" s="3">
        <v>0.59</v>
      </c>
      <c r="M6" s="7">
        <f t="shared" si="0"/>
        <v>35.389830508474574</v>
      </c>
      <c r="N6" t="s">
        <v>39</v>
      </c>
      <c r="O6" t="s">
        <v>39</v>
      </c>
      <c r="P6" t="s">
        <v>39</v>
      </c>
      <c r="Q6" t="s">
        <v>40</v>
      </c>
      <c r="R6" t="s">
        <v>41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0</v>
      </c>
      <c r="AA6" s="2">
        <v>0</v>
      </c>
      <c r="AB6" s="2">
        <v>0</v>
      </c>
      <c r="AC6" s="2">
        <v>0</v>
      </c>
      <c r="AD6" t="s">
        <v>37</v>
      </c>
      <c r="AE6" s="2">
        <v>1</v>
      </c>
      <c r="AF6" s="2">
        <v>1</v>
      </c>
      <c r="AG6" s="2">
        <v>1</v>
      </c>
      <c r="AH6" t="s">
        <v>38</v>
      </c>
    </row>
    <row r="7" spans="1:35" x14ac:dyDescent="0.3">
      <c r="A7" s="2">
        <v>821</v>
      </c>
      <c r="B7" s="2">
        <v>252800924</v>
      </c>
      <c r="C7" s="2">
        <v>252800924</v>
      </c>
      <c r="D7" t="s">
        <v>51</v>
      </c>
      <c r="E7" t="s">
        <v>52</v>
      </c>
      <c r="F7" t="s">
        <v>43</v>
      </c>
      <c r="G7" s="3">
        <v>20.88</v>
      </c>
      <c r="H7" s="2">
        <v>0</v>
      </c>
      <c r="I7" s="2">
        <v>0</v>
      </c>
      <c r="J7" s="2">
        <v>0</v>
      </c>
      <c r="K7" s="3">
        <v>20.88</v>
      </c>
      <c r="L7" s="3">
        <v>0.59</v>
      </c>
      <c r="M7" s="7">
        <f t="shared" si="0"/>
        <v>35.389830508474574</v>
      </c>
      <c r="N7" t="s">
        <v>39</v>
      </c>
      <c r="O7" t="s">
        <v>39</v>
      </c>
      <c r="P7" t="s">
        <v>39</v>
      </c>
      <c r="Q7" t="s">
        <v>40</v>
      </c>
      <c r="R7" t="s">
        <v>41</v>
      </c>
      <c r="T7" s="2">
        <v>1</v>
      </c>
      <c r="U7" s="2">
        <v>1</v>
      </c>
      <c r="V7" s="2">
        <v>1</v>
      </c>
      <c r="W7" s="2">
        <v>5</v>
      </c>
      <c r="X7" s="2">
        <v>1</v>
      </c>
      <c r="Y7" s="2">
        <v>1</v>
      </c>
      <c r="Z7" s="2">
        <v>0</v>
      </c>
      <c r="AA7" s="2">
        <v>0</v>
      </c>
      <c r="AB7" s="2">
        <v>0</v>
      </c>
      <c r="AC7" s="2">
        <v>0</v>
      </c>
      <c r="AD7" t="s">
        <v>37</v>
      </c>
      <c r="AE7" s="2">
        <v>1</v>
      </c>
      <c r="AF7" s="2">
        <v>1</v>
      </c>
      <c r="AG7" s="2">
        <v>1</v>
      </c>
      <c r="AH7" t="s">
        <v>38</v>
      </c>
    </row>
    <row r="8" spans="1:35" x14ac:dyDescent="0.3">
      <c r="A8" s="2">
        <v>794</v>
      </c>
      <c r="B8" s="2">
        <v>252800925</v>
      </c>
      <c r="C8" s="2">
        <v>252800925</v>
      </c>
      <c r="D8" t="s">
        <v>53</v>
      </c>
      <c r="E8" t="s">
        <v>54</v>
      </c>
      <c r="F8" t="s">
        <v>43</v>
      </c>
      <c r="G8" s="3">
        <v>18.48</v>
      </c>
      <c r="H8" s="2">
        <v>0</v>
      </c>
      <c r="I8" s="2">
        <v>0</v>
      </c>
      <c r="J8" s="2">
        <v>0</v>
      </c>
      <c r="K8" s="3">
        <v>18.48</v>
      </c>
      <c r="L8" s="3">
        <v>0.59</v>
      </c>
      <c r="M8" s="7">
        <f t="shared" si="0"/>
        <v>31.322033898305087</v>
      </c>
      <c r="N8" t="s">
        <v>39</v>
      </c>
      <c r="O8" t="s">
        <v>39</v>
      </c>
      <c r="P8" t="s">
        <v>39</v>
      </c>
      <c r="Q8" t="s">
        <v>40</v>
      </c>
      <c r="R8" t="s">
        <v>41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0</v>
      </c>
      <c r="AA8" s="2">
        <v>0</v>
      </c>
      <c r="AB8" s="2">
        <v>0</v>
      </c>
      <c r="AC8" s="2">
        <v>0</v>
      </c>
      <c r="AD8" t="s">
        <v>37</v>
      </c>
      <c r="AE8" s="2">
        <v>1</v>
      </c>
      <c r="AF8" s="2">
        <v>1</v>
      </c>
      <c r="AG8" s="2">
        <v>1</v>
      </c>
      <c r="AH8" t="s">
        <v>38</v>
      </c>
    </row>
    <row r="9" spans="1:35" x14ac:dyDescent="0.3">
      <c r="A9" s="2">
        <v>795</v>
      </c>
      <c r="B9" s="2">
        <v>252800926</v>
      </c>
      <c r="C9" s="2">
        <v>252800926</v>
      </c>
      <c r="D9" t="s">
        <v>55</v>
      </c>
      <c r="E9" t="s">
        <v>56</v>
      </c>
      <c r="F9" t="s">
        <v>43</v>
      </c>
      <c r="G9" s="3">
        <v>19.799999999999997</v>
      </c>
      <c r="H9" s="2">
        <v>0</v>
      </c>
      <c r="I9" s="2">
        <v>0</v>
      </c>
      <c r="J9" s="2">
        <v>0</v>
      </c>
      <c r="K9" s="3">
        <v>19.799999999999997</v>
      </c>
      <c r="L9">
        <v>0.6</v>
      </c>
      <c r="M9" s="7">
        <f t="shared" si="0"/>
        <v>33</v>
      </c>
      <c r="N9" t="s">
        <v>39</v>
      </c>
      <c r="O9" t="s">
        <v>39</v>
      </c>
      <c r="P9" t="s">
        <v>39</v>
      </c>
      <c r="Q9" t="s">
        <v>40</v>
      </c>
      <c r="R9" t="s">
        <v>41</v>
      </c>
      <c r="T9" s="2">
        <v>1</v>
      </c>
      <c r="U9" s="2">
        <v>1</v>
      </c>
      <c r="V9" s="2">
        <v>1</v>
      </c>
      <c r="W9" s="2">
        <v>1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t="s">
        <v>37</v>
      </c>
      <c r="AE9" s="2">
        <v>0</v>
      </c>
      <c r="AF9" s="2">
        <v>0</v>
      </c>
      <c r="AG9" s="2">
        <v>0</v>
      </c>
      <c r="AH9" t="s">
        <v>38</v>
      </c>
    </row>
    <row r="10" spans="1:35" x14ac:dyDescent="0.3">
      <c r="A10" s="2">
        <v>831</v>
      </c>
      <c r="B10" s="2">
        <v>252800927</v>
      </c>
      <c r="C10" s="2">
        <v>252800927</v>
      </c>
      <c r="D10" t="s">
        <v>57</v>
      </c>
      <c r="E10" t="s">
        <v>58</v>
      </c>
      <c r="F10" t="s">
        <v>43</v>
      </c>
      <c r="G10" s="3">
        <v>18.48</v>
      </c>
      <c r="H10" s="2">
        <v>0</v>
      </c>
      <c r="I10" s="2">
        <v>0</v>
      </c>
      <c r="J10" s="2">
        <v>0</v>
      </c>
      <c r="K10" s="3">
        <v>18.48</v>
      </c>
      <c r="L10" s="3">
        <v>0.59</v>
      </c>
      <c r="M10" s="7">
        <f t="shared" si="0"/>
        <v>31.322033898305087</v>
      </c>
      <c r="N10" t="s">
        <v>39</v>
      </c>
      <c r="O10" t="s">
        <v>39</v>
      </c>
      <c r="P10" t="s">
        <v>39</v>
      </c>
      <c r="Q10" t="s">
        <v>40</v>
      </c>
      <c r="R10" t="s">
        <v>41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0</v>
      </c>
      <c r="AA10" s="2">
        <v>0</v>
      </c>
      <c r="AB10" s="2">
        <v>0</v>
      </c>
      <c r="AC10" s="2">
        <v>0</v>
      </c>
      <c r="AD10" t="s">
        <v>37</v>
      </c>
      <c r="AE10" s="2">
        <v>1</v>
      </c>
      <c r="AF10" s="2">
        <v>1</v>
      </c>
      <c r="AG10" s="2">
        <v>1</v>
      </c>
      <c r="AH10" t="s">
        <v>38</v>
      </c>
    </row>
    <row r="11" spans="1:35" x14ac:dyDescent="0.3">
      <c r="A11" s="2">
        <v>832</v>
      </c>
      <c r="B11" s="2">
        <v>252800928</v>
      </c>
      <c r="C11" s="2">
        <v>252800928</v>
      </c>
      <c r="D11" t="s">
        <v>59</v>
      </c>
      <c r="E11" s="2">
        <v>842</v>
      </c>
      <c r="F11" t="s">
        <v>43</v>
      </c>
      <c r="G11" s="3">
        <v>19.68</v>
      </c>
      <c r="H11" s="2">
        <v>0</v>
      </c>
      <c r="I11" s="2">
        <v>0</v>
      </c>
      <c r="J11" s="2">
        <v>0</v>
      </c>
      <c r="K11" s="3">
        <v>19.68</v>
      </c>
      <c r="L11" s="3">
        <v>0.59</v>
      </c>
      <c r="M11" s="7">
        <f t="shared" si="0"/>
        <v>33.355932203389834</v>
      </c>
      <c r="N11" t="s">
        <v>39</v>
      </c>
      <c r="O11" t="s">
        <v>39</v>
      </c>
      <c r="P11" t="s">
        <v>39</v>
      </c>
      <c r="Q11" t="s">
        <v>40</v>
      </c>
      <c r="R11" t="s">
        <v>41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0</v>
      </c>
      <c r="AA11" s="2">
        <v>0</v>
      </c>
      <c r="AB11" s="2">
        <v>0</v>
      </c>
      <c r="AC11" s="2">
        <v>0</v>
      </c>
      <c r="AD11" t="s">
        <v>37</v>
      </c>
      <c r="AE11" s="2">
        <v>1</v>
      </c>
      <c r="AF11" s="2">
        <v>1</v>
      </c>
      <c r="AG11" s="2">
        <v>1</v>
      </c>
      <c r="AH11" t="s">
        <v>38</v>
      </c>
    </row>
    <row r="12" spans="1:35" x14ac:dyDescent="0.3">
      <c r="A12" s="2">
        <v>822</v>
      </c>
      <c r="B12" s="2">
        <v>252800929</v>
      </c>
      <c r="C12" s="2">
        <v>252800929</v>
      </c>
      <c r="D12" t="s">
        <v>60</v>
      </c>
      <c r="E12" t="s">
        <v>61</v>
      </c>
      <c r="F12" t="s">
        <v>43</v>
      </c>
      <c r="G12" s="3">
        <v>16.440000000000001</v>
      </c>
      <c r="H12" s="2">
        <v>0</v>
      </c>
      <c r="I12" s="2">
        <v>0</v>
      </c>
      <c r="J12" s="2">
        <v>0</v>
      </c>
      <c r="K12" s="3">
        <v>16.440000000000001</v>
      </c>
      <c r="L12" s="3">
        <v>0.59</v>
      </c>
      <c r="M12" s="7">
        <f t="shared" si="0"/>
        <v>27.864406779661021</v>
      </c>
      <c r="N12" t="s">
        <v>39</v>
      </c>
      <c r="O12" t="s">
        <v>39</v>
      </c>
      <c r="P12" t="s">
        <v>39</v>
      </c>
      <c r="Q12" t="s">
        <v>40</v>
      </c>
      <c r="R12" t="s">
        <v>41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0</v>
      </c>
      <c r="AA12" s="2">
        <v>0</v>
      </c>
      <c r="AB12" s="2">
        <v>0</v>
      </c>
      <c r="AC12" s="2">
        <v>0</v>
      </c>
      <c r="AD12" t="s">
        <v>37</v>
      </c>
      <c r="AE12" s="2">
        <v>1</v>
      </c>
      <c r="AF12" s="2">
        <v>1</v>
      </c>
      <c r="AG12" s="2">
        <v>1</v>
      </c>
      <c r="AH12" t="s">
        <v>38</v>
      </c>
    </row>
    <row r="13" spans="1:35" x14ac:dyDescent="0.3">
      <c r="A13" s="2">
        <v>828</v>
      </c>
      <c r="B13" s="2">
        <v>252800930</v>
      </c>
      <c r="C13" s="2">
        <v>252800930</v>
      </c>
      <c r="D13" t="s">
        <v>62</v>
      </c>
      <c r="E13" t="s">
        <v>63</v>
      </c>
      <c r="F13" t="s">
        <v>43</v>
      </c>
      <c r="G13" s="3">
        <v>16.440000000000001</v>
      </c>
      <c r="H13" s="2">
        <v>0</v>
      </c>
      <c r="I13" s="2">
        <v>0</v>
      </c>
      <c r="J13" s="2">
        <v>0</v>
      </c>
      <c r="K13" s="3">
        <v>16.440000000000001</v>
      </c>
      <c r="L13" s="3">
        <v>0.59</v>
      </c>
      <c r="M13" s="7">
        <f t="shared" si="0"/>
        <v>27.864406779661021</v>
      </c>
      <c r="N13" t="s">
        <v>39</v>
      </c>
      <c r="O13" t="s">
        <v>39</v>
      </c>
      <c r="P13" t="s">
        <v>39</v>
      </c>
      <c r="Q13" t="s">
        <v>40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0</v>
      </c>
      <c r="AA13" s="2">
        <v>0</v>
      </c>
      <c r="AB13" s="2">
        <v>0</v>
      </c>
      <c r="AC13" s="2">
        <v>0</v>
      </c>
      <c r="AD13" t="s">
        <v>37</v>
      </c>
      <c r="AE13" s="2">
        <v>1</v>
      </c>
      <c r="AF13" s="2">
        <v>1</v>
      </c>
      <c r="AG13" s="2">
        <v>1</v>
      </c>
      <c r="AH13" t="s">
        <v>38</v>
      </c>
    </row>
    <row r="14" spans="1:35" x14ac:dyDescent="0.3">
      <c r="A14" s="2">
        <v>829</v>
      </c>
      <c r="B14" s="2">
        <v>252800931</v>
      </c>
      <c r="C14" s="2">
        <v>252800931</v>
      </c>
      <c r="D14" t="s">
        <v>64</v>
      </c>
      <c r="E14" t="s">
        <v>65</v>
      </c>
      <c r="F14" t="s">
        <v>43</v>
      </c>
      <c r="G14" s="3">
        <v>16.440000000000001</v>
      </c>
      <c r="H14" s="2">
        <v>0</v>
      </c>
      <c r="I14" s="2">
        <v>0</v>
      </c>
      <c r="J14" s="2">
        <v>0</v>
      </c>
      <c r="K14" s="3">
        <v>16.440000000000001</v>
      </c>
      <c r="L14" s="3">
        <v>0.59</v>
      </c>
      <c r="M14" s="7">
        <f t="shared" si="0"/>
        <v>27.864406779661021</v>
      </c>
      <c r="N14" t="s">
        <v>39</v>
      </c>
      <c r="O14" t="s">
        <v>39</v>
      </c>
      <c r="P14" t="s">
        <v>39</v>
      </c>
      <c r="Q14" t="s">
        <v>40</v>
      </c>
      <c r="R14" t="s">
        <v>41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0</v>
      </c>
      <c r="AA14" s="2">
        <v>0</v>
      </c>
      <c r="AB14" s="2">
        <v>0</v>
      </c>
      <c r="AC14" s="2">
        <v>0</v>
      </c>
      <c r="AD14" t="s">
        <v>37</v>
      </c>
      <c r="AE14" s="2">
        <v>1</v>
      </c>
      <c r="AF14" s="2">
        <v>1</v>
      </c>
      <c r="AG14" s="2">
        <v>1</v>
      </c>
      <c r="AH14" t="s">
        <v>38</v>
      </c>
    </row>
    <row r="15" spans="1:35" x14ac:dyDescent="0.3">
      <c r="A15" s="2">
        <v>824</v>
      </c>
      <c r="B15" s="2">
        <v>252800932</v>
      </c>
      <c r="C15" s="2">
        <v>252800932</v>
      </c>
      <c r="D15" t="s">
        <v>66</v>
      </c>
      <c r="E15" t="s">
        <v>67</v>
      </c>
      <c r="F15" t="s">
        <v>43</v>
      </c>
      <c r="G15" s="3">
        <v>16.440000000000001</v>
      </c>
      <c r="H15" s="2">
        <v>0</v>
      </c>
      <c r="I15" s="2">
        <v>0</v>
      </c>
      <c r="J15" s="2">
        <v>0</v>
      </c>
      <c r="K15" s="3">
        <v>16.440000000000001</v>
      </c>
      <c r="L15" s="3">
        <v>0.59</v>
      </c>
      <c r="M15" s="7">
        <f t="shared" si="0"/>
        <v>27.864406779661021</v>
      </c>
      <c r="N15" t="s">
        <v>39</v>
      </c>
      <c r="O15" t="s">
        <v>39</v>
      </c>
      <c r="P15" t="s">
        <v>39</v>
      </c>
      <c r="Q15" t="s">
        <v>40</v>
      </c>
      <c r="R15" t="s">
        <v>41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0</v>
      </c>
      <c r="AA15" s="2">
        <v>0</v>
      </c>
      <c r="AB15" s="2">
        <v>0</v>
      </c>
      <c r="AC15" s="2">
        <v>0</v>
      </c>
      <c r="AD15" t="s">
        <v>37</v>
      </c>
      <c r="AE15" s="2">
        <v>1</v>
      </c>
      <c r="AF15" s="2">
        <v>1</v>
      </c>
      <c r="AG15" s="2">
        <v>1</v>
      </c>
      <c r="AH15" t="s">
        <v>38</v>
      </c>
    </row>
    <row r="16" spans="1:35" x14ac:dyDescent="0.3">
      <c r="A16" s="2">
        <v>823</v>
      </c>
      <c r="B16" s="2">
        <v>252800933</v>
      </c>
      <c r="C16" s="2">
        <v>252800933</v>
      </c>
      <c r="D16" t="s">
        <v>68</v>
      </c>
      <c r="E16" t="s">
        <v>69</v>
      </c>
      <c r="F16" t="s">
        <v>43</v>
      </c>
      <c r="G16" s="3">
        <v>15.24</v>
      </c>
      <c r="H16" s="2">
        <v>0</v>
      </c>
      <c r="I16" s="2">
        <v>0</v>
      </c>
      <c r="J16" s="2">
        <v>0</v>
      </c>
      <c r="K16" s="3">
        <v>15.24</v>
      </c>
      <c r="L16" s="3">
        <v>0.59</v>
      </c>
      <c r="M16" s="7">
        <f t="shared" si="0"/>
        <v>25.830508474576273</v>
      </c>
      <c r="N16" t="s">
        <v>39</v>
      </c>
      <c r="O16" t="s">
        <v>39</v>
      </c>
      <c r="P16" t="s">
        <v>39</v>
      </c>
      <c r="Q16" t="s">
        <v>40</v>
      </c>
      <c r="R16" t="s">
        <v>41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0</v>
      </c>
      <c r="AA16" s="2">
        <v>0</v>
      </c>
      <c r="AB16" s="2">
        <v>0</v>
      </c>
      <c r="AC16" s="2">
        <v>0</v>
      </c>
      <c r="AD16" t="s">
        <v>37</v>
      </c>
      <c r="AE16" s="2">
        <v>1</v>
      </c>
      <c r="AF16" s="2">
        <v>1</v>
      </c>
      <c r="AG16" s="2">
        <v>1</v>
      </c>
      <c r="AH16" t="s">
        <v>38</v>
      </c>
    </row>
    <row r="17" spans="1:34" x14ac:dyDescent="0.3">
      <c r="A17" s="2">
        <v>825</v>
      </c>
      <c r="B17" s="2">
        <v>252800934</v>
      </c>
      <c r="C17" s="2">
        <v>252800934</v>
      </c>
      <c r="D17" t="s">
        <v>70</v>
      </c>
      <c r="E17" t="s">
        <v>71</v>
      </c>
      <c r="F17" t="s">
        <v>43</v>
      </c>
      <c r="G17" s="3">
        <v>16.440000000000001</v>
      </c>
      <c r="H17" s="2">
        <v>0</v>
      </c>
      <c r="I17" s="2">
        <v>0</v>
      </c>
      <c r="J17" s="2">
        <v>0</v>
      </c>
      <c r="K17" s="3">
        <v>16.440000000000001</v>
      </c>
      <c r="L17" s="3">
        <v>0.59</v>
      </c>
      <c r="M17" s="7">
        <f t="shared" si="0"/>
        <v>27.864406779661021</v>
      </c>
      <c r="N17" t="s">
        <v>39</v>
      </c>
      <c r="O17" t="s">
        <v>39</v>
      </c>
      <c r="P17" t="s">
        <v>39</v>
      </c>
      <c r="Q17" t="s">
        <v>40</v>
      </c>
      <c r="R17" t="s">
        <v>41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1</v>
      </c>
      <c r="Z17" s="2">
        <v>0</v>
      </c>
      <c r="AA17" s="2">
        <v>0</v>
      </c>
      <c r="AB17" s="2">
        <v>0</v>
      </c>
      <c r="AC17" s="2">
        <v>0</v>
      </c>
      <c r="AD17" t="s">
        <v>37</v>
      </c>
      <c r="AE17" s="2">
        <v>1</v>
      </c>
      <c r="AF17" s="2">
        <v>1</v>
      </c>
      <c r="AG17" s="2">
        <v>1</v>
      </c>
      <c r="AH17" t="s">
        <v>38</v>
      </c>
    </row>
    <row r="18" spans="1:34" x14ac:dyDescent="0.3">
      <c r="A18" s="2">
        <v>826</v>
      </c>
      <c r="B18" s="2">
        <v>252800935</v>
      </c>
      <c r="C18" s="2">
        <v>252800935</v>
      </c>
      <c r="D18" t="s">
        <v>72</v>
      </c>
      <c r="E18" t="s">
        <v>73</v>
      </c>
      <c r="F18" t="s">
        <v>43</v>
      </c>
      <c r="G18" s="3">
        <v>18.48</v>
      </c>
      <c r="H18" s="2">
        <v>0</v>
      </c>
      <c r="I18" s="2">
        <v>0</v>
      </c>
      <c r="J18" s="2">
        <v>0</v>
      </c>
      <c r="K18" s="3">
        <v>18.48</v>
      </c>
      <c r="L18" s="3">
        <v>0.59</v>
      </c>
      <c r="M18" s="7">
        <f t="shared" si="0"/>
        <v>31.322033898305087</v>
      </c>
      <c r="N18" t="s">
        <v>39</v>
      </c>
      <c r="O18" t="s">
        <v>39</v>
      </c>
      <c r="P18" t="s">
        <v>39</v>
      </c>
      <c r="Q18" t="s">
        <v>40</v>
      </c>
      <c r="R18" t="s">
        <v>41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0</v>
      </c>
      <c r="AA18" s="2">
        <v>0</v>
      </c>
      <c r="AB18" s="2">
        <v>0</v>
      </c>
      <c r="AC18" s="2">
        <v>0</v>
      </c>
      <c r="AD18" t="s">
        <v>37</v>
      </c>
      <c r="AE18" s="2">
        <v>1</v>
      </c>
      <c r="AF18" s="2">
        <v>1</v>
      </c>
      <c r="AG18" s="2">
        <v>1</v>
      </c>
      <c r="AH18" t="s">
        <v>38</v>
      </c>
    </row>
    <row r="19" spans="1:34" x14ac:dyDescent="0.3">
      <c r="A19" s="2">
        <v>827</v>
      </c>
      <c r="B19" s="2">
        <v>252800936</v>
      </c>
      <c r="C19" s="2">
        <v>252800936</v>
      </c>
      <c r="D19" t="s">
        <v>74</v>
      </c>
      <c r="E19" t="s">
        <v>75</v>
      </c>
      <c r="F19" t="s">
        <v>43</v>
      </c>
      <c r="G19" s="3">
        <v>20.04</v>
      </c>
      <c r="H19" s="2">
        <v>0</v>
      </c>
      <c r="I19" s="2">
        <v>0</v>
      </c>
      <c r="J19" s="2">
        <v>0</v>
      </c>
      <c r="K19" s="3">
        <v>20.04</v>
      </c>
      <c r="L19" s="3">
        <v>0.59</v>
      </c>
      <c r="M19" s="7">
        <f t="shared" si="0"/>
        <v>33.966101694915253</v>
      </c>
      <c r="N19" t="s">
        <v>39</v>
      </c>
      <c r="O19" t="s">
        <v>39</v>
      </c>
      <c r="P19" t="s">
        <v>39</v>
      </c>
      <c r="Q19" t="s">
        <v>40</v>
      </c>
      <c r="R19" t="s">
        <v>41</v>
      </c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0</v>
      </c>
      <c r="AA19" s="2">
        <v>0</v>
      </c>
      <c r="AB19" s="2">
        <v>0</v>
      </c>
      <c r="AC19" s="2">
        <v>0</v>
      </c>
      <c r="AD19" t="s">
        <v>37</v>
      </c>
      <c r="AE19" s="2">
        <v>1</v>
      </c>
      <c r="AF19" s="2">
        <v>1</v>
      </c>
      <c r="AG19" s="2">
        <v>1</v>
      </c>
      <c r="AH19" t="s">
        <v>38</v>
      </c>
    </row>
    <row r="20" spans="1:34" x14ac:dyDescent="0.3">
      <c r="A20" s="2">
        <v>830</v>
      </c>
      <c r="B20" s="2">
        <v>252800937</v>
      </c>
      <c r="C20" s="2">
        <v>252800937</v>
      </c>
      <c r="D20" t="s">
        <v>76</v>
      </c>
      <c r="E20" t="s">
        <v>77</v>
      </c>
      <c r="F20" t="s">
        <v>43</v>
      </c>
      <c r="G20" s="3">
        <v>120.72</v>
      </c>
      <c r="H20" s="2">
        <v>0</v>
      </c>
      <c r="I20" s="2">
        <v>0</v>
      </c>
      <c r="J20" s="2">
        <v>0</v>
      </c>
      <c r="K20" s="3">
        <v>120.72</v>
      </c>
      <c r="L20" s="3">
        <v>0.59</v>
      </c>
      <c r="M20" s="7">
        <f t="shared" si="0"/>
        <v>204.61016949152543</v>
      </c>
      <c r="N20" t="s">
        <v>39</v>
      </c>
      <c r="O20" t="s">
        <v>39</v>
      </c>
      <c r="P20" t="s">
        <v>39</v>
      </c>
      <c r="Q20" t="s">
        <v>40</v>
      </c>
      <c r="R20" t="s">
        <v>41</v>
      </c>
      <c r="T20" s="2">
        <v>1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0</v>
      </c>
      <c r="AA20" s="2">
        <v>0</v>
      </c>
      <c r="AB20" s="2">
        <v>0</v>
      </c>
      <c r="AC20" s="2">
        <v>0</v>
      </c>
      <c r="AD20" t="s">
        <v>37</v>
      </c>
      <c r="AE20" s="2">
        <v>1</v>
      </c>
      <c r="AF20" s="2">
        <v>1</v>
      </c>
      <c r="AG20" s="2">
        <v>1</v>
      </c>
      <c r="AH20" t="s">
        <v>38</v>
      </c>
    </row>
    <row r="21" spans="1:34" x14ac:dyDescent="0.3">
      <c r="A21" s="2">
        <v>837</v>
      </c>
      <c r="B21" s="2">
        <v>252800938</v>
      </c>
      <c r="C21" s="2">
        <v>252800938</v>
      </c>
      <c r="D21" t="s">
        <v>78</v>
      </c>
      <c r="E21" t="s">
        <v>79</v>
      </c>
      <c r="F21" t="s">
        <v>43</v>
      </c>
      <c r="G21" s="3">
        <v>33</v>
      </c>
      <c r="H21" s="2">
        <v>0</v>
      </c>
      <c r="I21" s="2">
        <v>0</v>
      </c>
      <c r="J21" s="2">
        <v>0</v>
      </c>
      <c r="K21" s="3">
        <v>33</v>
      </c>
      <c r="L21" s="3">
        <v>0.59</v>
      </c>
      <c r="M21" s="7">
        <f t="shared" si="0"/>
        <v>55.932203389830512</v>
      </c>
      <c r="N21" t="s">
        <v>39</v>
      </c>
      <c r="O21" t="s">
        <v>39</v>
      </c>
      <c r="P21" t="s">
        <v>39</v>
      </c>
      <c r="Q21" t="s">
        <v>40</v>
      </c>
      <c r="R21" t="s">
        <v>41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0</v>
      </c>
      <c r="AA21" s="2">
        <v>0</v>
      </c>
      <c r="AB21" s="2">
        <v>0</v>
      </c>
      <c r="AC21" s="2">
        <v>0</v>
      </c>
      <c r="AD21" t="s">
        <v>37</v>
      </c>
      <c r="AE21" s="2">
        <v>1</v>
      </c>
      <c r="AF21" s="2">
        <v>1</v>
      </c>
      <c r="AG21" s="2">
        <v>1</v>
      </c>
      <c r="AH21" t="s">
        <v>38</v>
      </c>
    </row>
    <row r="22" spans="1:34" x14ac:dyDescent="0.3">
      <c r="A22" s="2">
        <v>839</v>
      </c>
      <c r="B22" s="2">
        <v>252800939</v>
      </c>
      <c r="C22" s="2">
        <v>252800939</v>
      </c>
      <c r="D22" t="s">
        <v>80</v>
      </c>
      <c r="E22" t="s">
        <v>81</v>
      </c>
      <c r="F22" t="s">
        <v>43</v>
      </c>
      <c r="G22">
        <v>36.57</v>
      </c>
      <c r="H22" s="2">
        <v>0</v>
      </c>
      <c r="I22" s="2">
        <v>0</v>
      </c>
      <c r="J22" s="2">
        <v>0</v>
      </c>
      <c r="K22" s="3">
        <v>36.57</v>
      </c>
      <c r="L22" s="3">
        <v>0.59</v>
      </c>
      <c r="M22" s="7">
        <f t="shared" si="0"/>
        <v>61.983050847457633</v>
      </c>
      <c r="N22" t="s">
        <v>39</v>
      </c>
      <c r="O22" t="s">
        <v>39</v>
      </c>
      <c r="P22" t="s">
        <v>39</v>
      </c>
      <c r="Q22" t="s">
        <v>40</v>
      </c>
      <c r="R22" t="s">
        <v>41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0</v>
      </c>
      <c r="AA22" s="2">
        <v>0</v>
      </c>
      <c r="AB22" s="2">
        <v>0</v>
      </c>
      <c r="AC22" s="2">
        <v>0</v>
      </c>
      <c r="AD22" t="s">
        <v>37</v>
      </c>
      <c r="AE22" s="2">
        <v>1</v>
      </c>
      <c r="AF22" s="2">
        <v>1</v>
      </c>
      <c r="AG22" s="2">
        <v>1</v>
      </c>
      <c r="AH22" t="s">
        <v>38</v>
      </c>
    </row>
    <row r="23" spans="1:34" x14ac:dyDescent="0.3">
      <c r="A23" s="2">
        <v>835</v>
      </c>
      <c r="B23" s="2">
        <v>252800940</v>
      </c>
      <c r="C23" s="2">
        <v>252800940</v>
      </c>
      <c r="D23" t="s">
        <v>82</v>
      </c>
      <c r="E23" t="s">
        <v>83</v>
      </c>
      <c r="F23" t="s">
        <v>43</v>
      </c>
      <c r="G23" s="3">
        <v>32.519999999999996</v>
      </c>
      <c r="H23" s="2">
        <v>0</v>
      </c>
      <c r="I23" s="2">
        <v>0</v>
      </c>
      <c r="J23" s="2">
        <v>0</v>
      </c>
      <c r="K23" s="3">
        <v>32.519999999999996</v>
      </c>
      <c r="L23" s="3">
        <v>0.59</v>
      </c>
      <c r="M23" s="7">
        <f t="shared" si="0"/>
        <v>55.118644067796609</v>
      </c>
      <c r="N23" t="s">
        <v>39</v>
      </c>
      <c r="O23" t="s">
        <v>39</v>
      </c>
      <c r="P23" t="s">
        <v>39</v>
      </c>
      <c r="Q23" t="s">
        <v>40</v>
      </c>
      <c r="R23" t="s">
        <v>41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0</v>
      </c>
      <c r="AA23" s="2">
        <v>0</v>
      </c>
      <c r="AB23" s="2">
        <v>0</v>
      </c>
      <c r="AC23" s="2">
        <v>0</v>
      </c>
      <c r="AD23" t="s">
        <v>37</v>
      </c>
      <c r="AE23" s="2">
        <v>1</v>
      </c>
      <c r="AF23" s="2">
        <v>1</v>
      </c>
      <c r="AG23" s="2">
        <v>1</v>
      </c>
      <c r="AH23" t="s">
        <v>38</v>
      </c>
    </row>
    <row r="24" spans="1:34" x14ac:dyDescent="0.3">
      <c r="A24" s="2">
        <v>840</v>
      </c>
      <c r="B24" s="2">
        <v>252800941</v>
      </c>
      <c r="C24" s="2">
        <v>252800941</v>
      </c>
      <c r="D24" t="s">
        <v>84</v>
      </c>
      <c r="E24" t="s">
        <v>85</v>
      </c>
      <c r="F24" t="s">
        <v>43</v>
      </c>
      <c r="G24" s="3">
        <v>31.68</v>
      </c>
      <c r="H24" s="2">
        <v>0</v>
      </c>
      <c r="I24" s="2">
        <v>0</v>
      </c>
      <c r="J24" s="2">
        <v>0</v>
      </c>
      <c r="K24" s="3">
        <v>31.68</v>
      </c>
      <c r="L24" s="3">
        <v>0.59</v>
      </c>
      <c r="M24" s="7">
        <f t="shared" si="0"/>
        <v>53.694915254237287</v>
      </c>
      <c r="N24" t="s">
        <v>39</v>
      </c>
      <c r="O24" t="s">
        <v>39</v>
      </c>
      <c r="P24" t="s">
        <v>39</v>
      </c>
      <c r="Q24" t="s">
        <v>40</v>
      </c>
      <c r="R24" t="s">
        <v>41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0</v>
      </c>
      <c r="AA24" s="2">
        <v>0</v>
      </c>
      <c r="AB24" s="2">
        <v>0</v>
      </c>
      <c r="AC24" s="2">
        <v>0</v>
      </c>
      <c r="AD24" t="s">
        <v>37</v>
      </c>
      <c r="AE24" s="2">
        <v>1</v>
      </c>
      <c r="AF24" s="2">
        <v>1</v>
      </c>
      <c r="AG24" s="2">
        <v>1</v>
      </c>
      <c r="AH24" t="s">
        <v>38</v>
      </c>
    </row>
    <row r="25" spans="1:34" x14ac:dyDescent="0.3">
      <c r="A25" s="2">
        <v>842</v>
      </c>
      <c r="B25" s="2">
        <v>252800942</v>
      </c>
      <c r="C25" s="2">
        <v>252800942</v>
      </c>
      <c r="D25" t="s">
        <v>86</v>
      </c>
      <c r="E25" t="s">
        <v>87</v>
      </c>
      <c r="F25" t="s">
        <v>43</v>
      </c>
      <c r="G25" s="3">
        <v>32.160000000000004</v>
      </c>
      <c r="H25" s="2">
        <v>0</v>
      </c>
      <c r="I25" s="2">
        <v>0</v>
      </c>
      <c r="J25" s="2">
        <v>0</v>
      </c>
      <c r="K25" s="3">
        <v>32.160000000000004</v>
      </c>
      <c r="L25" s="3">
        <v>0.59</v>
      </c>
      <c r="M25" s="7">
        <f t="shared" si="0"/>
        <v>54.508474576271198</v>
      </c>
      <c r="N25" t="s">
        <v>39</v>
      </c>
      <c r="O25" t="s">
        <v>39</v>
      </c>
      <c r="P25" t="s">
        <v>39</v>
      </c>
      <c r="Q25" t="s">
        <v>40</v>
      </c>
      <c r="R25" t="s">
        <v>41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0</v>
      </c>
      <c r="AA25" s="2">
        <v>0</v>
      </c>
      <c r="AB25" s="2">
        <v>0</v>
      </c>
      <c r="AC25" s="2">
        <v>0</v>
      </c>
      <c r="AD25" t="s">
        <v>37</v>
      </c>
      <c r="AE25" s="2">
        <v>1</v>
      </c>
      <c r="AF25" s="2">
        <v>1</v>
      </c>
      <c r="AG25" s="2">
        <v>1</v>
      </c>
      <c r="AH25" t="s">
        <v>38</v>
      </c>
    </row>
    <row r="26" spans="1:34" x14ac:dyDescent="0.3">
      <c r="A26" s="2">
        <v>836</v>
      </c>
      <c r="B26" s="2">
        <v>252800943</v>
      </c>
      <c r="C26" s="2">
        <v>252800943</v>
      </c>
      <c r="D26" t="s">
        <v>88</v>
      </c>
      <c r="E26" t="s">
        <v>89</v>
      </c>
      <c r="F26" t="s">
        <v>43</v>
      </c>
      <c r="G26" s="3">
        <v>32.64</v>
      </c>
      <c r="H26" s="2">
        <v>0</v>
      </c>
      <c r="I26" s="2">
        <v>0</v>
      </c>
      <c r="J26" s="2">
        <v>0</v>
      </c>
      <c r="K26" s="3">
        <v>32.64</v>
      </c>
      <c r="L26" s="3">
        <v>0.59</v>
      </c>
      <c r="M26" s="7">
        <f t="shared" si="0"/>
        <v>55.322033898305087</v>
      </c>
      <c r="N26" t="s">
        <v>39</v>
      </c>
      <c r="O26" t="s">
        <v>39</v>
      </c>
      <c r="P26" t="s">
        <v>39</v>
      </c>
      <c r="Q26" t="s">
        <v>40</v>
      </c>
      <c r="R26" t="s">
        <v>41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0</v>
      </c>
      <c r="AA26" s="2">
        <v>0</v>
      </c>
      <c r="AB26" s="2">
        <v>0</v>
      </c>
      <c r="AC26" s="2">
        <v>0</v>
      </c>
      <c r="AD26" t="s">
        <v>37</v>
      </c>
      <c r="AE26" s="2">
        <v>1</v>
      </c>
      <c r="AF26" s="2">
        <v>1</v>
      </c>
      <c r="AG26" s="2">
        <v>1</v>
      </c>
      <c r="AH26" t="s">
        <v>38</v>
      </c>
    </row>
    <row r="27" spans="1:34" x14ac:dyDescent="0.3">
      <c r="A27" s="2">
        <v>833</v>
      </c>
      <c r="B27" s="2">
        <v>252800944</v>
      </c>
      <c r="C27" s="2">
        <v>252800944</v>
      </c>
      <c r="D27" t="s">
        <v>90</v>
      </c>
      <c r="E27" t="s">
        <v>91</v>
      </c>
      <c r="F27" t="s">
        <v>43</v>
      </c>
      <c r="G27" s="3">
        <v>73.800000000000011</v>
      </c>
      <c r="H27" s="2">
        <v>0</v>
      </c>
      <c r="I27" s="2">
        <v>0</v>
      </c>
      <c r="J27" s="2">
        <v>0</v>
      </c>
      <c r="K27" s="3">
        <v>73.800000000000011</v>
      </c>
      <c r="L27" s="3">
        <v>0.59</v>
      </c>
      <c r="M27" s="7">
        <f t="shared" si="0"/>
        <v>125.08474576271189</v>
      </c>
      <c r="N27" t="s">
        <v>39</v>
      </c>
      <c r="O27" t="s">
        <v>39</v>
      </c>
      <c r="P27" t="s">
        <v>39</v>
      </c>
      <c r="Q27" t="s">
        <v>40</v>
      </c>
      <c r="R27" t="s">
        <v>41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0</v>
      </c>
      <c r="AA27" s="2">
        <v>0</v>
      </c>
      <c r="AB27" s="2">
        <v>0</v>
      </c>
      <c r="AC27" s="2">
        <v>0</v>
      </c>
      <c r="AD27" t="s">
        <v>37</v>
      </c>
      <c r="AE27" s="2">
        <v>1</v>
      </c>
      <c r="AF27" s="2">
        <v>1</v>
      </c>
      <c r="AG27" s="2">
        <v>1</v>
      </c>
      <c r="AH27" t="s">
        <v>38</v>
      </c>
    </row>
    <row r="28" spans="1:34" x14ac:dyDescent="0.3">
      <c r="A28" s="2">
        <v>834</v>
      </c>
      <c r="B28" s="2">
        <v>252800945</v>
      </c>
      <c r="C28" s="2">
        <v>252800945</v>
      </c>
      <c r="D28" t="s">
        <v>92</v>
      </c>
      <c r="E28" t="s">
        <v>93</v>
      </c>
      <c r="F28" t="s">
        <v>43</v>
      </c>
      <c r="G28" s="3">
        <v>70.56</v>
      </c>
      <c r="H28" s="2">
        <v>0</v>
      </c>
      <c r="I28" s="2">
        <v>0</v>
      </c>
      <c r="J28" s="2">
        <v>0</v>
      </c>
      <c r="K28" s="3">
        <v>70.56</v>
      </c>
      <c r="L28" s="3">
        <v>0.59</v>
      </c>
      <c r="M28" s="7">
        <f t="shared" si="0"/>
        <v>119.59322033898306</v>
      </c>
      <c r="N28" t="s">
        <v>39</v>
      </c>
      <c r="O28" t="s">
        <v>39</v>
      </c>
      <c r="P28" t="s">
        <v>39</v>
      </c>
      <c r="Q28" t="s">
        <v>40</v>
      </c>
      <c r="R28" t="s">
        <v>41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0</v>
      </c>
      <c r="AA28" s="2">
        <v>0</v>
      </c>
      <c r="AB28" s="2">
        <v>0</v>
      </c>
      <c r="AC28" s="2">
        <v>0</v>
      </c>
      <c r="AD28" t="s">
        <v>37</v>
      </c>
      <c r="AE28" s="2">
        <v>1</v>
      </c>
      <c r="AF28" s="2">
        <v>1</v>
      </c>
      <c r="AG28" s="2">
        <v>1</v>
      </c>
      <c r="AH28" t="s">
        <v>38</v>
      </c>
    </row>
    <row r="29" spans="1:34" x14ac:dyDescent="0.3">
      <c r="A29" s="2">
        <v>773</v>
      </c>
      <c r="B29" s="2">
        <v>252800946</v>
      </c>
      <c r="C29" s="2">
        <v>252800946</v>
      </c>
      <c r="D29" t="s">
        <v>94</v>
      </c>
      <c r="E29" t="s">
        <v>95</v>
      </c>
      <c r="F29" t="s">
        <v>43</v>
      </c>
      <c r="G29" s="3">
        <v>18.36</v>
      </c>
      <c r="H29" s="2">
        <v>0</v>
      </c>
      <c r="I29" s="2">
        <v>0</v>
      </c>
      <c r="J29" s="2">
        <v>0</v>
      </c>
      <c r="K29" s="3">
        <v>18.36</v>
      </c>
      <c r="L29">
        <v>0.6</v>
      </c>
      <c r="M29" s="7">
        <f t="shared" si="0"/>
        <v>30.6</v>
      </c>
      <c r="N29" t="s">
        <v>39</v>
      </c>
      <c r="O29" t="s">
        <v>39</v>
      </c>
      <c r="P29" t="s">
        <v>39</v>
      </c>
      <c r="Q29" t="s">
        <v>40</v>
      </c>
      <c r="R29" t="s">
        <v>41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0</v>
      </c>
      <c r="AA29" s="2">
        <v>0</v>
      </c>
      <c r="AB29" s="2">
        <v>0</v>
      </c>
      <c r="AC29" s="2">
        <v>0</v>
      </c>
      <c r="AD29" t="s">
        <v>37</v>
      </c>
      <c r="AE29" s="2">
        <v>1</v>
      </c>
      <c r="AF29" s="2">
        <v>1</v>
      </c>
      <c r="AG29" s="2">
        <v>1</v>
      </c>
      <c r="AH29" t="s">
        <v>38</v>
      </c>
    </row>
    <row r="30" spans="1:34" x14ac:dyDescent="0.3">
      <c r="A30" s="2">
        <v>775</v>
      </c>
      <c r="B30" s="2">
        <v>252800947</v>
      </c>
      <c r="C30" s="2">
        <v>252800947</v>
      </c>
      <c r="D30" t="s">
        <v>96</v>
      </c>
      <c r="E30" t="s">
        <v>97</v>
      </c>
      <c r="F30" t="s">
        <v>43</v>
      </c>
      <c r="G30" s="3">
        <v>18.72</v>
      </c>
      <c r="H30" s="2">
        <v>0</v>
      </c>
      <c r="I30" s="2">
        <v>0</v>
      </c>
      <c r="J30" s="2">
        <v>0</v>
      </c>
      <c r="K30" s="3">
        <v>18.72</v>
      </c>
      <c r="L30">
        <v>0.6</v>
      </c>
      <c r="M30" s="7">
        <f t="shared" si="0"/>
        <v>31.2</v>
      </c>
      <c r="N30" t="s">
        <v>39</v>
      </c>
      <c r="O30" t="s">
        <v>39</v>
      </c>
      <c r="P30" t="s">
        <v>39</v>
      </c>
      <c r="Q30" t="s">
        <v>40</v>
      </c>
      <c r="R30" t="s">
        <v>41</v>
      </c>
      <c r="T30" s="2">
        <v>1</v>
      </c>
      <c r="U30" s="2">
        <v>1</v>
      </c>
      <c r="V30" s="2">
        <v>1</v>
      </c>
      <c r="W30" s="2">
        <v>1</v>
      </c>
      <c r="X30" s="2">
        <v>1</v>
      </c>
      <c r="Y30" s="2">
        <v>1</v>
      </c>
      <c r="Z30" s="2">
        <v>0</v>
      </c>
      <c r="AA30" s="2">
        <v>0</v>
      </c>
      <c r="AB30" s="2">
        <v>0</v>
      </c>
      <c r="AC30" s="2">
        <v>0</v>
      </c>
      <c r="AD30" t="s">
        <v>37</v>
      </c>
      <c r="AE30" s="2">
        <v>1</v>
      </c>
      <c r="AF30" s="2">
        <v>1</v>
      </c>
      <c r="AG30" s="2">
        <v>1</v>
      </c>
      <c r="AH30" t="s">
        <v>38</v>
      </c>
    </row>
    <row r="31" spans="1:34" x14ac:dyDescent="0.3">
      <c r="A31" s="2">
        <v>772</v>
      </c>
      <c r="B31" s="2">
        <v>252800948</v>
      </c>
      <c r="C31" s="2">
        <v>252800948</v>
      </c>
      <c r="D31" t="s">
        <v>98</v>
      </c>
      <c r="E31" t="s">
        <v>99</v>
      </c>
      <c r="F31" t="s">
        <v>43</v>
      </c>
      <c r="G31" s="3">
        <v>18.72</v>
      </c>
      <c r="H31" s="2">
        <v>0</v>
      </c>
      <c r="I31" s="2">
        <v>0</v>
      </c>
      <c r="J31" s="2">
        <v>0</v>
      </c>
      <c r="K31" s="3">
        <v>18.72</v>
      </c>
      <c r="L31">
        <v>0.6</v>
      </c>
      <c r="M31" s="7">
        <f t="shared" si="0"/>
        <v>31.2</v>
      </c>
      <c r="N31" t="s">
        <v>39</v>
      </c>
      <c r="O31" t="s">
        <v>39</v>
      </c>
      <c r="P31" t="s">
        <v>39</v>
      </c>
      <c r="Q31" t="s">
        <v>40</v>
      </c>
      <c r="R31" t="s">
        <v>41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0</v>
      </c>
      <c r="AA31" s="2">
        <v>0</v>
      </c>
      <c r="AB31" s="2">
        <v>0</v>
      </c>
      <c r="AC31" s="2">
        <v>0</v>
      </c>
      <c r="AD31" t="s">
        <v>37</v>
      </c>
      <c r="AE31" s="2">
        <v>1</v>
      </c>
      <c r="AF31" s="2">
        <v>1</v>
      </c>
      <c r="AG31" s="2">
        <v>1</v>
      </c>
      <c r="AH31" t="s">
        <v>38</v>
      </c>
    </row>
    <row r="32" spans="1:34" x14ac:dyDescent="0.3">
      <c r="A32" s="2">
        <v>774</v>
      </c>
      <c r="B32" s="2">
        <v>252800949</v>
      </c>
      <c r="C32" s="2">
        <v>252800949</v>
      </c>
      <c r="D32" t="s">
        <v>100</v>
      </c>
      <c r="E32" t="s">
        <v>101</v>
      </c>
      <c r="F32" t="s">
        <v>43</v>
      </c>
      <c r="G32" s="3">
        <v>20.16</v>
      </c>
      <c r="H32" s="2">
        <v>0</v>
      </c>
      <c r="I32" s="2">
        <v>0</v>
      </c>
      <c r="J32" s="2">
        <v>0</v>
      </c>
      <c r="K32" s="3">
        <v>20.16</v>
      </c>
      <c r="L32">
        <v>0.6</v>
      </c>
      <c r="M32" s="7">
        <f t="shared" si="0"/>
        <v>33.6</v>
      </c>
      <c r="N32" t="s">
        <v>39</v>
      </c>
      <c r="O32" t="s">
        <v>39</v>
      </c>
      <c r="P32" t="s">
        <v>39</v>
      </c>
      <c r="Q32" t="s">
        <v>40</v>
      </c>
      <c r="R32" t="s">
        <v>41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0</v>
      </c>
      <c r="AA32" s="2">
        <v>0</v>
      </c>
      <c r="AB32" s="2">
        <v>0</v>
      </c>
      <c r="AC32" s="2">
        <v>0</v>
      </c>
      <c r="AD32" t="s">
        <v>37</v>
      </c>
      <c r="AE32" s="2">
        <v>1</v>
      </c>
      <c r="AF32" s="2">
        <v>1</v>
      </c>
      <c r="AG32" s="2">
        <v>1</v>
      </c>
      <c r="AH32" t="s">
        <v>38</v>
      </c>
    </row>
    <row r="33" spans="1:34" x14ac:dyDescent="0.3">
      <c r="A33" s="2">
        <v>759</v>
      </c>
      <c r="B33" s="2">
        <v>252800950</v>
      </c>
      <c r="C33" s="2">
        <v>252800950</v>
      </c>
      <c r="D33" t="s">
        <v>102</v>
      </c>
      <c r="E33" t="s">
        <v>103</v>
      </c>
      <c r="F33" t="s">
        <v>43</v>
      </c>
      <c r="G33">
        <v>22.799999999999997</v>
      </c>
      <c r="H33" s="2">
        <v>0</v>
      </c>
      <c r="I33" s="2">
        <v>0</v>
      </c>
      <c r="J33" s="2">
        <v>0</v>
      </c>
      <c r="K33" s="3">
        <v>22.799999999999997</v>
      </c>
      <c r="L33">
        <v>0.6</v>
      </c>
      <c r="M33" s="7">
        <f t="shared" si="0"/>
        <v>38</v>
      </c>
      <c r="N33" t="s">
        <v>39</v>
      </c>
      <c r="O33" t="s">
        <v>39</v>
      </c>
      <c r="P33" t="s">
        <v>39</v>
      </c>
      <c r="Q33" t="s">
        <v>40</v>
      </c>
      <c r="R33" t="s">
        <v>41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Y33" s="2">
        <v>1</v>
      </c>
      <c r="Z33" s="2">
        <v>0</v>
      </c>
      <c r="AA33" s="2">
        <v>0</v>
      </c>
      <c r="AB33" s="2">
        <v>0</v>
      </c>
      <c r="AC33" s="2">
        <v>0</v>
      </c>
      <c r="AD33" t="s">
        <v>37</v>
      </c>
      <c r="AE33" s="2">
        <v>1</v>
      </c>
      <c r="AF33" s="2">
        <v>1</v>
      </c>
      <c r="AG33" s="2">
        <v>1</v>
      </c>
      <c r="AH33" t="s">
        <v>38</v>
      </c>
    </row>
    <row r="34" spans="1:34" x14ac:dyDescent="0.3">
      <c r="A34" s="2">
        <v>776</v>
      </c>
      <c r="B34" s="2">
        <v>252800950</v>
      </c>
      <c r="C34" s="2">
        <v>252800950</v>
      </c>
      <c r="D34" t="s">
        <v>102</v>
      </c>
      <c r="E34" t="s">
        <v>103</v>
      </c>
      <c r="F34" t="s">
        <v>43</v>
      </c>
      <c r="G34">
        <v>22.799999999999997</v>
      </c>
      <c r="H34" s="2">
        <v>0</v>
      </c>
      <c r="I34" s="2">
        <v>0</v>
      </c>
      <c r="J34" s="2">
        <v>0</v>
      </c>
      <c r="K34" s="3">
        <v>22.799999999999997</v>
      </c>
      <c r="L34">
        <v>0.6</v>
      </c>
      <c r="M34" s="7">
        <f t="shared" si="0"/>
        <v>38</v>
      </c>
      <c r="N34" t="s">
        <v>39</v>
      </c>
      <c r="O34" t="s">
        <v>39</v>
      </c>
      <c r="P34" t="s">
        <v>39</v>
      </c>
      <c r="Q34" t="s">
        <v>40</v>
      </c>
      <c r="R34" t="s">
        <v>41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0</v>
      </c>
      <c r="AA34" s="2">
        <v>0</v>
      </c>
      <c r="AB34" s="2">
        <v>0</v>
      </c>
      <c r="AC34" s="2">
        <v>0</v>
      </c>
      <c r="AD34" t="s">
        <v>37</v>
      </c>
      <c r="AE34" s="2">
        <v>1</v>
      </c>
      <c r="AF34" s="2">
        <v>1</v>
      </c>
      <c r="AG34" s="2">
        <v>1</v>
      </c>
      <c r="AH34" t="s">
        <v>38</v>
      </c>
    </row>
    <row r="35" spans="1:34" x14ac:dyDescent="0.3">
      <c r="A35" s="2">
        <v>761</v>
      </c>
      <c r="B35" s="2">
        <v>252800951</v>
      </c>
      <c r="C35" s="2">
        <v>252800951</v>
      </c>
      <c r="D35" t="s">
        <v>104</v>
      </c>
      <c r="E35" t="s">
        <v>105</v>
      </c>
      <c r="F35" t="s">
        <v>43</v>
      </c>
      <c r="G35" s="3">
        <v>67.92</v>
      </c>
      <c r="H35" s="2">
        <v>0</v>
      </c>
      <c r="I35" s="2">
        <v>0</v>
      </c>
      <c r="J35" s="2">
        <v>0</v>
      </c>
      <c r="K35" s="3">
        <v>67.92</v>
      </c>
      <c r="L35">
        <v>0.6</v>
      </c>
      <c r="M35" s="7">
        <f t="shared" si="0"/>
        <v>113.2</v>
      </c>
      <c r="N35" t="s">
        <v>39</v>
      </c>
      <c r="O35" t="s">
        <v>39</v>
      </c>
      <c r="P35" t="s">
        <v>39</v>
      </c>
      <c r="Q35" t="s">
        <v>40</v>
      </c>
      <c r="R35" t="s">
        <v>41</v>
      </c>
      <c r="T35" s="2">
        <v>1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0</v>
      </c>
      <c r="AA35" s="2">
        <v>0</v>
      </c>
      <c r="AB35" s="2">
        <v>0</v>
      </c>
      <c r="AC35" s="2">
        <v>0</v>
      </c>
      <c r="AD35" t="s">
        <v>37</v>
      </c>
      <c r="AE35" s="2">
        <v>1</v>
      </c>
      <c r="AF35" s="2">
        <v>1</v>
      </c>
      <c r="AG35" s="2">
        <v>1</v>
      </c>
      <c r="AH35" t="s">
        <v>38</v>
      </c>
    </row>
    <row r="36" spans="1:34" x14ac:dyDescent="0.3">
      <c r="A36" s="2">
        <v>760</v>
      </c>
      <c r="B36" s="2">
        <v>252800952</v>
      </c>
      <c r="C36" s="2">
        <v>252800952</v>
      </c>
      <c r="D36" t="s">
        <v>106</v>
      </c>
      <c r="F36" t="s">
        <v>43</v>
      </c>
      <c r="G36" s="3">
        <v>67.92</v>
      </c>
      <c r="H36" s="2">
        <v>0</v>
      </c>
      <c r="I36" s="2">
        <v>0</v>
      </c>
      <c r="J36" s="2">
        <v>0</v>
      </c>
      <c r="K36" s="3">
        <v>67.92</v>
      </c>
      <c r="L36">
        <v>0.6</v>
      </c>
      <c r="M36" s="7">
        <f t="shared" si="0"/>
        <v>113.2</v>
      </c>
      <c r="N36" t="s">
        <v>39</v>
      </c>
      <c r="O36" t="s">
        <v>39</v>
      </c>
      <c r="P36" t="s">
        <v>39</v>
      </c>
      <c r="Q36" t="s">
        <v>40</v>
      </c>
      <c r="R36" t="s">
        <v>41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1</v>
      </c>
      <c r="Z36" s="2">
        <v>0</v>
      </c>
      <c r="AA36" s="2">
        <v>0</v>
      </c>
      <c r="AB36" s="2">
        <v>0</v>
      </c>
      <c r="AC36" s="2">
        <v>0</v>
      </c>
      <c r="AD36" t="s">
        <v>37</v>
      </c>
      <c r="AE36" s="2">
        <v>1</v>
      </c>
      <c r="AF36" s="2">
        <v>1</v>
      </c>
      <c r="AG36" s="2">
        <v>1</v>
      </c>
      <c r="AH36" t="s">
        <v>38</v>
      </c>
    </row>
    <row r="37" spans="1:34" x14ac:dyDescent="0.3">
      <c r="A37" s="2">
        <v>778</v>
      </c>
      <c r="B37" s="2">
        <v>252800953</v>
      </c>
      <c r="C37" s="2">
        <v>252800953</v>
      </c>
      <c r="D37" t="s">
        <v>107</v>
      </c>
      <c r="E37" t="s">
        <v>108</v>
      </c>
      <c r="F37" t="s">
        <v>43</v>
      </c>
      <c r="G37" s="3">
        <v>15.36</v>
      </c>
      <c r="H37" s="2">
        <v>0</v>
      </c>
      <c r="I37" s="2">
        <v>0</v>
      </c>
      <c r="J37" s="2">
        <v>0</v>
      </c>
      <c r="K37" s="3">
        <v>15.36</v>
      </c>
      <c r="L37" s="3">
        <v>0.59</v>
      </c>
      <c r="M37" s="7">
        <f t="shared" si="0"/>
        <v>26.033898305084747</v>
      </c>
      <c r="N37" t="s">
        <v>39</v>
      </c>
      <c r="O37" t="s">
        <v>39</v>
      </c>
      <c r="P37" t="s">
        <v>39</v>
      </c>
      <c r="Q37" t="s">
        <v>40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0</v>
      </c>
      <c r="AA37" s="2">
        <v>0</v>
      </c>
      <c r="AB37" s="2">
        <v>0</v>
      </c>
      <c r="AC37" s="2">
        <v>0</v>
      </c>
      <c r="AD37" t="s">
        <v>37</v>
      </c>
      <c r="AE37" s="2">
        <v>1</v>
      </c>
      <c r="AF37" s="2">
        <v>1</v>
      </c>
      <c r="AG37" s="2">
        <v>1</v>
      </c>
      <c r="AH37" t="s">
        <v>38</v>
      </c>
    </row>
    <row r="38" spans="1:34" x14ac:dyDescent="0.3">
      <c r="A38" s="2">
        <v>777</v>
      </c>
      <c r="B38" s="2">
        <v>252800954</v>
      </c>
      <c r="C38" s="2">
        <v>252800954</v>
      </c>
      <c r="D38" t="s">
        <v>109</v>
      </c>
      <c r="E38" t="s">
        <v>110</v>
      </c>
      <c r="F38" t="s">
        <v>43</v>
      </c>
      <c r="G38" s="3">
        <v>15.36</v>
      </c>
      <c r="H38" s="2">
        <v>0</v>
      </c>
      <c r="I38" s="2">
        <v>0</v>
      </c>
      <c r="J38" s="2">
        <v>0</v>
      </c>
      <c r="K38" s="3">
        <v>15.36</v>
      </c>
      <c r="L38" s="3">
        <v>0.59</v>
      </c>
      <c r="M38" s="7">
        <f t="shared" si="0"/>
        <v>26.033898305084747</v>
      </c>
      <c r="N38" t="s">
        <v>39</v>
      </c>
      <c r="O38" t="s">
        <v>39</v>
      </c>
      <c r="P38" t="s">
        <v>39</v>
      </c>
      <c r="Q38" t="s">
        <v>40</v>
      </c>
      <c r="T38" s="2">
        <v>1</v>
      </c>
      <c r="U38" s="2">
        <v>1</v>
      </c>
      <c r="V38" s="2">
        <v>1</v>
      </c>
      <c r="W38" s="2">
        <v>1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t="s">
        <v>37</v>
      </c>
      <c r="AE38" s="2">
        <v>0</v>
      </c>
      <c r="AF38" s="2">
        <v>0</v>
      </c>
      <c r="AG38" s="2">
        <v>0</v>
      </c>
      <c r="AH38" t="s">
        <v>38</v>
      </c>
    </row>
    <row r="39" spans="1:34" x14ac:dyDescent="0.3">
      <c r="A39" s="2">
        <v>768</v>
      </c>
      <c r="B39" s="2">
        <v>252800955</v>
      </c>
      <c r="C39" s="2">
        <v>252800955</v>
      </c>
      <c r="D39" t="s">
        <v>111</v>
      </c>
      <c r="F39" t="s">
        <v>43</v>
      </c>
      <c r="G39" s="3">
        <v>18.72</v>
      </c>
      <c r="H39" s="2">
        <v>0</v>
      </c>
      <c r="I39" s="2">
        <v>0</v>
      </c>
      <c r="J39" s="2">
        <v>0</v>
      </c>
      <c r="K39" s="3">
        <v>18.72</v>
      </c>
      <c r="L39" s="3">
        <v>0.59</v>
      </c>
      <c r="M39" s="7">
        <f t="shared" si="0"/>
        <v>31.728813559322035</v>
      </c>
      <c r="N39" t="s">
        <v>39</v>
      </c>
      <c r="O39" t="s">
        <v>39</v>
      </c>
      <c r="P39" t="s">
        <v>39</v>
      </c>
      <c r="Q39" t="s">
        <v>40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2">
        <v>0</v>
      </c>
      <c r="AA39" s="2">
        <v>1</v>
      </c>
      <c r="AB39" s="2">
        <v>0</v>
      </c>
      <c r="AC39" s="2">
        <v>0</v>
      </c>
      <c r="AD39" t="s">
        <v>37</v>
      </c>
      <c r="AE39" s="2">
        <v>1</v>
      </c>
      <c r="AF39" s="2">
        <v>1</v>
      </c>
      <c r="AG39" s="2">
        <v>1</v>
      </c>
      <c r="AH39" t="s">
        <v>38</v>
      </c>
    </row>
    <row r="40" spans="1:34" x14ac:dyDescent="0.3">
      <c r="A40" s="2">
        <v>779</v>
      </c>
      <c r="B40" s="2">
        <v>252800956</v>
      </c>
      <c r="C40" s="2">
        <v>252800956</v>
      </c>
      <c r="D40" t="s">
        <v>112</v>
      </c>
      <c r="E40" t="s">
        <v>113</v>
      </c>
      <c r="F40" t="s">
        <v>43</v>
      </c>
      <c r="G40" s="3">
        <v>15.72</v>
      </c>
      <c r="H40" s="2">
        <v>0</v>
      </c>
      <c r="I40" s="2">
        <v>0</v>
      </c>
      <c r="J40" s="2">
        <v>0</v>
      </c>
      <c r="K40" s="3">
        <v>15.72</v>
      </c>
      <c r="L40" s="3">
        <v>0.59</v>
      </c>
      <c r="M40" s="7">
        <f t="shared" si="0"/>
        <v>26.644067796610173</v>
      </c>
      <c r="N40" t="s">
        <v>39</v>
      </c>
      <c r="O40" t="s">
        <v>39</v>
      </c>
      <c r="P40" t="s">
        <v>39</v>
      </c>
      <c r="Q40" t="s">
        <v>40</v>
      </c>
      <c r="R40" t="s">
        <v>41</v>
      </c>
      <c r="T40" s="2">
        <v>1</v>
      </c>
      <c r="U40" s="2">
        <v>1</v>
      </c>
      <c r="V40" s="2">
        <v>1</v>
      </c>
      <c r="W40" s="2">
        <v>1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t="s">
        <v>37</v>
      </c>
      <c r="AE40" s="2">
        <v>0</v>
      </c>
      <c r="AF40" s="2">
        <v>0</v>
      </c>
      <c r="AG40" s="2">
        <v>0</v>
      </c>
      <c r="AH40" t="s">
        <v>38</v>
      </c>
    </row>
    <row r="41" spans="1:34" x14ac:dyDescent="0.3">
      <c r="A41" s="2">
        <v>781</v>
      </c>
      <c r="B41" s="2">
        <v>252800957</v>
      </c>
      <c r="C41" s="2">
        <v>252800957</v>
      </c>
      <c r="D41" t="s">
        <v>114</v>
      </c>
      <c r="E41" t="s">
        <v>115</v>
      </c>
      <c r="F41" t="s">
        <v>43</v>
      </c>
      <c r="G41" s="3">
        <v>16.440000000000001</v>
      </c>
      <c r="H41" s="2">
        <v>0</v>
      </c>
      <c r="I41" s="2">
        <v>0</v>
      </c>
      <c r="J41" s="2">
        <v>0</v>
      </c>
      <c r="K41" s="3">
        <v>16.440000000000001</v>
      </c>
      <c r="L41" s="3">
        <v>0.59</v>
      </c>
      <c r="M41" s="7">
        <f t="shared" si="0"/>
        <v>27.864406779661021</v>
      </c>
      <c r="N41" t="s">
        <v>39</v>
      </c>
      <c r="O41" t="s">
        <v>39</v>
      </c>
      <c r="P41" t="s">
        <v>39</v>
      </c>
      <c r="Q41" t="s">
        <v>40</v>
      </c>
      <c r="R41" t="s">
        <v>41</v>
      </c>
      <c r="T41" s="2">
        <v>1</v>
      </c>
      <c r="U41" s="2">
        <v>12</v>
      </c>
      <c r="V41" s="2">
        <v>1</v>
      </c>
      <c r="W41" s="2">
        <v>1</v>
      </c>
      <c r="X41" s="2">
        <v>0</v>
      </c>
      <c r="Y41" s="2">
        <v>1</v>
      </c>
      <c r="Z41" s="2">
        <v>0</v>
      </c>
      <c r="AA41" s="2">
        <v>1</v>
      </c>
      <c r="AB41" s="2">
        <v>0</v>
      </c>
      <c r="AC41" s="2">
        <v>0</v>
      </c>
      <c r="AD41" t="s">
        <v>42</v>
      </c>
      <c r="AE41" s="2">
        <v>0</v>
      </c>
      <c r="AF41" s="2">
        <v>0</v>
      </c>
      <c r="AG41" s="2">
        <v>0</v>
      </c>
      <c r="AH41" t="s">
        <v>38</v>
      </c>
    </row>
    <row r="42" spans="1:34" x14ac:dyDescent="0.3">
      <c r="A42" s="2">
        <v>780</v>
      </c>
      <c r="B42" s="2">
        <v>252800958</v>
      </c>
      <c r="C42" s="2">
        <v>252800958</v>
      </c>
      <c r="D42" t="s">
        <v>116</v>
      </c>
      <c r="E42" t="s">
        <v>117</v>
      </c>
      <c r="F42" t="s">
        <v>43</v>
      </c>
      <c r="G42" s="3">
        <v>16.440000000000001</v>
      </c>
      <c r="H42" s="2">
        <v>0</v>
      </c>
      <c r="I42" s="2">
        <v>0</v>
      </c>
      <c r="J42" s="2">
        <v>0</v>
      </c>
      <c r="K42" s="3">
        <v>16.440000000000001</v>
      </c>
      <c r="L42" s="3">
        <v>0.59</v>
      </c>
      <c r="M42" s="7">
        <f t="shared" si="0"/>
        <v>27.864406779661021</v>
      </c>
      <c r="N42" t="s">
        <v>39</v>
      </c>
      <c r="O42" t="s">
        <v>39</v>
      </c>
      <c r="P42" t="s">
        <v>39</v>
      </c>
      <c r="Q42" t="s">
        <v>40</v>
      </c>
      <c r="R42" t="s">
        <v>41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0</v>
      </c>
      <c r="AA42" s="2">
        <v>0</v>
      </c>
      <c r="AB42" s="2">
        <v>0</v>
      </c>
      <c r="AC42" s="2">
        <v>0</v>
      </c>
      <c r="AD42" t="s">
        <v>42</v>
      </c>
      <c r="AE42" s="2">
        <v>1</v>
      </c>
      <c r="AF42" s="2">
        <v>1</v>
      </c>
      <c r="AG42" s="2">
        <v>1</v>
      </c>
      <c r="AH42" t="s">
        <v>38</v>
      </c>
    </row>
    <row r="43" spans="1:34" x14ac:dyDescent="0.3">
      <c r="A43" s="2">
        <v>769</v>
      </c>
      <c r="B43" s="2">
        <v>252800959</v>
      </c>
      <c r="C43" s="2">
        <v>252800959</v>
      </c>
      <c r="D43" t="s">
        <v>118</v>
      </c>
      <c r="E43" t="s">
        <v>119</v>
      </c>
      <c r="F43" t="s">
        <v>43</v>
      </c>
      <c r="G43">
        <v>18</v>
      </c>
      <c r="H43" s="2">
        <v>0</v>
      </c>
      <c r="I43" s="2">
        <v>0</v>
      </c>
      <c r="J43" s="2">
        <v>0</v>
      </c>
      <c r="K43" s="3">
        <v>18</v>
      </c>
      <c r="L43" s="3">
        <v>0.59</v>
      </c>
      <c r="M43" s="7">
        <f t="shared" si="0"/>
        <v>30.508474576271187</v>
      </c>
      <c r="N43" t="s">
        <v>39</v>
      </c>
      <c r="O43" t="s">
        <v>39</v>
      </c>
      <c r="P43" t="s">
        <v>39</v>
      </c>
      <c r="Q43" t="s">
        <v>40</v>
      </c>
      <c r="R43" t="s">
        <v>41</v>
      </c>
      <c r="T43" s="2">
        <v>1</v>
      </c>
      <c r="U43" s="2">
        <v>1</v>
      </c>
      <c r="V43" s="2">
        <v>1</v>
      </c>
      <c r="W43" s="2">
        <v>1</v>
      </c>
      <c r="X43" s="2">
        <v>1</v>
      </c>
      <c r="Y43" s="2">
        <v>1</v>
      </c>
      <c r="Z43" s="2">
        <v>0</v>
      </c>
      <c r="AA43" s="2">
        <v>0</v>
      </c>
      <c r="AB43" s="2">
        <v>0</v>
      </c>
      <c r="AC43" s="2">
        <v>0</v>
      </c>
      <c r="AD43" t="s">
        <v>37</v>
      </c>
      <c r="AE43" s="2">
        <v>1</v>
      </c>
      <c r="AF43" s="2">
        <v>1</v>
      </c>
      <c r="AG43" s="2">
        <v>1</v>
      </c>
      <c r="AH43" t="s">
        <v>38</v>
      </c>
    </row>
    <row r="44" spans="1:34" x14ac:dyDescent="0.3">
      <c r="A44" s="2">
        <v>818</v>
      </c>
      <c r="B44" s="2">
        <v>252800960</v>
      </c>
      <c r="C44" s="2">
        <v>252800960</v>
      </c>
      <c r="D44" t="s">
        <v>120</v>
      </c>
      <c r="E44" t="s">
        <v>121</v>
      </c>
      <c r="F44" t="s">
        <v>43</v>
      </c>
      <c r="G44">
        <v>129.60000000000002</v>
      </c>
      <c r="H44" s="2">
        <v>0</v>
      </c>
      <c r="I44" s="2">
        <v>0</v>
      </c>
      <c r="J44" s="2">
        <v>0</v>
      </c>
      <c r="K44" s="3">
        <v>129.60000000000002</v>
      </c>
      <c r="L44">
        <v>0.6</v>
      </c>
      <c r="M44" s="7">
        <f t="shared" si="0"/>
        <v>216.00000000000006</v>
      </c>
      <c r="N44" t="s">
        <v>39</v>
      </c>
      <c r="O44" t="s">
        <v>39</v>
      </c>
      <c r="P44" t="s">
        <v>39</v>
      </c>
      <c r="Q44" t="s">
        <v>40</v>
      </c>
      <c r="R44" t="s">
        <v>41</v>
      </c>
      <c r="T44" s="2">
        <v>1</v>
      </c>
      <c r="U44" s="2">
        <v>1</v>
      </c>
      <c r="V44" s="2">
        <v>1</v>
      </c>
      <c r="W44" s="2">
        <v>1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t="s">
        <v>37</v>
      </c>
      <c r="AE44" s="2">
        <v>0</v>
      </c>
      <c r="AF44" s="2">
        <v>0</v>
      </c>
      <c r="AG44" s="2">
        <v>0</v>
      </c>
      <c r="AH44" t="s">
        <v>38</v>
      </c>
    </row>
    <row r="45" spans="1:34" x14ac:dyDescent="0.3">
      <c r="A45" s="2">
        <v>819</v>
      </c>
      <c r="B45" s="2">
        <v>252800961</v>
      </c>
      <c r="C45" s="2">
        <v>252800961</v>
      </c>
      <c r="D45" t="s">
        <v>122</v>
      </c>
      <c r="E45" t="s">
        <v>123</v>
      </c>
      <c r="F45" t="s">
        <v>43</v>
      </c>
      <c r="G45">
        <v>115.19999999999999</v>
      </c>
      <c r="H45" s="2">
        <v>0</v>
      </c>
      <c r="I45" s="2">
        <v>0</v>
      </c>
      <c r="J45" s="2">
        <v>0</v>
      </c>
      <c r="K45" s="3">
        <v>115.19999999999999</v>
      </c>
      <c r="L45">
        <v>0.6</v>
      </c>
      <c r="M45" s="7">
        <f t="shared" si="0"/>
        <v>192</v>
      </c>
      <c r="N45" t="s">
        <v>39</v>
      </c>
      <c r="O45" t="s">
        <v>39</v>
      </c>
      <c r="P45" t="s">
        <v>39</v>
      </c>
      <c r="Q45" t="s">
        <v>40</v>
      </c>
      <c r="R45" t="s">
        <v>41</v>
      </c>
      <c r="T45" s="2">
        <v>1</v>
      </c>
      <c r="U45" s="2">
        <v>1</v>
      </c>
      <c r="V45" s="2">
        <v>1</v>
      </c>
      <c r="W45" s="2">
        <v>1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t="s">
        <v>37</v>
      </c>
      <c r="AE45" s="2">
        <v>0</v>
      </c>
      <c r="AF45" s="2">
        <v>0</v>
      </c>
      <c r="AG45" s="2">
        <v>0</v>
      </c>
      <c r="AH45" t="s">
        <v>38</v>
      </c>
    </row>
    <row r="46" spans="1:34" x14ac:dyDescent="0.3">
      <c r="A46" s="2">
        <v>758</v>
      </c>
      <c r="B46" s="2">
        <v>252800962</v>
      </c>
      <c r="C46" s="2">
        <v>252800962</v>
      </c>
      <c r="D46" t="s">
        <v>124</v>
      </c>
      <c r="E46" t="s">
        <v>125</v>
      </c>
      <c r="F46" t="s">
        <v>43</v>
      </c>
      <c r="G46" s="3">
        <v>30.96</v>
      </c>
      <c r="H46" s="2">
        <v>0</v>
      </c>
      <c r="I46" s="2">
        <v>0</v>
      </c>
      <c r="J46" s="2">
        <v>0</v>
      </c>
      <c r="K46" s="3">
        <v>30.96</v>
      </c>
      <c r="L46">
        <v>0.6</v>
      </c>
      <c r="M46" s="7">
        <f t="shared" si="0"/>
        <v>51.6</v>
      </c>
      <c r="N46" t="s">
        <v>39</v>
      </c>
      <c r="O46" t="s">
        <v>39</v>
      </c>
      <c r="P46" t="s">
        <v>39</v>
      </c>
      <c r="Q46" t="s">
        <v>40</v>
      </c>
      <c r="R46" t="s">
        <v>41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0</v>
      </c>
      <c r="AA46" s="2">
        <v>0</v>
      </c>
      <c r="AB46" s="2">
        <v>0</v>
      </c>
      <c r="AC46" s="2">
        <v>0</v>
      </c>
      <c r="AD46" t="s">
        <v>37</v>
      </c>
      <c r="AE46" s="2">
        <v>1</v>
      </c>
      <c r="AF46" s="2">
        <v>1</v>
      </c>
      <c r="AG46" s="2">
        <v>1</v>
      </c>
      <c r="AH46" t="s">
        <v>38</v>
      </c>
    </row>
  </sheetData>
  <autoFilter ref="A2:AI46" xr:uid="{00000000-0001-0000-0000-000000000000}"/>
  <mergeCells count="1">
    <mergeCell ref="A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(Corp MMQ Gerencia)</cp:lastModifiedBy>
  <dcterms:modified xsi:type="dcterms:W3CDTF">2024-07-25T17:41:54Z</dcterms:modified>
</cp:coreProperties>
</file>