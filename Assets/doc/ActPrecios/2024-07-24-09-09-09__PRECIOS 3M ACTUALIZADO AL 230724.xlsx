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C:\Users\(CorpMMQGerencia)\Downloads\"/>
    </mc:Choice>
  </mc:AlternateContent>
  <xr:revisionPtr revIDLastSave="0" documentId="8_{C1513068-3495-425C-B560-F211DD777DE4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definedNames>
    <definedName name="_xlnm._FilterDatabase" localSheetId="0" hidden="1">Sheet1!$A$2:$AI$31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" l="1"/>
  <c r="G6" i="1"/>
  <c r="G7" i="1"/>
  <c r="G8" i="1"/>
  <c r="G4" i="1"/>
  <c r="G3" i="1"/>
</calcChain>
</file>

<file path=xl/sharedStrings.xml><?xml version="1.0" encoding="utf-8"?>
<sst xmlns="http://schemas.openxmlformats.org/spreadsheetml/2006/main" count="290" uniqueCount="111">
  <si>
    <t>Sistema Administrativo y Médico - SisAdMed</t>
  </si>
  <si>
    <t>Id</t>
  </si>
  <si>
    <t>Código</t>
  </si>
  <si>
    <t>Código 2</t>
  </si>
  <si>
    <t>Descripción</t>
  </si>
  <si>
    <t>Referencia</t>
  </si>
  <si>
    <t>Marca</t>
  </si>
  <si>
    <t>Costo</t>
  </si>
  <si>
    <t>Flete</t>
  </si>
  <si>
    <t>Otros cargos</t>
  </si>
  <si>
    <t>Cargos Door to Door</t>
  </si>
  <si>
    <t>Costo 1</t>
  </si>
  <si>
    <t>% Utilidad</t>
  </si>
  <si>
    <t>Venta</t>
  </si>
  <si>
    <t>Bul.Emp</t>
  </si>
  <si>
    <t>Unidades</t>
  </si>
  <si>
    <t>Empaque</t>
  </si>
  <si>
    <t>Grupo</t>
  </si>
  <si>
    <t>Nombre Genérico</t>
  </si>
  <si>
    <t>Descripción del Producto</t>
  </si>
  <si>
    <t>Un.Compra</t>
  </si>
  <si>
    <t>Un.Venta</t>
  </si>
  <si>
    <t>Util.Consig</t>
  </si>
  <si>
    <t>Venta Consig</t>
  </si>
  <si>
    <t>IVA</t>
  </si>
  <si>
    <t>Lote</t>
  </si>
  <si>
    <t>Interno</t>
  </si>
  <si>
    <t>Door to Door</t>
  </si>
  <si>
    <t>% Utilidad Consig.</t>
  </si>
  <si>
    <t>Venta Consignación</t>
  </si>
  <si>
    <t>Origen</t>
  </si>
  <si>
    <t>Alto</t>
  </si>
  <si>
    <t>Ancho</t>
  </si>
  <si>
    <t>Largo</t>
  </si>
  <si>
    <t>Status</t>
  </si>
  <si>
    <t>Acciones</t>
  </si>
  <si>
    <t>MANTA TERMICA POST-OPERATORIA CUERPO COMPLETO (Ref:30000) Marca 3M x Und</t>
  </si>
  <si>
    <t>3M HEALTH CAR</t>
  </si>
  <si>
    <t>x Unidad</t>
  </si>
  <si>
    <t>Bulto x 10 unid</t>
  </si>
  <si>
    <t>OTROS</t>
  </si>
  <si>
    <t>I</t>
  </si>
  <si>
    <t>Activo</t>
  </si>
  <si>
    <t>CINTA VAPOR AUTOCLAVE (3/4) 18MM X 55 MTS MARCA 3M. (REF 1322-18) X  ROLLO</t>
  </si>
  <si>
    <t>1322-18</t>
  </si>
  <si>
    <t>BULTO X 28 UNDS.</t>
  </si>
  <si>
    <t>ESTERILIZACIÓN</t>
  </si>
  <si>
    <t>ESTERILIZACION</t>
  </si>
  <si>
    <t>ANTISEPTICOS</t>
  </si>
  <si>
    <t>SPRAY CAVILON. PELICULA PROTECTORA LIQUIDA 3M X UND</t>
  </si>
  <si>
    <t>ANTISEPTICO</t>
  </si>
  <si>
    <t>APOSITO TEGADERM + PAD 9 x 10 Cm. (Ref:3586) Marca 3M x Und./\Presentacion Caja x 25 Unds.</t>
  </si>
  <si>
    <t>Caja x 25 unid</t>
  </si>
  <si>
    <t>Bulto x 100 unid</t>
  </si>
  <si>
    <t>APOSITOS</t>
  </si>
  <si>
    <t>ADHESIVO DURAPORE 2" X 10YD.(REF:1538-2) MARCA 3M. PRESENTACION CAJA X 06 UNDS</t>
  </si>
  <si>
    <t>1538-2</t>
  </si>
  <si>
    <t>Caja x 6 unid</t>
  </si>
  <si>
    <t>BULTO X 10 CAJAS</t>
  </si>
  <si>
    <t>ADHESIVOS</t>
  </si>
  <si>
    <t>ADHESIVO DURAPORE 3" X 10YD.(REF:1538-3) MARCA 3M  UND.PRESENTACION CAJA X 04 UNDS.</t>
  </si>
  <si>
    <t>1538-3</t>
  </si>
  <si>
    <t>Caja x 4 unid</t>
  </si>
  <si>
    <t>EUROREEL ACETATO</t>
  </si>
  <si>
    <t>ADHESIVO MICROPORE 1/2" COLOR PIEL X 10YD.(REF:1533-0) MARCA 3M. PRESENTACION CAJA X 24 UNDS</t>
  </si>
  <si>
    <t>1533-0</t>
  </si>
  <si>
    <t>Caja x 24 unid</t>
  </si>
  <si>
    <t>ADHESIVO MICROPORE 2" X 10YD. COLOR BLANCO(REF:1530-2) MARCA 3M. PRESENTACION CAJA X 06 UNDS</t>
  </si>
  <si>
    <t>1530-2</t>
  </si>
  <si>
    <t>ADHESIVO MICROPORE 3" X 10YD.(REF:1530-3) MARCA 3M. PRESENTACION CAJA X 04 UNDS.</t>
  </si>
  <si>
    <t>1530-3</t>
  </si>
  <si>
    <t>DHESIVO MICROPORE 3" X 10YD.(REF:1530-3) MARCA 3M. PRESENTACION CAJA X 04 UNDS.</t>
  </si>
  <si>
    <t>ADHESIVO TRANSPORE 2" X 10YD.(REF:1527-2) MARCA 3M .PRESENTACION CAJA X 06 UNDS.</t>
  </si>
  <si>
    <t>1527-2</t>
  </si>
  <si>
    <t>ADHESIVO TRANSPORE 3" X 10YD.(REF:1527-3) MARCA 3M. PRESENTACION CAJA X 04 UNDS.</t>
  </si>
  <si>
    <t>1527-3</t>
  </si>
  <si>
    <t>ADHESIVO MICROPORE 1" X 10YD.COLOR BLANCO(REF:1530-1) MARCA 3M.PRESENTACION CAJA X 12 UNDS</t>
  </si>
  <si>
    <t>1530-1</t>
  </si>
  <si>
    <t>Caja x 16 unid</t>
  </si>
  <si>
    <t>Caja x 12 unid</t>
  </si>
  <si>
    <t>ADHESIVO TRANSPORE 2" X 10YD.(REF:1527-2) MARCA 3M X FRACCIÓN</t>
  </si>
  <si>
    <t>ADHESIVO MICROPORE 2" X 10YD. COLOR BLANCO(REF:1530-2) MARCA 3M X FRACCIÓN</t>
  </si>
  <si>
    <t>ADHESIVO MICROPORE 3" X 10YD.(REF:1530-3) MARCA 3M X FRACCIÓN</t>
  </si>
  <si>
    <t>ADHESIVO MICROPORE 1" X 10YD.COLOR BLANCO(REF:1530-1) MARCA 3M X FRACCIÓN</t>
  </si>
  <si>
    <t>VENDA COBAN 1" x 5Yd COLOR PIEL (Ref:1581) Marca 3M x Und</t>
  </si>
  <si>
    <t>PAQUETE X 6 UNID</t>
  </si>
  <si>
    <t>Caja x 30 unid</t>
  </si>
  <si>
    <t>VENDA COBAN 3" x 5Yd COLOR PIEL (Ref:1583) Marca 3M x Und</t>
  </si>
  <si>
    <t>VENDAS</t>
  </si>
  <si>
    <t>VENDA COBAN 4" x 5Yd COLOR PIEL (Ref:1584) Marca 3M x Und</t>
  </si>
  <si>
    <t>Caja x 18 unid</t>
  </si>
  <si>
    <t>APOSITO TEGADERM CHG I.V. 10CM. X 12 CM. (REF:1658) MARCA 3M X UND./\PRESENTACION CAJA X 25 UNDS.</t>
  </si>
  <si>
    <t>APOSITO TEGADERM 10 x 12 Cm. (Ref:1626W) Marca 3M x Und./\Presentacion Caja x 50 Unds.</t>
  </si>
  <si>
    <t>1626W</t>
  </si>
  <si>
    <t>Caja x 50 unid</t>
  </si>
  <si>
    <t>Bulto x 200 unid</t>
  </si>
  <si>
    <t>APOSITO TEGADERM 6 x 7 Cm. (Ref:1624W) Marca 3M x Und./\Presentacion Caja x 100 Unds.</t>
  </si>
  <si>
    <t>1624W</t>
  </si>
  <si>
    <t>Caja x 100 unid</t>
  </si>
  <si>
    <t>BULTO X 4 CAJAS</t>
  </si>
  <si>
    <t>APOSITO TEGADERM + PAD 5 x 7 Cm. (Ref:3582) Marca 3M x Und./\Presentacion Caja x 50 Unds.</t>
  </si>
  <si>
    <t>APOSITO TEGADERM I.V. 7cm. x 8.5 Cm. (Ref:1633) Marca 3M x Und./\Presentacion Caja x 100 Unds.</t>
  </si>
  <si>
    <t>APOSITO TEGADERM + PAD 9 x 15 Cm. (Ref:3589) Marca 3M x Und./\Presentacion Caja x 25 Unds.</t>
  </si>
  <si>
    <t>IOBAN 2 STERIDRAPE 35CM X 35CM (REF:6640) MARCA 3M X UND./\PRESENTACION CAJA X 10 UNDS.</t>
  </si>
  <si>
    <t>Caja x 10 unid</t>
  </si>
  <si>
    <t>Bulto x 40 unid</t>
  </si>
  <si>
    <t>CAMPOS</t>
  </si>
  <si>
    <t>CAMPO IOBAN YODO-3M</t>
  </si>
  <si>
    <t>IOBAN 2 STERIDRAPE 60CM X 45CM (REF:6650) MARCA 3M X UND./\PRESENTACION CAJA X 10 UNDS.</t>
  </si>
  <si>
    <t>ADHESIVO DURAPORE 2" X 10YD.(REF:1538-2) MARCA 3M  X FRACCION</t>
  </si>
  <si>
    <t>ADHESIVO DURAPORE 3" X 10YD.(REF:1538-3) MARCA 3M X FRACCION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</si>
</sst>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3" x14ac:knownFonts="1">
    <font>
      <sz val="11"/>
      <name val="Calibri"/>
    </font>
    <font>
      <b/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1" fontId="0" fillId="0" borderId="0" xfId="0" applyNumberFormat="1"/>
    <xf numFmtId="2" fontId="0" fillId="0" borderId="0" xfId="0" applyNumberFormat="1"/>
    <xf numFmtId="0" fontId="0" fillId="0" borderId="0" xfId="0" applyAlignment="1">
      <alignment horizontal="center"/>
    </xf>
    <xf numFmtId="0" fontId="0" fillId="0" borderId="0" xfId="0"/>
    <xf numFmtId="0" fontId="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43" fontId="0" fillId="0" borderId="0" xfId="1" applyFont="1"/>
    <xf numFmtId="0" fontId="0" fillId="0" borderId="0" xfId="0" applyFill="1"/>
  </cellXfs>
  <cellStyles count="2">
    <cellStyle name="Millares" xfId="1" builtinId="3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31"/>
  <sheetViews>
    <sheetView tabSelected="1" workbookViewId="0">
      <selection activeCell="A11" sqref="A11"/>
    </sheetView>
  </sheetViews>
  <sheetFormatPr baseColWidth="10" defaultRowHeight="14.4" x14ac:dyDescent="0.3"/>
  <cols>
    <col min="1" max="1" width="6" customWidth="1"/>
    <col min="2" max="2" width="17.5546875" customWidth="1"/>
    <col min="3" max="3" width="12.109375" customWidth="1"/>
    <col min="4" max="4" width="96.33203125" bestFit="1" customWidth="1"/>
    <col min="5" max="5" width="14.6640625" style="2" customWidth="1"/>
    <col min="6" max="6" width="14.44140625" bestFit="1" customWidth="1"/>
    <col min="7" max="7" width="9.44140625" customWidth="1"/>
    <col min="8" max="8" width="5.44140625" bestFit="1" customWidth="1"/>
    <col min="9" max="9" width="11.5546875" bestFit="1" customWidth="1"/>
    <col min="10" max="10" width="18.21875" bestFit="1" customWidth="1"/>
    <col min="11" max="11" width="7.33203125" bestFit="1" customWidth="1"/>
    <col min="12" max="12" width="9.88671875" bestFit="1" customWidth="1"/>
    <col min="13" max="13" width="12" bestFit="1" customWidth="1"/>
    <col min="14" max="15" width="21.5546875" customWidth="1"/>
    <col min="16" max="16" width="23" customWidth="1"/>
    <col min="17" max="17" width="36.44140625" customWidth="1"/>
    <col min="18" max="19" width="54" customWidth="1"/>
    <col min="20" max="20" width="12.109375" customWidth="1"/>
    <col min="21" max="21" width="10.77734375" customWidth="1"/>
    <col min="22" max="22" width="14.88671875" customWidth="1"/>
    <col min="23" max="23" width="16.21875" customWidth="1"/>
    <col min="24" max="25" width="6" customWidth="1"/>
    <col min="26" max="26" width="9.44140625" customWidth="1"/>
    <col min="27" max="27" width="16.21875" customWidth="1"/>
    <col min="28" max="29" width="24.33203125" customWidth="1"/>
    <col min="30" max="30" width="8.109375" customWidth="1"/>
    <col min="31" max="31" width="6" customWidth="1"/>
    <col min="32" max="33" width="6.77734375" customWidth="1"/>
    <col min="34" max="34" width="8.109375" customWidth="1"/>
    <col min="35" max="35" width="10.77734375" customWidth="1"/>
  </cols>
  <sheetData>
    <row r="1" spans="1:35" x14ac:dyDescent="0.3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</row>
    <row r="2" spans="1:35" x14ac:dyDescent="0.3">
      <c r="A2" s="1" t="s">
        <v>1</v>
      </c>
      <c r="B2" s="1" t="s">
        <v>2</v>
      </c>
      <c r="C2" s="1" t="s">
        <v>3</v>
      </c>
      <c r="D2" s="1" t="s">
        <v>4</v>
      </c>
      <c r="E2" s="7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  <c r="AE2" s="1" t="s">
        <v>31</v>
      </c>
      <c r="AF2" s="1" t="s">
        <v>32</v>
      </c>
      <c r="AG2" s="1" t="s">
        <v>33</v>
      </c>
      <c r="AH2" s="1" t="s">
        <v>34</v>
      </c>
      <c r="AI2" s="1" t="s">
        <v>35</v>
      </c>
    </row>
    <row r="3" spans="1:35" x14ac:dyDescent="0.3">
      <c r="A3" s="3">
        <v>567</v>
      </c>
      <c r="B3" s="3">
        <v>260100206</v>
      </c>
      <c r="C3" s="3">
        <v>260100206</v>
      </c>
      <c r="D3" s="10" t="s">
        <v>109</v>
      </c>
      <c r="E3" s="2" t="s">
        <v>56</v>
      </c>
      <c r="F3" t="s">
        <v>37</v>
      </c>
      <c r="G3" s="9">
        <f>1.585/30</f>
        <v>5.2833333333333329E-2</v>
      </c>
      <c r="H3" s="3">
        <v>0</v>
      </c>
      <c r="I3" s="3">
        <v>0</v>
      </c>
      <c r="J3" s="9">
        <v>9.5555555555555567E-3</v>
      </c>
      <c r="K3" s="9">
        <v>0.06</v>
      </c>
      <c r="L3" s="4">
        <v>0.75</v>
      </c>
      <c r="M3" s="9">
        <v>0.08</v>
      </c>
      <c r="O3" t="s">
        <v>57</v>
      </c>
      <c r="Q3" t="s">
        <v>59</v>
      </c>
      <c r="T3" s="3">
        <v>1</v>
      </c>
      <c r="U3" s="3">
        <v>1</v>
      </c>
      <c r="V3" s="3">
        <v>1</v>
      </c>
      <c r="W3" s="3">
        <v>30</v>
      </c>
      <c r="X3" s="3">
        <v>1</v>
      </c>
      <c r="Y3" s="3">
        <v>1</v>
      </c>
      <c r="Z3" s="3">
        <v>0</v>
      </c>
      <c r="AA3" s="3">
        <v>0</v>
      </c>
      <c r="AB3" s="4">
        <v>0.65</v>
      </c>
      <c r="AC3">
        <v>2.8820000000000001</v>
      </c>
      <c r="AH3" t="s">
        <v>42</v>
      </c>
    </row>
    <row r="4" spans="1:35" x14ac:dyDescent="0.3">
      <c r="A4" s="3">
        <v>568</v>
      </c>
      <c r="B4" s="3">
        <v>260100208</v>
      </c>
      <c r="C4" s="3">
        <v>260100208</v>
      </c>
      <c r="D4" s="10" t="s">
        <v>110</v>
      </c>
      <c r="E4" s="2" t="s">
        <v>61</v>
      </c>
      <c r="F4" t="s">
        <v>37</v>
      </c>
      <c r="G4" s="9">
        <f>2.165/30</f>
        <v>7.2166666666666671E-2</v>
      </c>
      <c r="H4" s="3">
        <v>0</v>
      </c>
      <c r="I4" s="3">
        <v>0</v>
      </c>
      <c r="J4" s="9">
        <v>1.4333333333333333E-2</v>
      </c>
      <c r="K4" s="9">
        <v>0.09</v>
      </c>
      <c r="L4" s="4">
        <v>0.75</v>
      </c>
      <c r="M4" s="9">
        <v>0.12</v>
      </c>
      <c r="O4" t="s">
        <v>62</v>
      </c>
      <c r="Q4" t="s">
        <v>59</v>
      </c>
      <c r="T4" s="3">
        <v>1</v>
      </c>
      <c r="U4" s="3">
        <v>1</v>
      </c>
      <c r="V4" s="3">
        <v>1</v>
      </c>
      <c r="W4" s="3">
        <v>30</v>
      </c>
      <c r="X4" s="3">
        <v>1</v>
      </c>
      <c r="Y4" s="3">
        <v>1</v>
      </c>
      <c r="Z4" s="3">
        <v>0</v>
      </c>
      <c r="AA4" s="3">
        <v>0</v>
      </c>
      <c r="AB4" s="4">
        <v>0.65</v>
      </c>
      <c r="AC4">
        <v>4.3231000000000002</v>
      </c>
      <c r="AH4" t="s">
        <v>42</v>
      </c>
    </row>
    <row r="5" spans="1:35" x14ac:dyDescent="0.3">
      <c r="A5" s="3">
        <v>578</v>
      </c>
      <c r="B5" s="3">
        <v>250101314</v>
      </c>
      <c r="C5" s="3">
        <v>250101314</v>
      </c>
      <c r="D5" s="10" t="s">
        <v>83</v>
      </c>
      <c r="E5" s="2" t="s">
        <v>77</v>
      </c>
      <c r="F5" t="s">
        <v>37</v>
      </c>
      <c r="G5" s="9">
        <f>0.5725/50</f>
        <v>1.145E-2</v>
      </c>
      <c r="H5" s="3">
        <v>0</v>
      </c>
      <c r="I5" s="3">
        <v>0</v>
      </c>
      <c r="J5" s="9">
        <v>0.01</v>
      </c>
      <c r="K5" s="9">
        <v>0.02</v>
      </c>
      <c r="L5" s="4">
        <v>0.75</v>
      </c>
      <c r="M5" s="9">
        <v>0.03</v>
      </c>
      <c r="O5" t="s">
        <v>38</v>
      </c>
      <c r="Q5" t="s">
        <v>59</v>
      </c>
      <c r="T5" s="3">
        <v>1</v>
      </c>
      <c r="U5" s="3">
        <v>1</v>
      </c>
      <c r="V5" s="3">
        <v>1</v>
      </c>
      <c r="W5" s="3">
        <v>1</v>
      </c>
      <c r="X5" s="3">
        <v>1</v>
      </c>
      <c r="Y5" s="3">
        <v>1</v>
      </c>
      <c r="Z5" s="3">
        <v>0</v>
      </c>
      <c r="AA5" s="3">
        <v>0</v>
      </c>
      <c r="AB5" s="4">
        <v>0.65</v>
      </c>
      <c r="AC5">
        <v>12.861499999999999</v>
      </c>
      <c r="AH5" t="s">
        <v>42</v>
      </c>
    </row>
    <row r="6" spans="1:35" x14ac:dyDescent="0.3">
      <c r="A6" s="3">
        <v>579</v>
      </c>
      <c r="B6" s="3">
        <v>250101310</v>
      </c>
      <c r="C6" s="3">
        <v>250101310</v>
      </c>
      <c r="D6" s="10" t="s">
        <v>81</v>
      </c>
      <c r="E6" s="2" t="s">
        <v>68</v>
      </c>
      <c r="F6" t="s">
        <v>37</v>
      </c>
      <c r="G6" s="9">
        <f>1.02/50</f>
        <v>2.0400000000000001E-2</v>
      </c>
      <c r="H6" s="3">
        <v>0</v>
      </c>
      <c r="I6" s="3">
        <v>0</v>
      </c>
      <c r="J6" s="9">
        <v>0.04</v>
      </c>
      <c r="K6" s="9">
        <v>0.06</v>
      </c>
      <c r="L6" s="4">
        <v>0.75</v>
      </c>
      <c r="M6" s="9">
        <v>0.08</v>
      </c>
      <c r="O6" t="s">
        <v>38</v>
      </c>
      <c r="Q6" t="s">
        <v>59</v>
      </c>
      <c r="T6" s="3">
        <v>1</v>
      </c>
      <c r="U6" s="3">
        <v>1</v>
      </c>
      <c r="V6" s="3">
        <v>50</v>
      </c>
      <c r="W6" s="3">
        <v>1</v>
      </c>
      <c r="X6" s="3">
        <v>1</v>
      </c>
      <c r="Y6" s="3">
        <v>1</v>
      </c>
      <c r="Z6" s="3">
        <v>0</v>
      </c>
      <c r="AA6" s="3">
        <v>0</v>
      </c>
      <c r="AB6" s="4">
        <v>0.65</v>
      </c>
      <c r="AC6">
        <v>2.8153999999999999</v>
      </c>
      <c r="AH6" t="s">
        <v>42</v>
      </c>
    </row>
    <row r="7" spans="1:35" x14ac:dyDescent="0.3">
      <c r="A7" s="3">
        <v>580</v>
      </c>
      <c r="B7" s="3">
        <v>250101311</v>
      </c>
      <c r="C7" s="3">
        <v>250101311</v>
      </c>
      <c r="D7" s="10" t="s">
        <v>82</v>
      </c>
      <c r="E7" s="2" t="s">
        <v>70</v>
      </c>
      <c r="F7" t="s">
        <v>37</v>
      </c>
      <c r="G7" s="9">
        <f>1.3725/50</f>
        <v>2.7450000000000002E-2</v>
      </c>
      <c r="H7" s="3">
        <v>0</v>
      </c>
      <c r="I7" s="3">
        <v>0</v>
      </c>
      <c r="J7" s="9">
        <v>0.01</v>
      </c>
      <c r="K7" s="9">
        <v>0.04</v>
      </c>
      <c r="L7" s="4">
        <v>0.75</v>
      </c>
      <c r="M7" s="9">
        <v>0.05</v>
      </c>
      <c r="O7" t="s">
        <v>38</v>
      </c>
      <c r="Q7" t="s">
        <v>59</v>
      </c>
      <c r="T7" s="3">
        <v>1</v>
      </c>
      <c r="U7" s="3">
        <v>1</v>
      </c>
      <c r="V7" s="3">
        <v>50</v>
      </c>
      <c r="W7" s="3">
        <v>1</v>
      </c>
      <c r="X7" s="3">
        <v>0</v>
      </c>
      <c r="Y7" s="3">
        <v>0</v>
      </c>
      <c r="Z7" s="3">
        <v>0</v>
      </c>
      <c r="AA7" s="3">
        <v>0</v>
      </c>
      <c r="AB7" s="4">
        <v>0.65</v>
      </c>
      <c r="AC7">
        <v>2.5731000000000002</v>
      </c>
      <c r="AH7" t="s">
        <v>42</v>
      </c>
    </row>
    <row r="8" spans="1:35" x14ac:dyDescent="0.3">
      <c r="A8" s="3">
        <v>565</v>
      </c>
      <c r="B8" s="3">
        <v>250100512</v>
      </c>
      <c r="C8" s="3">
        <v>250100512</v>
      </c>
      <c r="D8" s="10" t="s">
        <v>80</v>
      </c>
      <c r="E8" s="2" t="s">
        <v>73</v>
      </c>
      <c r="F8" t="s">
        <v>37</v>
      </c>
      <c r="G8" s="9">
        <f>+1.88333333333333/50</f>
        <v>3.7666666666666598E-2</v>
      </c>
      <c r="H8" s="3">
        <v>0</v>
      </c>
      <c r="I8" s="3">
        <v>0</v>
      </c>
      <c r="J8" s="9">
        <v>5.0000000000000001E-3</v>
      </c>
      <c r="K8" s="9">
        <v>0.04</v>
      </c>
      <c r="L8" s="4">
        <v>0.75</v>
      </c>
      <c r="M8" s="9">
        <v>0.05</v>
      </c>
      <c r="O8" t="s">
        <v>57</v>
      </c>
      <c r="Q8" t="s">
        <v>59</v>
      </c>
      <c r="T8" s="3">
        <v>1</v>
      </c>
      <c r="U8" s="3">
        <v>1</v>
      </c>
      <c r="V8" s="3">
        <v>1</v>
      </c>
      <c r="W8" s="3">
        <v>50</v>
      </c>
      <c r="X8" s="3">
        <v>1</v>
      </c>
      <c r="Y8" s="3">
        <v>1</v>
      </c>
      <c r="Z8" s="3">
        <v>0</v>
      </c>
      <c r="AA8" s="3">
        <v>0</v>
      </c>
      <c r="AB8" s="4">
        <v>0.65</v>
      </c>
      <c r="AC8">
        <v>3.2</v>
      </c>
      <c r="AH8" t="s">
        <v>42</v>
      </c>
    </row>
    <row r="9" spans="1:35" x14ac:dyDescent="0.3">
      <c r="A9" s="3">
        <v>28</v>
      </c>
      <c r="B9" s="3">
        <v>250100206</v>
      </c>
      <c r="C9" s="3">
        <v>250100206</v>
      </c>
      <c r="D9" t="s">
        <v>55</v>
      </c>
      <c r="E9" s="2" t="s">
        <v>56</v>
      </c>
      <c r="F9" t="s">
        <v>37</v>
      </c>
      <c r="G9" s="9">
        <v>9.51</v>
      </c>
      <c r="H9" s="3">
        <v>0</v>
      </c>
      <c r="I9" s="3">
        <v>0</v>
      </c>
      <c r="J9" s="9">
        <v>1.72</v>
      </c>
      <c r="K9" s="9">
        <v>11.23</v>
      </c>
      <c r="L9" s="4">
        <v>0.75</v>
      </c>
      <c r="M9" s="9">
        <v>14.97</v>
      </c>
      <c r="N9" t="s">
        <v>57</v>
      </c>
      <c r="O9" t="s">
        <v>57</v>
      </c>
      <c r="P9" t="s">
        <v>58</v>
      </c>
      <c r="Q9" t="s">
        <v>59</v>
      </c>
      <c r="R9" t="s">
        <v>55</v>
      </c>
      <c r="T9" s="3">
        <v>1</v>
      </c>
      <c r="U9" s="3">
        <v>6</v>
      </c>
      <c r="V9" s="3">
        <v>1</v>
      </c>
      <c r="W9" s="3">
        <v>1</v>
      </c>
      <c r="X9" s="3">
        <v>1</v>
      </c>
      <c r="Y9" s="3">
        <v>1</v>
      </c>
      <c r="Z9" s="3">
        <v>0</v>
      </c>
      <c r="AA9" s="3">
        <v>1</v>
      </c>
      <c r="AB9" s="4">
        <v>0.65</v>
      </c>
      <c r="AC9">
        <v>17.292300000000001</v>
      </c>
      <c r="AD9" t="s">
        <v>41</v>
      </c>
      <c r="AE9" s="3">
        <v>1</v>
      </c>
      <c r="AF9" s="3">
        <v>1</v>
      </c>
      <c r="AG9" s="3">
        <v>1</v>
      </c>
      <c r="AH9" t="s">
        <v>42</v>
      </c>
    </row>
    <row r="10" spans="1:35" x14ac:dyDescent="0.3">
      <c r="A10" s="3">
        <v>29</v>
      </c>
      <c r="B10" s="3">
        <v>250100208</v>
      </c>
      <c r="C10" s="3">
        <v>250100208</v>
      </c>
      <c r="D10" t="s">
        <v>60</v>
      </c>
      <c r="E10" s="2" t="s">
        <v>61</v>
      </c>
      <c r="F10" t="s">
        <v>37</v>
      </c>
      <c r="G10" s="9">
        <v>8.66</v>
      </c>
      <c r="H10" s="3">
        <v>0</v>
      </c>
      <c r="I10" s="3">
        <v>0</v>
      </c>
      <c r="J10" s="9">
        <v>1.72</v>
      </c>
      <c r="K10" s="9">
        <v>10.38</v>
      </c>
      <c r="L10" s="4">
        <v>0.75</v>
      </c>
      <c r="M10" s="9">
        <v>13.84</v>
      </c>
      <c r="N10" t="s">
        <v>62</v>
      </c>
      <c r="O10" t="s">
        <v>62</v>
      </c>
      <c r="P10" t="s">
        <v>58</v>
      </c>
      <c r="Q10" t="s">
        <v>59</v>
      </c>
      <c r="R10" t="s">
        <v>63</v>
      </c>
      <c r="T10" s="3">
        <v>1</v>
      </c>
      <c r="U10" s="3">
        <v>4</v>
      </c>
      <c r="V10" s="3">
        <v>1</v>
      </c>
      <c r="W10" s="3">
        <v>1</v>
      </c>
      <c r="X10" s="3">
        <v>1</v>
      </c>
      <c r="Y10" s="3">
        <v>1</v>
      </c>
      <c r="Z10" s="3">
        <v>0</v>
      </c>
      <c r="AA10" s="3">
        <v>0</v>
      </c>
      <c r="AB10" s="4">
        <v>0.65</v>
      </c>
      <c r="AC10">
        <v>17.292300000000001</v>
      </c>
      <c r="AD10" t="s">
        <v>41</v>
      </c>
      <c r="AE10" s="3">
        <v>1</v>
      </c>
      <c r="AF10" s="3">
        <v>1</v>
      </c>
      <c r="AG10" s="3">
        <v>1</v>
      </c>
      <c r="AH10" t="s">
        <v>42</v>
      </c>
    </row>
    <row r="11" spans="1:35" x14ac:dyDescent="0.3">
      <c r="A11" s="3">
        <v>32</v>
      </c>
      <c r="B11" s="3">
        <v>250100314</v>
      </c>
      <c r="C11" s="3">
        <v>250100314</v>
      </c>
      <c r="D11" t="s">
        <v>76</v>
      </c>
      <c r="E11" s="2" t="s">
        <v>77</v>
      </c>
      <c r="F11" t="s">
        <v>37</v>
      </c>
      <c r="G11" s="9">
        <v>6.87</v>
      </c>
      <c r="H11" s="3">
        <v>0</v>
      </c>
      <c r="I11" s="3">
        <v>0</v>
      </c>
      <c r="J11" s="9">
        <v>1.36</v>
      </c>
      <c r="K11" s="9">
        <v>8.23</v>
      </c>
      <c r="L11" s="4">
        <v>0.75</v>
      </c>
      <c r="M11" s="9">
        <v>10.97</v>
      </c>
      <c r="N11" t="s">
        <v>78</v>
      </c>
      <c r="O11" t="s">
        <v>79</v>
      </c>
      <c r="P11" t="s">
        <v>58</v>
      </c>
      <c r="Q11" t="s">
        <v>59</v>
      </c>
      <c r="R11" t="s">
        <v>76</v>
      </c>
      <c r="T11" s="3">
        <v>1</v>
      </c>
      <c r="U11" s="3">
        <v>12</v>
      </c>
      <c r="V11" s="3">
        <v>1</v>
      </c>
      <c r="W11" s="3">
        <v>1</v>
      </c>
      <c r="X11" s="3">
        <v>1</v>
      </c>
      <c r="Y11" s="3">
        <v>1</v>
      </c>
      <c r="Z11" s="3">
        <v>0</v>
      </c>
      <c r="AA11" s="3">
        <v>1</v>
      </c>
      <c r="AB11" s="4">
        <v>0.65</v>
      </c>
      <c r="AC11">
        <v>1.0738000000000001</v>
      </c>
      <c r="AD11" t="s">
        <v>41</v>
      </c>
      <c r="AE11" s="3">
        <v>1</v>
      </c>
      <c r="AF11" s="3">
        <v>1</v>
      </c>
      <c r="AG11" s="3">
        <v>1</v>
      </c>
      <c r="AH11" t="s">
        <v>42</v>
      </c>
    </row>
    <row r="12" spans="1:35" x14ac:dyDescent="0.3">
      <c r="A12" s="3">
        <v>33</v>
      </c>
      <c r="B12" s="3">
        <v>250100309</v>
      </c>
      <c r="C12" s="3">
        <v>250100309</v>
      </c>
      <c r="D12" t="s">
        <v>64</v>
      </c>
      <c r="E12" s="2" t="s">
        <v>65</v>
      </c>
      <c r="F12" t="s">
        <v>37</v>
      </c>
      <c r="G12" s="9">
        <v>13.83</v>
      </c>
      <c r="H12" s="3">
        <v>0</v>
      </c>
      <c r="I12" s="3">
        <v>0</v>
      </c>
      <c r="J12" s="9">
        <v>1.36</v>
      </c>
      <c r="K12" s="9">
        <v>15.19</v>
      </c>
      <c r="L12" s="4">
        <v>0.75</v>
      </c>
      <c r="M12" s="9">
        <v>20.25</v>
      </c>
      <c r="N12" t="s">
        <v>66</v>
      </c>
      <c r="O12" t="s">
        <v>66</v>
      </c>
      <c r="P12" t="s">
        <v>58</v>
      </c>
      <c r="Q12" t="s">
        <v>59</v>
      </c>
      <c r="R12" t="s">
        <v>64</v>
      </c>
      <c r="T12" s="3">
        <v>1</v>
      </c>
      <c r="U12" s="3">
        <v>24</v>
      </c>
      <c r="V12" s="3">
        <v>1</v>
      </c>
      <c r="W12" s="3">
        <v>1</v>
      </c>
      <c r="X12" s="3">
        <v>1</v>
      </c>
      <c r="Y12" s="3">
        <v>1</v>
      </c>
      <c r="Z12" s="3">
        <v>0</v>
      </c>
      <c r="AA12" s="3">
        <v>1</v>
      </c>
      <c r="AB12" s="4">
        <v>0.55000000000000004</v>
      </c>
      <c r="AC12">
        <v>26.309100000000001</v>
      </c>
      <c r="AD12" t="s">
        <v>41</v>
      </c>
      <c r="AE12" s="3">
        <v>1</v>
      </c>
      <c r="AF12" s="3">
        <v>1</v>
      </c>
      <c r="AG12" s="3">
        <v>1</v>
      </c>
      <c r="AH12" t="s">
        <v>42</v>
      </c>
    </row>
    <row r="13" spans="1:35" x14ac:dyDescent="0.3">
      <c r="A13" s="3">
        <v>34</v>
      </c>
      <c r="B13" s="3">
        <v>250100310</v>
      </c>
      <c r="C13" s="3">
        <v>250100310</v>
      </c>
      <c r="D13" t="s">
        <v>67</v>
      </c>
      <c r="E13" s="2" t="s">
        <v>68</v>
      </c>
      <c r="F13" t="s">
        <v>37</v>
      </c>
      <c r="G13" s="9">
        <v>6.12</v>
      </c>
      <c r="H13" s="3">
        <v>0</v>
      </c>
      <c r="I13" s="3">
        <v>0</v>
      </c>
      <c r="J13" s="9">
        <v>1.51</v>
      </c>
      <c r="K13" s="9">
        <v>7.63</v>
      </c>
      <c r="L13" s="4">
        <v>0.75</v>
      </c>
      <c r="M13" s="9">
        <v>10.17</v>
      </c>
      <c r="N13" t="s">
        <v>57</v>
      </c>
      <c r="O13" t="s">
        <v>57</v>
      </c>
      <c r="P13" t="s">
        <v>58</v>
      </c>
      <c r="Q13" t="s">
        <v>59</v>
      </c>
      <c r="R13" t="s">
        <v>67</v>
      </c>
      <c r="T13" s="3">
        <v>1</v>
      </c>
      <c r="U13" s="3">
        <v>6</v>
      </c>
      <c r="V13" s="3">
        <v>1</v>
      </c>
      <c r="W13" s="3">
        <v>1</v>
      </c>
      <c r="X13" s="3">
        <v>1</v>
      </c>
      <c r="Y13" s="3">
        <v>1</v>
      </c>
      <c r="Z13" s="3">
        <v>0</v>
      </c>
      <c r="AA13" s="3">
        <v>1</v>
      </c>
      <c r="AB13" s="4">
        <v>0.65</v>
      </c>
      <c r="AC13">
        <v>11.2615</v>
      </c>
      <c r="AD13" t="s">
        <v>41</v>
      </c>
      <c r="AE13" s="3">
        <v>1</v>
      </c>
      <c r="AF13" s="3">
        <v>1</v>
      </c>
      <c r="AG13" s="3">
        <v>1</v>
      </c>
      <c r="AH13" t="s">
        <v>42</v>
      </c>
    </row>
    <row r="14" spans="1:35" x14ac:dyDescent="0.3">
      <c r="A14" s="3">
        <v>35</v>
      </c>
      <c r="B14" s="3">
        <v>250100311</v>
      </c>
      <c r="C14" s="3">
        <v>250100311</v>
      </c>
      <c r="D14" t="s">
        <v>69</v>
      </c>
      <c r="E14" s="2" t="s">
        <v>70</v>
      </c>
      <c r="F14" t="s">
        <v>37</v>
      </c>
      <c r="G14" s="9">
        <v>5.49</v>
      </c>
      <c r="H14" s="3">
        <v>0</v>
      </c>
      <c r="I14" s="3">
        <v>0</v>
      </c>
      <c r="J14" s="9">
        <v>1.51</v>
      </c>
      <c r="K14" s="9">
        <v>7</v>
      </c>
      <c r="L14" s="4">
        <v>0.75</v>
      </c>
      <c r="M14" s="9">
        <v>9.33</v>
      </c>
      <c r="N14" t="s">
        <v>62</v>
      </c>
      <c r="O14" t="s">
        <v>62</v>
      </c>
      <c r="P14" t="s">
        <v>58</v>
      </c>
      <c r="Q14" t="s">
        <v>59</v>
      </c>
      <c r="R14" t="s">
        <v>71</v>
      </c>
      <c r="T14" s="3">
        <v>1</v>
      </c>
      <c r="U14" s="3">
        <v>4</v>
      </c>
      <c r="V14" s="3">
        <v>1</v>
      </c>
      <c r="W14" s="3">
        <v>1</v>
      </c>
      <c r="X14" s="3">
        <v>1</v>
      </c>
      <c r="Y14" s="3">
        <v>1</v>
      </c>
      <c r="Z14" s="3">
        <v>0</v>
      </c>
      <c r="AA14" s="3">
        <v>1</v>
      </c>
      <c r="AB14" s="4">
        <v>0.65</v>
      </c>
      <c r="AC14">
        <v>10.292299999999999</v>
      </c>
      <c r="AD14" t="s">
        <v>41</v>
      </c>
      <c r="AE14" s="3">
        <v>1</v>
      </c>
      <c r="AF14" s="3">
        <v>1</v>
      </c>
      <c r="AG14" s="3">
        <v>1</v>
      </c>
      <c r="AH14" t="s">
        <v>42</v>
      </c>
    </row>
    <row r="15" spans="1:35" x14ac:dyDescent="0.3">
      <c r="A15" s="3">
        <v>37</v>
      </c>
      <c r="B15" s="3">
        <v>250100312</v>
      </c>
      <c r="C15" s="3">
        <v>250100312</v>
      </c>
      <c r="D15" t="s">
        <v>72</v>
      </c>
      <c r="E15" s="2" t="s">
        <v>73</v>
      </c>
      <c r="F15" t="s">
        <v>37</v>
      </c>
      <c r="G15" s="9">
        <v>11.3</v>
      </c>
      <c r="H15" s="3">
        <v>0</v>
      </c>
      <c r="I15" s="3">
        <v>0</v>
      </c>
      <c r="J15" s="9">
        <v>1.51</v>
      </c>
      <c r="K15" s="9">
        <v>12.81</v>
      </c>
      <c r="L15" s="4">
        <v>0.75</v>
      </c>
      <c r="M15" s="9">
        <v>17.079999999999998</v>
      </c>
      <c r="N15" t="s">
        <v>57</v>
      </c>
      <c r="O15" t="s">
        <v>57</v>
      </c>
      <c r="P15" t="s">
        <v>58</v>
      </c>
      <c r="Q15" t="s">
        <v>59</v>
      </c>
      <c r="R15" t="s">
        <v>72</v>
      </c>
      <c r="T15" s="3">
        <v>1</v>
      </c>
      <c r="U15" s="3">
        <v>6</v>
      </c>
      <c r="V15" s="3">
        <v>1</v>
      </c>
      <c r="W15" s="3">
        <v>1</v>
      </c>
      <c r="X15" s="3">
        <v>1</v>
      </c>
      <c r="Y15" s="3">
        <v>1</v>
      </c>
      <c r="Z15" s="3">
        <v>0</v>
      </c>
      <c r="AA15" s="3">
        <v>1</v>
      </c>
      <c r="AB15" s="4">
        <v>0.65</v>
      </c>
      <c r="AC15">
        <v>19.230799999999999</v>
      </c>
      <c r="AD15" t="s">
        <v>41</v>
      </c>
      <c r="AE15" s="3">
        <v>1</v>
      </c>
      <c r="AF15" s="3">
        <v>1</v>
      </c>
      <c r="AG15" s="3">
        <v>1</v>
      </c>
      <c r="AH15" t="s">
        <v>42</v>
      </c>
    </row>
    <row r="16" spans="1:35" x14ac:dyDescent="0.3">
      <c r="A16" s="3">
        <v>38</v>
      </c>
      <c r="B16" s="3">
        <v>250100313</v>
      </c>
      <c r="C16" s="3">
        <v>250100313</v>
      </c>
      <c r="D16" t="s">
        <v>74</v>
      </c>
      <c r="E16" s="2" t="s">
        <v>75</v>
      </c>
      <c r="F16" t="s">
        <v>37</v>
      </c>
      <c r="G16" s="9">
        <v>11.24</v>
      </c>
      <c r="H16" s="3">
        <v>0</v>
      </c>
      <c r="I16" s="3">
        <v>0</v>
      </c>
      <c r="J16" s="9">
        <v>1.51</v>
      </c>
      <c r="K16" s="9">
        <v>12.75</v>
      </c>
      <c r="L16" s="4">
        <v>0.75</v>
      </c>
      <c r="M16" s="9">
        <v>17</v>
      </c>
      <c r="N16" t="s">
        <v>62</v>
      </c>
      <c r="O16" t="s">
        <v>62</v>
      </c>
      <c r="P16" t="s">
        <v>58</v>
      </c>
      <c r="Q16" t="s">
        <v>59</v>
      </c>
      <c r="R16" t="s">
        <v>74</v>
      </c>
      <c r="T16" s="3">
        <v>1</v>
      </c>
      <c r="U16" s="3">
        <v>4</v>
      </c>
      <c r="V16" s="3">
        <v>1</v>
      </c>
      <c r="W16" s="3">
        <v>1</v>
      </c>
      <c r="X16" s="3">
        <v>1</v>
      </c>
      <c r="Y16" s="3">
        <v>1</v>
      </c>
      <c r="Z16" s="3">
        <v>0</v>
      </c>
      <c r="AA16" s="3">
        <v>1</v>
      </c>
      <c r="AB16" s="3">
        <v>0</v>
      </c>
      <c r="AC16" s="3">
        <v>0</v>
      </c>
      <c r="AD16" t="s">
        <v>41</v>
      </c>
      <c r="AE16" s="3">
        <v>1</v>
      </c>
      <c r="AF16" s="3">
        <v>1</v>
      </c>
      <c r="AG16" s="3">
        <v>1</v>
      </c>
      <c r="AH16" t="s">
        <v>42</v>
      </c>
    </row>
    <row r="17" spans="1:34" x14ac:dyDescent="0.3">
      <c r="A17" s="3">
        <v>76</v>
      </c>
      <c r="B17" s="3">
        <v>250210110</v>
      </c>
      <c r="C17" s="3">
        <v>250210110</v>
      </c>
      <c r="D17" t="s">
        <v>100</v>
      </c>
      <c r="E17" s="8">
        <v>3582</v>
      </c>
      <c r="F17" t="s">
        <v>37</v>
      </c>
      <c r="G17" s="9">
        <v>26.17</v>
      </c>
      <c r="H17" s="3">
        <v>0</v>
      </c>
      <c r="I17" s="3">
        <v>0</v>
      </c>
      <c r="J17" s="9">
        <v>4.84</v>
      </c>
      <c r="K17" s="9">
        <v>31.01</v>
      </c>
      <c r="L17" s="4">
        <v>0.75</v>
      </c>
      <c r="M17" s="9">
        <v>41.35</v>
      </c>
      <c r="N17" t="s">
        <v>94</v>
      </c>
      <c r="O17" t="s">
        <v>94</v>
      </c>
      <c r="P17" t="s">
        <v>99</v>
      </c>
      <c r="Q17" t="s">
        <v>54</v>
      </c>
      <c r="R17" t="s">
        <v>100</v>
      </c>
      <c r="T17" s="3">
        <v>1</v>
      </c>
      <c r="U17" s="3">
        <v>50</v>
      </c>
      <c r="V17" s="3">
        <v>1</v>
      </c>
      <c r="W17" s="3">
        <v>1</v>
      </c>
      <c r="X17" s="3">
        <v>1</v>
      </c>
      <c r="Y17" s="3">
        <v>1</v>
      </c>
      <c r="Z17" s="3">
        <v>0</v>
      </c>
      <c r="AA17" s="3">
        <v>1</v>
      </c>
      <c r="AB17" s="3">
        <v>0</v>
      </c>
      <c r="AC17" s="3">
        <v>0</v>
      </c>
      <c r="AD17" t="s">
        <v>41</v>
      </c>
      <c r="AE17" s="3">
        <v>1</v>
      </c>
      <c r="AF17" s="3">
        <v>1</v>
      </c>
      <c r="AG17" s="3">
        <v>1</v>
      </c>
      <c r="AH17" t="s">
        <v>42</v>
      </c>
    </row>
    <row r="18" spans="1:34" x14ac:dyDescent="0.3">
      <c r="A18" s="3">
        <v>77</v>
      </c>
      <c r="B18" s="3">
        <v>242201540</v>
      </c>
      <c r="C18" s="3">
        <v>242201540</v>
      </c>
      <c r="D18" t="s">
        <v>51</v>
      </c>
      <c r="E18" s="8">
        <v>3586</v>
      </c>
      <c r="F18" t="s">
        <v>37</v>
      </c>
      <c r="G18" s="9">
        <v>33.44</v>
      </c>
      <c r="H18" s="3">
        <v>0</v>
      </c>
      <c r="I18" s="3">
        <v>0</v>
      </c>
      <c r="J18" s="9">
        <v>4.3099999999999996</v>
      </c>
      <c r="K18" s="9">
        <v>37.75</v>
      </c>
      <c r="L18" s="4">
        <v>0.75</v>
      </c>
      <c r="M18" s="9">
        <v>50.33</v>
      </c>
      <c r="N18" t="s">
        <v>52</v>
      </c>
      <c r="O18" t="s">
        <v>52</v>
      </c>
      <c r="P18" t="s">
        <v>53</v>
      </c>
      <c r="Q18" t="s">
        <v>54</v>
      </c>
      <c r="R18" t="s">
        <v>51</v>
      </c>
      <c r="T18" s="3">
        <v>1</v>
      </c>
      <c r="U18" s="3">
        <v>25</v>
      </c>
      <c r="V18" s="3">
        <v>1</v>
      </c>
      <c r="W18" s="3">
        <v>1</v>
      </c>
      <c r="X18" s="3">
        <v>1</v>
      </c>
      <c r="Y18" s="3">
        <v>1</v>
      </c>
      <c r="Z18" s="3">
        <v>0</v>
      </c>
      <c r="AA18" s="3">
        <v>1</v>
      </c>
      <c r="AB18" s="3">
        <v>0</v>
      </c>
      <c r="AC18" s="3">
        <v>0</v>
      </c>
      <c r="AD18" t="s">
        <v>41</v>
      </c>
      <c r="AE18" s="3">
        <v>1</v>
      </c>
      <c r="AF18" s="3">
        <v>1</v>
      </c>
      <c r="AG18" s="3">
        <v>1</v>
      </c>
      <c r="AH18" t="s">
        <v>42</v>
      </c>
    </row>
    <row r="19" spans="1:34" x14ac:dyDescent="0.3">
      <c r="A19" s="3">
        <v>78</v>
      </c>
      <c r="B19" s="3">
        <v>250210213</v>
      </c>
      <c r="C19" s="3">
        <v>250210213</v>
      </c>
      <c r="D19" t="s">
        <v>102</v>
      </c>
      <c r="E19" s="8">
        <v>3589</v>
      </c>
      <c r="F19" t="s">
        <v>37</v>
      </c>
      <c r="G19" s="9">
        <v>45.09</v>
      </c>
      <c r="H19" s="3">
        <v>0</v>
      </c>
      <c r="I19" s="3">
        <v>0</v>
      </c>
      <c r="J19" s="9">
        <v>4.84</v>
      </c>
      <c r="K19" s="9">
        <v>49.93</v>
      </c>
      <c r="L19" s="4">
        <v>0.75</v>
      </c>
      <c r="M19" s="9">
        <v>66.569999999999993</v>
      </c>
      <c r="N19" t="s">
        <v>52</v>
      </c>
      <c r="O19" t="s">
        <v>52</v>
      </c>
      <c r="P19" t="s">
        <v>99</v>
      </c>
      <c r="Q19" t="s">
        <v>54</v>
      </c>
      <c r="R19" t="s">
        <v>102</v>
      </c>
      <c r="T19" s="3">
        <v>1</v>
      </c>
      <c r="U19" s="3">
        <v>25</v>
      </c>
      <c r="V19" s="3">
        <v>1</v>
      </c>
      <c r="W19" s="3">
        <v>1</v>
      </c>
      <c r="X19" s="3">
        <v>1</v>
      </c>
      <c r="Y19" s="3">
        <v>1</v>
      </c>
      <c r="Z19" s="3">
        <v>0</v>
      </c>
      <c r="AA19" s="3">
        <v>1</v>
      </c>
      <c r="AB19" s="3">
        <v>0</v>
      </c>
      <c r="AC19" s="3">
        <v>0</v>
      </c>
      <c r="AD19" t="s">
        <v>41</v>
      </c>
      <c r="AE19" s="3">
        <v>1</v>
      </c>
      <c r="AF19" s="3">
        <v>1</v>
      </c>
      <c r="AG19" s="3">
        <v>1</v>
      </c>
      <c r="AH19" t="s">
        <v>42</v>
      </c>
    </row>
    <row r="20" spans="1:34" x14ac:dyDescent="0.3">
      <c r="A20" s="3">
        <v>79</v>
      </c>
      <c r="B20" s="3">
        <v>250210108</v>
      </c>
      <c r="C20" s="3">
        <v>250210108</v>
      </c>
      <c r="D20" t="s">
        <v>92</v>
      </c>
      <c r="E20" s="2" t="s">
        <v>93</v>
      </c>
      <c r="F20" t="s">
        <v>37</v>
      </c>
      <c r="G20" s="9">
        <v>41.48</v>
      </c>
      <c r="H20" s="3">
        <v>0</v>
      </c>
      <c r="I20" s="3">
        <v>0</v>
      </c>
      <c r="J20" s="9">
        <v>4.3099999999999996</v>
      </c>
      <c r="K20" s="9">
        <v>45.79</v>
      </c>
      <c r="L20" s="4">
        <v>0.75</v>
      </c>
      <c r="M20" s="9">
        <v>61.05</v>
      </c>
      <c r="N20" t="s">
        <v>94</v>
      </c>
      <c r="O20" t="s">
        <v>94</v>
      </c>
      <c r="P20" t="s">
        <v>95</v>
      </c>
      <c r="Q20" t="s">
        <v>54</v>
      </c>
      <c r="R20" t="s">
        <v>92</v>
      </c>
      <c r="T20" s="3">
        <v>1</v>
      </c>
      <c r="U20" s="3">
        <v>50</v>
      </c>
      <c r="V20" s="3">
        <v>1</v>
      </c>
      <c r="W20" s="3">
        <v>1</v>
      </c>
      <c r="X20" s="3">
        <v>1</v>
      </c>
      <c r="Y20" s="3">
        <v>1</v>
      </c>
      <c r="Z20" s="3">
        <v>0</v>
      </c>
      <c r="AA20" s="3">
        <v>1</v>
      </c>
      <c r="AB20" s="4">
        <v>0.52</v>
      </c>
      <c r="AC20">
        <v>80.884600000000006</v>
      </c>
      <c r="AD20" t="s">
        <v>41</v>
      </c>
      <c r="AE20" s="3">
        <v>1</v>
      </c>
      <c r="AF20" s="3">
        <v>1</v>
      </c>
      <c r="AG20" s="3">
        <v>1</v>
      </c>
      <c r="AH20" t="s">
        <v>42</v>
      </c>
    </row>
    <row r="21" spans="1:34" x14ac:dyDescent="0.3">
      <c r="A21" s="3">
        <v>552</v>
      </c>
      <c r="B21" s="3">
        <v>250210109</v>
      </c>
      <c r="C21" s="3">
        <v>250210109</v>
      </c>
      <c r="D21" t="s">
        <v>96</v>
      </c>
      <c r="E21" s="2" t="s">
        <v>97</v>
      </c>
      <c r="F21" t="s">
        <v>37</v>
      </c>
      <c r="G21" s="9">
        <v>31.51</v>
      </c>
      <c r="H21" s="3">
        <v>0</v>
      </c>
      <c r="I21" s="3">
        <v>0</v>
      </c>
      <c r="J21" s="9">
        <v>0.86</v>
      </c>
      <c r="K21" s="9">
        <v>32.369999999999997</v>
      </c>
      <c r="L21" s="4">
        <v>0.75</v>
      </c>
      <c r="M21" s="9">
        <v>43.16</v>
      </c>
      <c r="N21" t="s">
        <v>98</v>
      </c>
      <c r="O21" t="s">
        <v>98</v>
      </c>
      <c r="P21" t="s">
        <v>99</v>
      </c>
      <c r="Q21" t="s">
        <v>54</v>
      </c>
      <c r="R21" t="s">
        <v>96</v>
      </c>
      <c r="T21" s="3">
        <v>1</v>
      </c>
      <c r="U21" s="3">
        <v>100</v>
      </c>
      <c r="V21" s="3">
        <v>1</v>
      </c>
      <c r="W21" s="3">
        <v>1</v>
      </c>
      <c r="X21" s="3">
        <v>1</v>
      </c>
      <c r="Y21" s="3">
        <v>1</v>
      </c>
      <c r="Z21" s="3">
        <v>0</v>
      </c>
      <c r="AA21" s="3">
        <v>1</v>
      </c>
      <c r="AB21">
        <v>0.45469999999999999</v>
      </c>
      <c r="AC21">
        <v>70.002200000000002</v>
      </c>
      <c r="AD21" t="s">
        <v>41</v>
      </c>
      <c r="AE21" s="3">
        <v>1</v>
      </c>
      <c r="AF21" s="3">
        <v>1</v>
      </c>
      <c r="AG21" s="3">
        <v>1</v>
      </c>
      <c r="AH21" t="s">
        <v>42</v>
      </c>
    </row>
    <row r="22" spans="1:34" x14ac:dyDescent="0.3">
      <c r="A22" s="3">
        <v>557</v>
      </c>
      <c r="B22" s="3">
        <v>250210100</v>
      </c>
      <c r="C22" s="3">
        <v>250210100</v>
      </c>
      <c r="D22" t="s">
        <v>91</v>
      </c>
      <c r="E22" s="8">
        <v>1658</v>
      </c>
      <c r="F22" t="s">
        <v>37</v>
      </c>
      <c r="G22" s="9">
        <v>198.84</v>
      </c>
      <c r="H22" s="3">
        <v>0</v>
      </c>
      <c r="I22" s="3">
        <v>0</v>
      </c>
      <c r="J22" s="9">
        <v>15.79</v>
      </c>
      <c r="K22" s="9">
        <v>214.63</v>
      </c>
      <c r="L22" s="4">
        <v>0.75</v>
      </c>
      <c r="M22" s="9">
        <v>286.17</v>
      </c>
      <c r="N22" t="s">
        <v>52</v>
      </c>
      <c r="O22" t="s">
        <v>52</v>
      </c>
      <c r="P22" t="s">
        <v>53</v>
      </c>
      <c r="Q22" t="s">
        <v>54</v>
      </c>
      <c r="R22" t="s">
        <v>91</v>
      </c>
      <c r="T22" s="3">
        <v>1</v>
      </c>
      <c r="U22" s="3">
        <v>25</v>
      </c>
      <c r="V22" s="3">
        <v>1</v>
      </c>
      <c r="W22" s="3">
        <v>1</v>
      </c>
      <c r="X22" s="3">
        <v>1</v>
      </c>
      <c r="Y22" s="3">
        <v>1</v>
      </c>
      <c r="Z22" s="3">
        <v>0</v>
      </c>
      <c r="AA22" s="3">
        <v>1</v>
      </c>
      <c r="AB22" s="4">
        <v>0.49</v>
      </c>
      <c r="AC22">
        <v>411.8227</v>
      </c>
      <c r="AD22" t="s">
        <v>41</v>
      </c>
      <c r="AE22" s="3">
        <v>1</v>
      </c>
      <c r="AF22" s="3">
        <v>1</v>
      </c>
      <c r="AG22" s="3">
        <v>1</v>
      </c>
      <c r="AH22" t="s">
        <v>42</v>
      </c>
    </row>
    <row r="23" spans="1:34" x14ac:dyDescent="0.3">
      <c r="A23" s="3">
        <v>81</v>
      </c>
      <c r="B23" s="3">
        <v>250210111</v>
      </c>
      <c r="C23" s="3">
        <v>250210111</v>
      </c>
      <c r="D23" t="s">
        <v>101</v>
      </c>
      <c r="E23" s="8">
        <v>1633</v>
      </c>
      <c r="F23" t="s">
        <v>37</v>
      </c>
      <c r="G23" s="9">
        <v>40.19</v>
      </c>
      <c r="H23" s="3">
        <v>0</v>
      </c>
      <c r="I23" s="3">
        <v>0</v>
      </c>
      <c r="J23" s="9">
        <v>10.050000000000001</v>
      </c>
      <c r="K23" s="9">
        <v>50.24</v>
      </c>
      <c r="L23" s="4">
        <v>0.75</v>
      </c>
      <c r="M23" s="9">
        <v>66.989999999999995</v>
      </c>
      <c r="N23" t="s">
        <v>98</v>
      </c>
      <c r="O23" t="s">
        <v>98</v>
      </c>
      <c r="P23" t="s">
        <v>99</v>
      </c>
      <c r="Q23" t="s">
        <v>54</v>
      </c>
      <c r="R23" t="s">
        <v>101</v>
      </c>
      <c r="T23" s="3">
        <v>1</v>
      </c>
      <c r="U23" s="3">
        <v>100</v>
      </c>
      <c r="V23" s="3">
        <v>1</v>
      </c>
      <c r="W23" s="3">
        <v>1</v>
      </c>
      <c r="X23" s="3">
        <v>1</v>
      </c>
      <c r="Y23" s="3">
        <v>1</v>
      </c>
      <c r="Z23" s="3">
        <v>0</v>
      </c>
      <c r="AA23" s="3">
        <v>1</v>
      </c>
      <c r="AB23" s="3">
        <v>0</v>
      </c>
      <c r="AC23" s="3">
        <v>0</v>
      </c>
      <c r="AD23" t="s">
        <v>41</v>
      </c>
      <c r="AE23" s="3">
        <v>1</v>
      </c>
      <c r="AF23" s="3">
        <v>1</v>
      </c>
      <c r="AG23" s="3">
        <v>1</v>
      </c>
      <c r="AH23" t="s">
        <v>42</v>
      </c>
    </row>
    <row r="24" spans="1:34" x14ac:dyDescent="0.3">
      <c r="A24" s="3">
        <v>670</v>
      </c>
      <c r="B24" s="3">
        <v>241040104</v>
      </c>
      <c r="C24" s="3">
        <v>241040104</v>
      </c>
      <c r="D24" t="s">
        <v>43</v>
      </c>
      <c r="E24" s="2" t="s">
        <v>44</v>
      </c>
      <c r="F24" t="s">
        <v>37</v>
      </c>
      <c r="G24" s="9">
        <v>5.8</v>
      </c>
      <c r="H24" s="3">
        <v>0</v>
      </c>
      <c r="I24" s="3">
        <v>0</v>
      </c>
      <c r="J24" s="9">
        <v>0.47</v>
      </c>
      <c r="K24" s="9">
        <v>6.27</v>
      </c>
      <c r="L24" s="4">
        <v>0.75</v>
      </c>
      <c r="M24" s="9">
        <v>8.36</v>
      </c>
      <c r="N24" t="s">
        <v>45</v>
      </c>
      <c r="O24" t="s">
        <v>38</v>
      </c>
      <c r="P24" t="s">
        <v>45</v>
      </c>
      <c r="Q24" t="s">
        <v>46</v>
      </c>
      <c r="R24" t="s">
        <v>47</v>
      </c>
      <c r="T24" s="3">
        <v>1</v>
      </c>
      <c r="U24" s="3">
        <v>1</v>
      </c>
      <c r="V24" s="3">
        <v>1</v>
      </c>
      <c r="W24" s="3">
        <v>1</v>
      </c>
      <c r="X24" s="3">
        <v>1</v>
      </c>
      <c r="Y24" s="3">
        <v>1</v>
      </c>
      <c r="Z24" s="3">
        <v>0</v>
      </c>
      <c r="AA24" s="3">
        <v>1</v>
      </c>
      <c r="AB24" s="3">
        <v>0</v>
      </c>
      <c r="AC24" s="3">
        <v>0</v>
      </c>
      <c r="AD24" t="s">
        <v>41</v>
      </c>
      <c r="AE24" s="3">
        <v>1</v>
      </c>
      <c r="AF24" s="3">
        <v>1</v>
      </c>
      <c r="AG24" s="3">
        <v>1</v>
      </c>
      <c r="AH24" t="s">
        <v>42</v>
      </c>
    </row>
    <row r="25" spans="1:34" x14ac:dyDescent="0.3">
      <c r="A25" s="3">
        <v>564</v>
      </c>
      <c r="B25" s="3">
        <v>252460105</v>
      </c>
      <c r="C25" s="3">
        <v>252460105</v>
      </c>
      <c r="D25" t="s">
        <v>103</v>
      </c>
      <c r="E25" s="8">
        <v>6640</v>
      </c>
      <c r="F25" t="s">
        <v>37</v>
      </c>
      <c r="G25" s="9">
        <v>5.51</v>
      </c>
      <c r="H25" s="3">
        <v>0</v>
      </c>
      <c r="I25" s="3">
        <v>0</v>
      </c>
      <c r="J25" s="9">
        <v>1.22</v>
      </c>
      <c r="K25" s="9">
        <v>6.73</v>
      </c>
      <c r="L25" s="4">
        <v>0.75</v>
      </c>
      <c r="M25" s="9">
        <v>8.9700000000000006</v>
      </c>
      <c r="N25" t="s">
        <v>104</v>
      </c>
      <c r="O25" t="s">
        <v>38</v>
      </c>
      <c r="P25" t="s">
        <v>105</v>
      </c>
      <c r="Q25" t="s">
        <v>106</v>
      </c>
      <c r="R25" t="s">
        <v>107</v>
      </c>
      <c r="T25" s="3">
        <v>1</v>
      </c>
      <c r="U25" s="3">
        <v>1</v>
      </c>
      <c r="V25" s="3">
        <v>1</v>
      </c>
      <c r="W25" s="3">
        <v>1</v>
      </c>
      <c r="X25" s="3">
        <v>1</v>
      </c>
      <c r="Y25" s="3">
        <v>1</v>
      </c>
      <c r="Z25" s="3">
        <v>0</v>
      </c>
      <c r="AA25" s="3">
        <v>1</v>
      </c>
      <c r="AB25" s="3">
        <v>0</v>
      </c>
      <c r="AC25" s="3">
        <v>0</v>
      </c>
      <c r="AD25" t="s">
        <v>41</v>
      </c>
      <c r="AE25" s="3">
        <v>1</v>
      </c>
      <c r="AF25" s="3">
        <v>1</v>
      </c>
      <c r="AG25" s="3">
        <v>1</v>
      </c>
      <c r="AH25" t="s">
        <v>42</v>
      </c>
    </row>
    <row r="26" spans="1:34" x14ac:dyDescent="0.3">
      <c r="A26" s="3">
        <v>632</v>
      </c>
      <c r="B26" s="3">
        <v>252460106</v>
      </c>
      <c r="C26" s="3">
        <v>252460106</v>
      </c>
      <c r="D26" t="s">
        <v>108</v>
      </c>
      <c r="E26" s="8">
        <v>6650</v>
      </c>
      <c r="F26" t="s">
        <v>37</v>
      </c>
      <c r="G26" s="9">
        <v>7.26</v>
      </c>
      <c r="H26" s="3">
        <v>0</v>
      </c>
      <c r="I26" s="3">
        <v>0</v>
      </c>
      <c r="J26" s="9">
        <v>0.45</v>
      </c>
      <c r="K26" s="9">
        <v>7.71</v>
      </c>
      <c r="L26" s="4">
        <v>0.75</v>
      </c>
      <c r="M26" s="9">
        <v>10.28</v>
      </c>
      <c r="N26" t="s">
        <v>104</v>
      </c>
      <c r="O26" t="s">
        <v>38</v>
      </c>
      <c r="P26" t="s">
        <v>105</v>
      </c>
      <c r="Q26" t="s">
        <v>106</v>
      </c>
      <c r="R26" t="s">
        <v>107</v>
      </c>
      <c r="T26" s="3">
        <v>1</v>
      </c>
      <c r="U26" s="3">
        <v>1</v>
      </c>
      <c r="V26" s="3">
        <v>1</v>
      </c>
      <c r="W26" s="3">
        <v>1</v>
      </c>
      <c r="X26" s="3">
        <v>1</v>
      </c>
      <c r="Y26" s="3">
        <v>1</v>
      </c>
      <c r="Z26" s="3">
        <v>0</v>
      </c>
      <c r="AA26" s="3">
        <v>1</v>
      </c>
      <c r="AB26" s="3">
        <v>0</v>
      </c>
      <c r="AC26" s="3">
        <v>0</v>
      </c>
      <c r="AD26" t="s">
        <v>41</v>
      </c>
      <c r="AE26" s="3">
        <v>1</v>
      </c>
      <c r="AF26" s="3">
        <v>1</v>
      </c>
      <c r="AG26" s="3">
        <v>1</v>
      </c>
      <c r="AH26" t="s">
        <v>42</v>
      </c>
    </row>
    <row r="27" spans="1:34" x14ac:dyDescent="0.3">
      <c r="A27" s="3">
        <v>247</v>
      </c>
      <c r="B27" s="3">
        <v>240850309</v>
      </c>
      <c r="C27" s="3">
        <v>240850309</v>
      </c>
      <c r="D27" t="s">
        <v>36</v>
      </c>
      <c r="E27" s="8">
        <v>30000</v>
      </c>
      <c r="F27" t="s">
        <v>37</v>
      </c>
      <c r="G27" s="9">
        <v>9.8000000000000007</v>
      </c>
      <c r="H27" s="3">
        <v>0</v>
      </c>
      <c r="I27" s="3">
        <v>0</v>
      </c>
      <c r="J27" s="9">
        <v>1.61</v>
      </c>
      <c r="K27" s="9">
        <v>11.41</v>
      </c>
      <c r="L27" s="4">
        <v>0.75</v>
      </c>
      <c r="M27" s="9">
        <v>15.21</v>
      </c>
      <c r="N27" t="s">
        <v>38</v>
      </c>
      <c r="O27" t="s">
        <v>38</v>
      </c>
      <c r="P27" t="s">
        <v>39</v>
      </c>
      <c r="Q27" t="s">
        <v>40</v>
      </c>
      <c r="R27" t="s">
        <v>36</v>
      </c>
      <c r="T27" s="3">
        <v>1</v>
      </c>
      <c r="U27" s="3">
        <v>1</v>
      </c>
      <c r="V27" s="3">
        <v>1</v>
      </c>
      <c r="W27" s="3">
        <v>1</v>
      </c>
      <c r="X27" s="3">
        <v>1</v>
      </c>
      <c r="Y27" s="3">
        <v>1</v>
      </c>
      <c r="Z27" s="3">
        <v>0</v>
      </c>
      <c r="AA27" s="3">
        <v>1</v>
      </c>
      <c r="AB27">
        <v>0.33929999999999999</v>
      </c>
      <c r="AC27">
        <v>33.009099999999997</v>
      </c>
      <c r="AD27" t="s">
        <v>41</v>
      </c>
      <c r="AE27" s="3">
        <v>1</v>
      </c>
      <c r="AF27" s="3">
        <v>1</v>
      </c>
      <c r="AG27" s="3">
        <v>1</v>
      </c>
      <c r="AH27" t="s">
        <v>42</v>
      </c>
    </row>
    <row r="28" spans="1:34" x14ac:dyDescent="0.3">
      <c r="A28" s="3">
        <v>671</v>
      </c>
      <c r="B28" s="3">
        <v>241250124</v>
      </c>
      <c r="C28" s="3">
        <v>241250124</v>
      </c>
      <c r="D28" t="s">
        <v>49</v>
      </c>
      <c r="E28" s="8">
        <v>3346</v>
      </c>
      <c r="F28" t="s">
        <v>37</v>
      </c>
      <c r="G28" s="9">
        <v>10.96</v>
      </c>
      <c r="H28" s="3">
        <v>0</v>
      </c>
      <c r="I28" s="3">
        <v>0</v>
      </c>
      <c r="J28" s="9">
        <v>1.93</v>
      </c>
      <c r="K28" s="9">
        <v>12.89</v>
      </c>
      <c r="L28" s="4">
        <v>0.75</v>
      </c>
      <c r="M28" s="9">
        <v>17.190000000000001</v>
      </c>
      <c r="N28" t="s">
        <v>38</v>
      </c>
      <c r="O28" t="s">
        <v>38</v>
      </c>
      <c r="P28" t="s">
        <v>38</v>
      </c>
      <c r="Q28" t="s">
        <v>48</v>
      </c>
      <c r="R28" t="s">
        <v>50</v>
      </c>
      <c r="T28" s="3">
        <v>1</v>
      </c>
      <c r="U28" s="3">
        <v>1</v>
      </c>
      <c r="V28" s="3">
        <v>1</v>
      </c>
      <c r="W28" s="3">
        <v>1</v>
      </c>
      <c r="X28" s="3">
        <v>1</v>
      </c>
      <c r="Y28" s="3">
        <v>1</v>
      </c>
      <c r="Z28" s="3">
        <v>0</v>
      </c>
      <c r="AA28" s="3">
        <v>0</v>
      </c>
      <c r="AB28" s="3">
        <v>0</v>
      </c>
      <c r="AC28" s="3">
        <v>0</v>
      </c>
      <c r="AD28" t="s">
        <v>41</v>
      </c>
      <c r="AE28" s="3">
        <v>1</v>
      </c>
      <c r="AF28" s="3">
        <v>1</v>
      </c>
      <c r="AG28" s="3">
        <v>1</v>
      </c>
      <c r="AH28" t="s">
        <v>42</v>
      </c>
    </row>
    <row r="29" spans="1:34" x14ac:dyDescent="0.3">
      <c r="A29" s="3">
        <v>417</v>
      </c>
      <c r="B29" s="3">
        <v>250150003</v>
      </c>
      <c r="C29" s="3">
        <v>250150003</v>
      </c>
      <c r="D29" t="s">
        <v>84</v>
      </c>
      <c r="E29" s="8">
        <v>1581</v>
      </c>
      <c r="F29" t="s">
        <v>37</v>
      </c>
      <c r="G29" s="9">
        <v>1.08</v>
      </c>
      <c r="H29" s="3">
        <v>0</v>
      </c>
      <c r="I29" s="3">
        <v>0</v>
      </c>
      <c r="J29" s="9">
        <v>0.26</v>
      </c>
      <c r="K29" s="9">
        <v>1.34</v>
      </c>
      <c r="L29" s="4">
        <v>0.75</v>
      </c>
      <c r="M29" s="9">
        <v>1.79</v>
      </c>
      <c r="N29" t="s">
        <v>85</v>
      </c>
      <c r="O29" t="s">
        <v>38</v>
      </c>
      <c r="P29" t="s">
        <v>86</v>
      </c>
      <c r="Q29" t="s">
        <v>59</v>
      </c>
      <c r="R29" t="s">
        <v>84</v>
      </c>
      <c r="T29" s="3">
        <v>1</v>
      </c>
      <c r="U29" s="3">
        <v>1</v>
      </c>
      <c r="V29" s="3">
        <v>1</v>
      </c>
      <c r="W29" s="3">
        <v>1</v>
      </c>
      <c r="X29" s="3">
        <v>1</v>
      </c>
      <c r="Y29" s="3">
        <v>1</v>
      </c>
      <c r="Z29" s="3">
        <v>0</v>
      </c>
      <c r="AA29" s="3">
        <v>1</v>
      </c>
      <c r="AB29" s="4">
        <v>0.65</v>
      </c>
      <c r="AC29">
        <v>1.8609</v>
      </c>
      <c r="AD29" t="s">
        <v>41</v>
      </c>
      <c r="AE29" s="3">
        <v>1</v>
      </c>
      <c r="AF29" s="3">
        <v>1</v>
      </c>
      <c r="AG29" s="3">
        <v>1</v>
      </c>
      <c r="AH29" t="s">
        <v>42</v>
      </c>
    </row>
    <row r="30" spans="1:34" x14ac:dyDescent="0.3">
      <c r="A30" s="3">
        <v>419</v>
      </c>
      <c r="B30" s="3">
        <v>250150203</v>
      </c>
      <c r="C30" s="3">
        <v>250150203</v>
      </c>
      <c r="D30" t="s">
        <v>87</v>
      </c>
      <c r="E30" s="8">
        <v>1583</v>
      </c>
      <c r="F30" t="s">
        <v>37</v>
      </c>
      <c r="G30" s="9">
        <v>2.06</v>
      </c>
      <c r="H30" s="3">
        <v>0</v>
      </c>
      <c r="I30" s="3">
        <v>0</v>
      </c>
      <c r="J30" s="9">
        <v>0.61</v>
      </c>
      <c r="K30" s="9">
        <v>2.67</v>
      </c>
      <c r="L30" s="4">
        <v>0.75</v>
      </c>
      <c r="M30" s="9">
        <v>3.56</v>
      </c>
      <c r="N30" t="s">
        <v>38</v>
      </c>
      <c r="O30" t="s">
        <v>38</v>
      </c>
      <c r="P30" t="s">
        <v>66</v>
      </c>
      <c r="Q30" t="s">
        <v>88</v>
      </c>
      <c r="R30" t="s">
        <v>87</v>
      </c>
      <c r="T30" s="3">
        <v>1</v>
      </c>
      <c r="U30" s="3">
        <v>1</v>
      </c>
      <c r="V30" s="3">
        <v>1</v>
      </c>
      <c r="W30" s="3">
        <v>1</v>
      </c>
      <c r="X30" s="3">
        <v>1</v>
      </c>
      <c r="Y30" s="3">
        <v>1</v>
      </c>
      <c r="Z30" s="3">
        <v>0</v>
      </c>
      <c r="AA30" s="3">
        <v>0</v>
      </c>
      <c r="AB30" s="3">
        <v>0</v>
      </c>
      <c r="AC30" s="3">
        <v>0</v>
      </c>
      <c r="AD30" t="s">
        <v>41</v>
      </c>
      <c r="AE30" s="3">
        <v>1</v>
      </c>
      <c r="AF30" s="3">
        <v>1</v>
      </c>
      <c r="AG30" s="3">
        <v>1</v>
      </c>
      <c r="AH30" t="s">
        <v>42</v>
      </c>
    </row>
    <row r="31" spans="1:34" x14ac:dyDescent="0.3">
      <c r="A31" s="3">
        <v>421</v>
      </c>
      <c r="B31" s="3">
        <v>250150204</v>
      </c>
      <c r="C31" s="3">
        <v>250150204</v>
      </c>
      <c r="D31" t="s">
        <v>89</v>
      </c>
      <c r="E31" s="8">
        <v>1584</v>
      </c>
      <c r="F31" t="s">
        <v>37</v>
      </c>
      <c r="G31" s="9">
        <v>2.4900000000000002</v>
      </c>
      <c r="H31" s="3">
        <v>0</v>
      </c>
      <c r="I31" s="3">
        <v>0</v>
      </c>
      <c r="J31" s="9">
        <v>0.81</v>
      </c>
      <c r="K31" s="9">
        <v>3.3</v>
      </c>
      <c r="L31" s="4">
        <v>0.75</v>
      </c>
      <c r="M31" s="9">
        <v>4.4000000000000004</v>
      </c>
      <c r="N31" t="s">
        <v>38</v>
      </c>
      <c r="O31" t="s">
        <v>38</v>
      </c>
      <c r="P31" t="s">
        <v>90</v>
      </c>
      <c r="Q31" t="s">
        <v>88</v>
      </c>
      <c r="R31" t="s">
        <v>89</v>
      </c>
      <c r="T31" s="3">
        <v>1</v>
      </c>
      <c r="U31" s="3">
        <v>1</v>
      </c>
      <c r="V31" s="3">
        <v>1</v>
      </c>
      <c r="W31" s="3">
        <v>1</v>
      </c>
      <c r="X31" s="3">
        <v>1</v>
      </c>
      <c r="Y31" s="3">
        <v>1</v>
      </c>
      <c r="Z31" s="3">
        <v>0</v>
      </c>
      <c r="AA31" s="3">
        <v>0</v>
      </c>
      <c r="AB31" s="3">
        <v>0</v>
      </c>
      <c r="AC31" s="3">
        <v>0</v>
      </c>
      <c r="AD31" t="s">
        <v>41</v>
      </c>
      <c r="AE31" s="3">
        <v>1</v>
      </c>
      <c r="AF31" s="3">
        <v>1</v>
      </c>
      <c r="AG31" s="3">
        <v>1</v>
      </c>
      <c r="AH31" t="s">
        <v>42</v>
      </c>
    </row>
  </sheetData>
  <sortState xmlns:xlrd2="http://schemas.microsoft.com/office/spreadsheetml/2017/richdata2" ref="A3:AI31">
    <sortCondition ref="D3:D31"/>
  </sortState>
  <mergeCells count="1">
    <mergeCell ref="A1:A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(Corp MMQ Gerencia)</dc:creator>
  <cp:lastModifiedBy>(Corp MMQ Gerencia)</cp:lastModifiedBy>
  <dcterms:created xsi:type="dcterms:W3CDTF">2024-07-23T18:04:53Z</dcterms:created>
  <dcterms:modified xsi:type="dcterms:W3CDTF">2024-07-23T18:04:53Z</dcterms:modified>
</cp:coreProperties>
</file>