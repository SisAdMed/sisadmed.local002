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NELSON\Gerencia 2023 Provisional\NUEVO SISTEMA\PRECIOS\"/>
    </mc:Choice>
  </mc:AlternateContent>
  <xr:revisionPtr revIDLastSave="0" documentId="13_ncr:1_{4E1355AD-D74F-4BC8-AF89-6BD446A90E80}" xr6:coauthVersionLast="45" xr6:coauthVersionMax="45" xr10:uidLastSave="{00000000-0000-0000-0000-000000000000}"/>
  <bookViews>
    <workbookView xWindow="-120" yWindow="-120" windowWidth="29040" windowHeight="15840" xr2:uid="{65C9FE42-5B0A-4B11-B396-F84D659F03E8}"/>
  </bookViews>
  <sheets>
    <sheet name="Hoja1" sheetId="1" r:id="rId1"/>
  </sheets>
  <definedNames>
    <definedName name="_xlnm._FilterDatabase" localSheetId="0" hidden="1">Hoja1!$A$2:$Q$83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3" i="1" l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<sst xmlns="http://schemas.openxmlformats.org/spreadsheetml/2006/main" count="274" uniqueCount="115">
  <si>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</si>
  <si>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</si>
  <si>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</si>
  <si>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</si>
  <si>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</si>
  <si>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</si>
  <si>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</si>
  <si>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</si>
  <si>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</si>
  <si>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</si>
  <si>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</si>
  <si>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</si>
  <si>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</si>
  <si>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</si>
  <si>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% Utilidad Consig.</t>
  </si>
  <si>
    <t>Venta Consignación</t>
  </si>
  <si>
    <t>Status</t>
  </si>
  <si>
    <t>Acciones</t>
  </si>
  <si>
    <t>APOSITO LEUKOMED T  5 x 7.2cm - Marca Bsn Medical x Und/\Presentacion Caja x 50 Unds.</t>
  </si>
  <si>
    <t>BSN MEDICAL</t>
  </si>
  <si>
    <t>Activo</t>
  </si>
  <si>
    <t>APOSITO CUTIMED SACHET  10 X 10 Cm. - Marca Bsn Medical x Und</t>
  </si>
  <si>
    <t>CUTICELL CONTACT 7.5 x 10 cm. (Tull de Silicona Fenestrada) - Marca Bsn Medical x Und</t>
  </si>
  <si>
    <t>CUTIMED PROTECT SPRAY 28 ml. - Marca Bsn Medical x Und</t>
  </si>
  <si>
    <t>HYPAFIX®  SKIN SENSITIVE 5 cm x 5 mt Rollo adhesivo no tejido p/ sujeción de apositos BSN</t>
  </si>
  <si>
    <t>CABESTRILLO ADULTO (UMERUS CONFORT) Talla "M" - Marca BSN Medical x Und</t>
  </si>
  <si>
    <t>INMOVILIZADOR DE HOMBRO UMERUS AIR Talla S - Marca BSN Medical x Und</t>
  </si>
  <si>
    <t>CABESTRILLO ADULTO (UMERUS ECO) Talla S - Marca BSN Medical x Und</t>
  </si>
  <si>
    <t>CABESTRILLO ADULTO (UMERUS ECO) Talla XL - Marca BSN Medical x Und</t>
  </si>
  <si>
    <t>MEDIAS ANTIEMBOLICAS Talla S - Marca BSN Medical (Jobst) x Und</t>
  </si>
  <si>
    <t>MEDIAS ANTIEMBOLICAS Talla M - Marca BSN Medical (Jobst) x Und</t>
  </si>
  <si>
    <t>MEDIAS ANTIEMBOLICAS Talla L - Marca BSN Medical (Jobst) x Und</t>
  </si>
  <si>
    <t>MEDIAS ANTIEMBOLICAS Talla XL - Marca BSN Medical (Jobst) x Und</t>
  </si>
  <si>
    <t>INMOVILIZADOR TIPO BOTA TALLA S - Marca BSN Medical x Und</t>
  </si>
  <si>
    <t>INMOVILIZADOR TIPO BOTA TALLA L - Marca BSN Medical x Und</t>
  </si>
  <si>
    <t>GUATA SPECIALIST 3" x 4Yd - Marca BSN Medical x Und/\Presentacion Paq. x 12 Unds.</t>
  </si>
  <si>
    <t>GUATA SPECIALIST 4" x 4Yd - Marca BSN Medical x Und/\Presentacion Paq. x 12 Unds.</t>
  </si>
  <si>
    <t>GUATA SPECIALIST 6" x 4Yd - Marca BSN Medical x Und/\Presentacion Paq. x 06 Unds.</t>
  </si>
  <si>
    <t>GUATA ACOLCHADA SINTETICO 4" x 3.6Yds. - Marca BSN Medical x Und/\Presentacion Paq. x 12 Unds.</t>
  </si>
  <si>
    <t>APOSITO CUTIMED SORBACT  7 X 9 Cm. - Marca Bsn Medical x Und</t>
  </si>
  <si>
    <t>COPLUS PIEL 7.5 Cm. x 5 Ydas. - Marca Bsn Medical x Und</t>
  </si>
  <si>
    <t>VENDA ELASTICA TENSOPLAST 4" x 5Yds. COLOR PIEL - Marca BSN Medical x Und</t>
  </si>
  <si>
    <t>VENDA TENSOBAN 7 Cm x 20 Cm. - Marca BSN Medical x Und</t>
  </si>
  <si>
    <t>VENDA ELASTICA TENSOPLAST 2" x 5Yds. COLOR PIEL - Marca BSN Medical x Und</t>
  </si>
  <si>
    <t>VENDA ELASTICA TENSOPLAST 4" x 5Yds. COLOR BLANCO - Marca BSN Medical x Und</t>
  </si>
  <si>
    <t>VENDA ELASTICA TENSOPLAST 2" x 5Yds. COLOR BLANCO - Marca BSN Medical x Und</t>
  </si>
  <si>
    <t>VENDA ELASTICA TENSOPLAST 3" x 5Yds. COLOR BLANCO - Marca BSN Medical x Und</t>
  </si>
  <si>
    <t>CUTICELL CONTACT 5 x 7.5 cm. (Tull de Silicona Fenestrada) - Marca Bsn Medical x Und</t>
  </si>
  <si>
    <t>CUTICELL 7.5 x 7.5 cm. (Tull Sintético de baja adherencia) - Marca Bsn Medical x Und</t>
  </si>
  <si>
    <t>CUTIMED ACUTE (ESPUMA HUMECTANTE PARA HIDRATAR ) - Marca Bsn Medical x Und</t>
  </si>
  <si>
    <t>HYPAFIX®  SKIN SENSITIVE 10 cm x 5 mt Rollo adhesivo no tejido p/ sujeción de apositos BS</t>
  </si>
  <si>
    <t>APOSITO CUTIMED HYDRO L 10 x 10 Cm. - Marca Bsn Medical x Und</t>
  </si>
  <si>
    <t>APOSITO LEUKOMED SORBACT 7.5 x 10 Cm. - Marca Bsn Medical x Und/\Presentacion Caja x 20 Und</t>
  </si>
  <si>
    <t>APOSITO LEUKOMED T  PLUS  5 x 7.2cm - Marca Bsn Medical x Und</t>
  </si>
  <si>
    <t>APOSITO LEUKOMED T  PLUS 8 x 10cm - Marca Bsn Medical x Und/\Presentacion Caja x 50 Unds.</t>
  </si>
  <si>
    <t>APOSITO LEUKOMED T  PLUS 8 x 15cm - Marca Bsn Medical x Und/\Presentacion Caja x 50 Unds.</t>
  </si>
  <si>
    <t>APOSITO LEUKOMED T  PLUS 10 x 35cm - Marca Bsn Medical x Und/\Presentacion Caja x 50 Unds.</t>
  </si>
  <si>
    <t>APOSITO LEUKOMED T  PLUS 10 x 25cm - Marca Bsn Medical x Und/\Presentacion Caja x 50 Unds.</t>
  </si>
  <si>
    <t>APOSITO CUTIMED SORBACT  10 Cm, x 10 Cm. - Marca Bsn Medical x Und/\Presentacion Caja x 40 Unds.</t>
  </si>
  <si>
    <t>HYPAFIX® 15 cm x 10 mt Rollo adhesivo no tejido p/ sujeción de apositos BSN Medical x Und</t>
  </si>
  <si>
    <t>APOSITO CUTIMED ALGINATO 10 x 10 Cm. - Marca Bsn Medical x Und</t>
  </si>
  <si>
    <t>HYPAFIX® 10 cm x 10 mt Rollo adhesivo no tejido p/ sujeción de apositos BSN Medical x Und</t>
  </si>
  <si>
    <t>HYPAFIX® 10 cm x 10 mt Rollo de adhesivo Transparente - BSN Medical x Und</t>
  </si>
  <si>
    <t>HYPAFIX® 15 cm x 10 mt Rollo adhesivo Transparente BSN Medical x Und</t>
  </si>
  <si>
    <t>HYPAFIX® 5 cm x 10 mt Rollo adhesivo no tejido p/ sujeción de apositos BSN Medical x Und</t>
  </si>
  <si>
    <t>APOSITO LEUKOMED IV 7cm x 9cm - Marca Bsn Medical x Und/\Presentacion Caja x 50 Unds.</t>
  </si>
  <si>
    <t>APOSITO LEUKOMED T  8 x 10cm - Marca Bsn Medical x Und/\Presentacion Caja x 50 Unds.</t>
  </si>
  <si>
    <t>GUATA ACOLCHADA SINTETICO 6" X 3.6YDS. - MARCA BSN MEDICAL X UND/\PRESENTACION PAQ. X 12 UNDS.</t>
  </si>
  <si>
    <t>YESO SINTETICO DELTA-LITE  4"- Marca BSN Medical x Und/\Presentacion Caja x 10 Unds.</t>
  </si>
  <si>
    <t>YESO SINTETICO DELTA-LITE  5"- Marca BSN Medical x Und/\Presentacion Caja x 10 Unds.</t>
  </si>
  <si>
    <t>YESO SINTETICO DELTA-LITE  2"- Marca BSN Medical x Und/\Presentacion Caja x 10 Unds.</t>
  </si>
  <si>
    <t>YESO SINTETICO DELTA-LITE  3"- Marca BSN Medical x Und/\Presentacion Caja x 10 Unds.</t>
  </si>
  <si>
    <t>GUATA SPECIALIST 2" x 4Yd - Marca BSN Medical x Und/\Presentacion Paq. x 24 Unds.</t>
  </si>
  <si>
    <t>YESO SINTETICO DELTA-CAST CONFORMABLE  2" Marca BSN Medical x Und/\Presentacion Caja x 10 Unds.</t>
  </si>
  <si>
    <t>72280-01</t>
  </si>
  <si>
    <t>YESO SINTETICO DELTA-CAST CONFORMABLE  3" Marca BSN Medical x Und/\Presentacion Caja x 10 Unds.</t>
  </si>
  <si>
    <t>YESO SINTETICO DELTA-CAST CONFORMABLE  4" Marca BSN Medical x Und/\Presentacion Caja x 10 Unds.</t>
  </si>
  <si>
    <t>72280-03</t>
  </si>
  <si>
    <t>YESO SINTETICO DELTA-CAST CONFORMABLE  5" Marca BSN Medical x Und/\Presentacion Caja x 10 Unds.</t>
  </si>
  <si>
    <t>72280-04</t>
  </si>
  <si>
    <t>CUTIMED SILTEC PLUS HEEL 16 x 24 Cm. - Marca Bsn Medical x Und</t>
  </si>
  <si>
    <t>CUTIMED SORBACT GEL 7.5 x 7.5 Cm. - Marca Bsn Medical x Und</t>
  </si>
  <si>
    <t>VENDA ELASTICA TENSOPLAST 3" x 5Yds. COLOR PIEL - Marca BSN Medical x Und</t>
  </si>
  <si>
    <t>APOSITO LEUKOMED SORBACT 5 x 7.2 Cm. - Marca Bsn Medical x Und/\Presentacion Caja x 20 Und</t>
  </si>
  <si>
    <t>APOSITO LEUKOMED SORBACT 7.5 x 15 Cm. - Marca Bsn Medical x Und/\Presentacion Caja x 20 Unds.</t>
  </si>
  <si>
    <t>MANTA TERMICA POST-OPERATORIA CUERPO COMPLETO (Ref:30000) Marca 3M x Und</t>
  </si>
  <si>
    <t>3M HEALTH CAR</t>
  </si>
  <si>
    <t>APOSITO TEGADERM + PAD 9 x 10 Cm. (Ref:3586) Marca 3M x Und./\Presentacion Caja x 25 Unds.</t>
  </si>
  <si>
    <t>ADHESIVO DURAPORE 2" x 10Yd.(Ref:1538-2) Marca 3M x Und/\Presentacion Caja x 06 Unds.</t>
  </si>
  <si>
    <t>1538-2</t>
  </si>
  <si>
    <t>ADHESIVO DURAPORE 3" x 10Yd.(Ref:1538-3) Marca 3M x Und/\Presentacion Caja x 04 Unds.</t>
  </si>
  <si>
    <t>1538-3</t>
  </si>
  <si>
    <t>ADHESIVO MICROPORE 1/2" COLOR PIEL x 10Yd.(Ref:1533-0) Marca 3M x Und/\Presentacion Caja x 24 U</t>
  </si>
  <si>
    <t>1533-0</t>
  </si>
  <si>
    <t>ADHESIVO MICROPORE 2" x 10Yd. Color Blanco(Ref:1530-2) Marca 3M x Und/\Presentacion Caja x 06 U</t>
  </si>
  <si>
    <t>1530-2</t>
  </si>
  <si>
    <t>ADHESIVO MICROPORE 3" x 10Yd.(Ref:1530-3) Marca 3M x Und/\Presentacion Caja x 04 Unds.</t>
  </si>
  <si>
    <t>1530-3</t>
  </si>
  <si>
    <t>ADHESIVO TRANSPORE 2" x 10Yd.(Ref:1527-2) Marca 3M x Und/\Presentacion Caja x 06 Unds.</t>
  </si>
  <si>
    <t>1527-2</t>
  </si>
  <si>
    <t>ADHESIVO TRANSPORE 3" x 10Yd.(Ref:1527-3) Marca 3M x Und/\Presentacion Caja x 04 Unds.</t>
  </si>
  <si>
    <t>1527-3</t>
  </si>
  <si>
    <t>ADHESIVO MICROPORE 1" X 10YD.COLOR BLANCO(REF:1530-1) MARCA 3M X UND/\PRESENTACION CAJA X 12 UN</t>
  </si>
  <si>
    <t>1530-1</t>
  </si>
  <si>
    <t>VENDA COBAN 1" x 5Yd COLOR PIEL (Ref:1581) Marca 3M x Und</t>
  </si>
  <si>
    <t>VENDA COBAN 3" x 5Yd COLOR PIEL (Ref:1583) Marca 3M x Und</t>
  </si>
  <si>
    <t>VENDA COBAN 4" x 5Yd COLOR PIEL (Ref:1584) Marca 3M x Und</t>
  </si>
  <si>
    <t>APOSITO TEGADERM CHG I.V. 10CM. X 12 CM. (REF:1658) MARCA 3M X UND./\PRESENTACION CAJA X 25 UNDS.</t>
  </si>
  <si>
    <t>APOSITO TEGADERM 10 x 12 Cm. (Ref:1626W) Marca 3M x Und./\Presentacion Caja x 50 Unds.</t>
  </si>
  <si>
    <t>1626W</t>
  </si>
  <si>
    <t>APOSITO TEGADERM 6 x 7 Cm. (Ref:1624W) Marca 3M x Und./\Presentacion Caja x 100 Unds.</t>
  </si>
  <si>
    <t>1624W</t>
  </si>
  <si>
    <t>APOSITO TEGADERM + PAD 5 x 7 Cm. (Ref:3582) Marca 3M x Und./\Presentacion Caja x 50 Unds.</t>
  </si>
  <si>
    <t>APOSITO TEGADERM I.V. 7cm. x 8.5 Cm. (Ref:1633) Marca 3M x Und./\Presentacion Caja x 100 Unds.</t>
  </si>
  <si>
    <t>APOSITO TEGADERM + PAD 9 x 15 Cm. (Ref:3589) Marca 3M x Und./\Presentacion Caja x 25 Unds.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</si>
</sst>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 applyFill="1" applyBorder="1"/>
    <xf numFmtId="1" fontId="0" fillId="2" borderId="0" xfId="0" applyNumberFormat="1" applyFill="1"/>
    <xf numFmtId="0" fontId="0" fillId="2" borderId="0" xfId="0" applyFill="1"/>
    <xf numFmtId="1" fontId="0" fillId="2" borderId="0" xfId="0" applyNumberFormat="1" applyFill="1" applyAlignment="1">
      <alignment horizontal="center"/>
    </xf>
    <xf numFmtId="43" fontId="0" fillId="2" borderId="0" xfId="1" applyFont="1" applyFill="1" applyBorder="1"/>
    <xf numFmtId="2" fontId="0" fillId="2" borderId="0" xfId="0" applyNumberFormat="1" applyFill="1"/>
    <xf numFmtId="43" fontId="0" fillId="2" borderId="0" xfId="0" applyNumberFormat="1" applyFill="1"/>
    <xf numFmtId="1" fontId="2" fillId="2" borderId="0" xfId="0" applyNumberFormat="1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Fill="1" applyBorder="1"/>
    <xf numFmtId="1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DF44-794C-46E7-87C9-B4A3B4FB4D56}">
  <dimension ref="A1:Q86"/>
  <sheetViews>
    <sheetView tabSelected="1" topLeftCell="B1" workbookViewId="0">
      <pane ySplit="2" topLeftCell="A3" activePane="bottomLeft" state="frozen"/>
      <selection pane="bottomLeft" activeCell="M2" sqref="M1:O1048576"/>
    </sheetView>
  </sheetViews>
  <sheetFormatPr baseColWidth="10" defaultRowHeight="15" x14ac:dyDescent="0.25"/>
  <cols>
    <col min="1" max="1" width="6" customWidth="1"/>
    <col min="2" max="2" width="17.5703125" customWidth="1"/>
    <col min="3" max="3" width="12.140625" customWidth="1"/>
    <col min="4" max="4" width="54" customWidth="1"/>
    <col min="5" max="5" width="23" style="14" customWidth="1"/>
    <col min="6" max="6" width="20.28515625" customWidth="1"/>
    <col min="7" max="7" width="9.42578125" style="15" customWidth="1"/>
    <col min="8" max="8" width="8.140625" style="15" customWidth="1"/>
    <col min="9" max="9" width="16.140625" customWidth="1"/>
    <col min="10" max="10" width="21" bestFit="1" customWidth="1"/>
    <col min="11" max="11" width="9.42578125" customWidth="1"/>
    <col min="12" max="13" width="13.42578125" customWidth="1"/>
    <col min="14" max="14" width="19.42578125" bestFit="1" customWidth="1"/>
    <col min="15" max="15" width="24.28515625" customWidth="1"/>
    <col min="16" max="16" width="8.140625" customWidth="1"/>
    <col min="17" max="17" width="10.85546875" customWidth="1"/>
  </cols>
  <sheetData>
    <row r="1" spans="1:1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 t="s">
        <v>7</v>
      </c>
      <c r="H2" s="5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s="7" customFormat="1" x14ac:dyDescent="0.25">
      <c r="A3" s="6">
        <v>68</v>
      </c>
      <c r="B3" s="6">
        <v>240200233</v>
      </c>
      <c r="C3" s="6">
        <v>240200233</v>
      </c>
      <c r="D3" s="7" t="s">
        <v>18</v>
      </c>
      <c r="E3" s="8">
        <v>7238100</v>
      </c>
      <c r="F3" s="7" t="s">
        <v>19</v>
      </c>
      <c r="G3" s="9">
        <v>9.6</v>
      </c>
      <c r="H3" s="9">
        <v>1.1299999999999999</v>
      </c>
      <c r="I3" s="6">
        <v>0</v>
      </c>
      <c r="J3" s="6">
        <v>0</v>
      </c>
      <c r="K3" s="10">
        <f>+G3+H3</f>
        <v>10.73</v>
      </c>
      <c r="L3" s="10">
        <v>0.57999999999999996</v>
      </c>
      <c r="M3" s="7">
        <v>18.5</v>
      </c>
      <c r="N3" s="9">
        <v>0</v>
      </c>
      <c r="O3" s="6">
        <v>0</v>
      </c>
      <c r="P3" s="7" t="s">
        <v>20</v>
      </c>
    </row>
    <row r="4" spans="1:17" s="7" customFormat="1" x14ac:dyDescent="0.25">
      <c r="A4" s="6">
        <v>56</v>
      </c>
      <c r="B4" s="6">
        <v>240850109</v>
      </c>
      <c r="C4" s="6">
        <v>240850109</v>
      </c>
      <c r="D4" s="7" t="s">
        <v>21</v>
      </c>
      <c r="E4" s="8">
        <v>7323206</v>
      </c>
      <c r="F4" s="7" t="s">
        <v>19</v>
      </c>
      <c r="G4" s="9">
        <v>68.569999999999993</v>
      </c>
      <c r="H4" s="9">
        <v>1.97</v>
      </c>
      <c r="I4" s="6">
        <v>0</v>
      </c>
      <c r="J4" s="6">
        <v>0</v>
      </c>
      <c r="K4" s="10">
        <f t="shared" ref="K4:K11" si="0">+G4+H4</f>
        <v>70.539999999999992</v>
      </c>
      <c r="L4" s="10">
        <v>0.68</v>
      </c>
      <c r="M4" s="7">
        <v>103.74</v>
      </c>
      <c r="N4" s="9">
        <v>0</v>
      </c>
      <c r="O4" s="6">
        <v>0</v>
      </c>
      <c r="P4" s="7" t="s">
        <v>20</v>
      </c>
    </row>
    <row r="5" spans="1:17" s="7" customFormat="1" x14ac:dyDescent="0.25">
      <c r="A5" s="6">
        <v>155</v>
      </c>
      <c r="B5" s="6">
        <v>240850209</v>
      </c>
      <c r="C5" s="6">
        <v>240850209</v>
      </c>
      <c r="D5" s="7" t="s">
        <v>22</v>
      </c>
      <c r="E5" s="8">
        <v>7268001</v>
      </c>
      <c r="F5" s="7" t="s">
        <v>19</v>
      </c>
      <c r="G5" s="9">
        <v>29.52</v>
      </c>
      <c r="H5" s="9">
        <v>0.55000000000000004</v>
      </c>
      <c r="I5" s="6">
        <v>0</v>
      </c>
      <c r="J5" s="6">
        <v>0</v>
      </c>
      <c r="K5" s="10">
        <f t="shared" si="0"/>
        <v>30.07</v>
      </c>
      <c r="L5" s="10">
        <v>0.68</v>
      </c>
      <c r="M5" s="7">
        <v>44.22</v>
      </c>
      <c r="N5" s="9">
        <v>0</v>
      </c>
      <c r="O5" s="6">
        <v>0</v>
      </c>
      <c r="P5" s="7" t="s">
        <v>20</v>
      </c>
    </row>
    <row r="6" spans="1:17" s="7" customFormat="1" x14ac:dyDescent="0.25">
      <c r="A6" s="6">
        <v>157</v>
      </c>
      <c r="B6" s="6">
        <v>241250014</v>
      </c>
      <c r="C6" s="6">
        <v>241250014</v>
      </c>
      <c r="D6" s="7" t="s">
        <v>23</v>
      </c>
      <c r="E6" s="8">
        <v>7265301</v>
      </c>
      <c r="F6" s="7" t="s">
        <v>19</v>
      </c>
      <c r="G6" s="9">
        <v>15.5</v>
      </c>
      <c r="H6" s="9">
        <v>0.31</v>
      </c>
      <c r="I6" s="6">
        <v>0</v>
      </c>
      <c r="J6" s="6">
        <v>0</v>
      </c>
      <c r="K6" s="10">
        <f t="shared" si="0"/>
        <v>15.81</v>
      </c>
      <c r="L6" s="10">
        <v>0.75</v>
      </c>
      <c r="M6" s="7">
        <v>21.08</v>
      </c>
      <c r="N6" s="9">
        <v>0</v>
      </c>
      <c r="O6" s="6">
        <v>0</v>
      </c>
      <c r="P6" s="7" t="s">
        <v>20</v>
      </c>
    </row>
    <row r="7" spans="1:17" s="7" customFormat="1" x14ac:dyDescent="0.25">
      <c r="A7" s="6">
        <v>215</v>
      </c>
      <c r="B7" s="6">
        <v>242001210</v>
      </c>
      <c r="C7" s="6">
        <v>242001210</v>
      </c>
      <c r="D7" s="7" t="s">
        <v>24</v>
      </c>
      <c r="E7" s="8">
        <v>7996601</v>
      </c>
      <c r="F7" s="7" t="s">
        <v>19</v>
      </c>
      <c r="G7" s="9">
        <v>6.9478999999999997</v>
      </c>
      <c r="H7" s="9">
        <v>0.4219</v>
      </c>
      <c r="I7" s="6">
        <v>0</v>
      </c>
      <c r="J7" s="6">
        <v>0</v>
      </c>
      <c r="K7" s="10">
        <f t="shared" si="0"/>
        <v>7.3697999999999997</v>
      </c>
      <c r="L7" s="10">
        <v>0.57999999999999996</v>
      </c>
      <c r="M7" s="7">
        <v>12.71</v>
      </c>
      <c r="N7" s="9">
        <v>0</v>
      </c>
      <c r="O7" s="6">
        <v>0</v>
      </c>
      <c r="P7" s="7" t="s">
        <v>20</v>
      </c>
    </row>
    <row r="8" spans="1:17" s="7" customFormat="1" x14ac:dyDescent="0.25">
      <c r="A8" s="6">
        <v>101</v>
      </c>
      <c r="B8" s="6">
        <v>242201302</v>
      </c>
      <c r="C8" s="6">
        <v>242201302</v>
      </c>
      <c r="D8" s="7" t="s">
        <v>25</v>
      </c>
      <c r="E8" s="8">
        <v>7281940</v>
      </c>
      <c r="F8" s="7" t="s">
        <v>19</v>
      </c>
      <c r="G8" s="9">
        <v>6.6</v>
      </c>
      <c r="H8" s="9">
        <v>0</v>
      </c>
      <c r="I8" s="6">
        <v>0</v>
      </c>
      <c r="J8" s="6">
        <v>0</v>
      </c>
      <c r="K8" s="10">
        <f t="shared" si="0"/>
        <v>6.6</v>
      </c>
      <c r="L8" s="10">
        <v>0.74999999999999989</v>
      </c>
      <c r="M8" s="7">
        <v>8.8000000000000007</v>
      </c>
      <c r="N8" s="9">
        <v>0</v>
      </c>
      <c r="O8" s="6">
        <v>0</v>
      </c>
      <c r="P8" s="7" t="s">
        <v>20</v>
      </c>
    </row>
    <row r="9" spans="1:17" s="7" customFormat="1" x14ac:dyDescent="0.25">
      <c r="A9" s="6">
        <v>226</v>
      </c>
      <c r="B9" s="6">
        <v>242201305</v>
      </c>
      <c r="C9" s="6">
        <v>242201305</v>
      </c>
      <c r="D9" s="7" t="s">
        <v>26</v>
      </c>
      <c r="E9" s="8">
        <v>7455610</v>
      </c>
      <c r="F9" s="7" t="s">
        <v>19</v>
      </c>
      <c r="G9" s="9">
        <v>15.7895</v>
      </c>
      <c r="H9" s="9">
        <v>0</v>
      </c>
      <c r="I9" s="6">
        <v>0</v>
      </c>
      <c r="J9" s="6">
        <v>0</v>
      </c>
      <c r="K9" s="10">
        <f t="shared" si="0"/>
        <v>15.7895</v>
      </c>
      <c r="L9" s="7">
        <v>0.5</v>
      </c>
      <c r="M9" s="7">
        <v>31.58</v>
      </c>
      <c r="N9" s="9">
        <v>0</v>
      </c>
      <c r="O9" s="6">
        <v>0</v>
      </c>
      <c r="P9" s="7" t="s">
        <v>20</v>
      </c>
    </row>
    <row r="10" spans="1:17" s="7" customFormat="1" x14ac:dyDescent="0.25">
      <c r="A10" s="6">
        <v>102</v>
      </c>
      <c r="B10" s="6">
        <v>242201309</v>
      </c>
      <c r="C10" s="6">
        <v>242201309</v>
      </c>
      <c r="D10" s="7" t="s">
        <v>27</v>
      </c>
      <c r="E10" s="8">
        <v>7281965</v>
      </c>
      <c r="F10" s="7" t="s">
        <v>19</v>
      </c>
      <c r="G10" s="9">
        <v>6.6</v>
      </c>
      <c r="H10" s="9">
        <v>0</v>
      </c>
      <c r="I10" s="6">
        <v>0</v>
      </c>
      <c r="J10" s="6">
        <v>0</v>
      </c>
      <c r="K10" s="10">
        <f t="shared" si="0"/>
        <v>6.6</v>
      </c>
      <c r="L10" s="10">
        <v>0.74999999999999989</v>
      </c>
      <c r="M10" s="7">
        <v>8.8000000000000007</v>
      </c>
      <c r="N10" s="9">
        <v>0</v>
      </c>
      <c r="O10" s="6">
        <v>0</v>
      </c>
      <c r="P10" s="7" t="s">
        <v>20</v>
      </c>
    </row>
    <row r="11" spans="1:17" s="7" customFormat="1" x14ac:dyDescent="0.25">
      <c r="A11" s="6">
        <v>103</v>
      </c>
      <c r="B11" s="6">
        <v>242201312</v>
      </c>
      <c r="C11" s="6">
        <v>242201312</v>
      </c>
      <c r="D11" s="7" t="s">
        <v>28</v>
      </c>
      <c r="E11" s="8">
        <v>7281968</v>
      </c>
      <c r="F11" s="7" t="s">
        <v>19</v>
      </c>
      <c r="G11" s="9">
        <v>6.6</v>
      </c>
      <c r="H11" s="9">
        <v>0</v>
      </c>
      <c r="I11" s="6">
        <v>0</v>
      </c>
      <c r="J11" s="6">
        <v>0</v>
      </c>
      <c r="K11" s="10">
        <f t="shared" si="0"/>
        <v>6.6</v>
      </c>
      <c r="L11" s="10">
        <v>0.74999999999999989</v>
      </c>
      <c r="M11" s="7">
        <v>8.8000000000000007</v>
      </c>
      <c r="N11" s="9">
        <v>0</v>
      </c>
      <c r="O11" s="6">
        <v>0</v>
      </c>
      <c r="P11" s="7" t="s">
        <v>20</v>
      </c>
    </row>
    <row r="12" spans="1:17" s="7" customFormat="1" x14ac:dyDescent="0.25">
      <c r="A12" s="6">
        <v>261</v>
      </c>
      <c r="B12" s="6">
        <v>242201413</v>
      </c>
      <c r="C12" s="6">
        <v>242201413</v>
      </c>
      <c r="D12" s="7" t="s">
        <v>29</v>
      </c>
      <c r="E12" s="8">
        <v>111451</v>
      </c>
      <c r="F12" s="7" t="s">
        <v>19</v>
      </c>
      <c r="G12" s="9">
        <v>7.2432999999999996</v>
      </c>
      <c r="H12" s="9">
        <v>0.84379999999999999</v>
      </c>
      <c r="I12" s="6">
        <v>0</v>
      </c>
      <c r="J12" s="6">
        <v>0</v>
      </c>
      <c r="K12" s="11">
        <f>+G12+H12</f>
        <v>8.0870999999999995</v>
      </c>
      <c r="L12" s="10">
        <v>0.57999999999999996</v>
      </c>
      <c r="M12" s="7">
        <v>13.94</v>
      </c>
      <c r="N12" s="9">
        <v>0</v>
      </c>
      <c r="O12" s="6">
        <v>0</v>
      </c>
      <c r="P12" s="7" t="s">
        <v>20</v>
      </c>
    </row>
    <row r="13" spans="1:17" s="7" customFormat="1" x14ac:dyDescent="0.25">
      <c r="A13" s="6">
        <v>260</v>
      </c>
      <c r="B13" s="6">
        <v>242201414</v>
      </c>
      <c r="C13" s="6">
        <v>242201414</v>
      </c>
      <c r="D13" s="7" t="s">
        <v>30</v>
      </c>
      <c r="E13" s="8">
        <v>111455</v>
      </c>
      <c r="F13" s="7" t="s">
        <v>19</v>
      </c>
      <c r="G13" s="9">
        <v>7.2432999999999996</v>
      </c>
      <c r="H13" s="9">
        <v>0.84379999999999999</v>
      </c>
      <c r="I13" s="6">
        <v>0</v>
      </c>
      <c r="J13" s="6">
        <v>0</v>
      </c>
      <c r="K13" s="11">
        <f t="shared" ref="K13:K15" si="1">+G13+H13</f>
        <v>8.0870999999999995</v>
      </c>
      <c r="L13" s="10">
        <v>0.57999999999999996</v>
      </c>
      <c r="M13" s="7">
        <v>13.94</v>
      </c>
      <c r="N13" s="9">
        <v>0</v>
      </c>
      <c r="O13" s="6">
        <v>0</v>
      </c>
      <c r="P13" s="7" t="s">
        <v>20</v>
      </c>
    </row>
    <row r="14" spans="1:17" s="7" customFormat="1" x14ac:dyDescent="0.25">
      <c r="A14" s="6">
        <v>259</v>
      </c>
      <c r="B14" s="6">
        <v>242201415</v>
      </c>
      <c r="C14" s="6">
        <v>242201415</v>
      </c>
      <c r="D14" s="7" t="s">
        <v>31</v>
      </c>
      <c r="E14" s="8">
        <v>111459</v>
      </c>
      <c r="F14" s="7" t="s">
        <v>19</v>
      </c>
      <c r="G14" s="9">
        <v>7.2432999999999996</v>
      </c>
      <c r="H14" s="9">
        <v>0.84330000000000005</v>
      </c>
      <c r="I14" s="6">
        <v>0</v>
      </c>
      <c r="J14" s="6">
        <v>0</v>
      </c>
      <c r="K14" s="11">
        <f t="shared" si="1"/>
        <v>8.0865999999999989</v>
      </c>
      <c r="L14" s="10">
        <v>0.57999999999999996</v>
      </c>
      <c r="M14" s="7">
        <v>13.94</v>
      </c>
      <c r="N14" s="9">
        <v>0</v>
      </c>
      <c r="O14" s="6">
        <v>0</v>
      </c>
      <c r="P14" s="7" t="s">
        <v>20</v>
      </c>
    </row>
    <row r="15" spans="1:17" s="7" customFormat="1" x14ac:dyDescent="0.25">
      <c r="A15" s="6">
        <v>262</v>
      </c>
      <c r="B15" s="6">
        <v>242201416</v>
      </c>
      <c r="C15" s="6">
        <v>242201416</v>
      </c>
      <c r="D15" s="7" t="s">
        <v>32</v>
      </c>
      <c r="E15" s="8">
        <v>111462</v>
      </c>
      <c r="F15" s="7" t="s">
        <v>19</v>
      </c>
      <c r="G15" s="9">
        <v>7.2432999999999996</v>
      </c>
      <c r="H15" s="9">
        <v>0.84379999999999999</v>
      </c>
      <c r="I15" s="6">
        <v>0</v>
      </c>
      <c r="J15" s="6">
        <v>0</v>
      </c>
      <c r="K15" s="11">
        <f t="shared" si="1"/>
        <v>8.0870999999999995</v>
      </c>
      <c r="L15" s="10">
        <v>0.57999999999999996</v>
      </c>
      <c r="M15" s="7">
        <v>13.94</v>
      </c>
      <c r="N15" s="9">
        <v>0</v>
      </c>
      <c r="O15" s="6">
        <v>0</v>
      </c>
      <c r="P15" s="7" t="s">
        <v>20</v>
      </c>
    </row>
    <row r="16" spans="1:17" s="7" customFormat="1" x14ac:dyDescent="0.25">
      <c r="A16" s="6">
        <v>232</v>
      </c>
      <c r="B16" s="6">
        <v>242201610</v>
      </c>
      <c r="C16" s="6">
        <v>242201610</v>
      </c>
      <c r="D16" s="7" t="s">
        <v>33</v>
      </c>
      <c r="E16" s="8">
        <v>7281979</v>
      </c>
      <c r="F16" s="7" t="s">
        <v>19</v>
      </c>
      <c r="G16" s="9">
        <v>55.3</v>
      </c>
      <c r="H16" s="9">
        <v>0</v>
      </c>
      <c r="I16" s="6">
        <v>0</v>
      </c>
      <c r="J16" s="6">
        <v>0</v>
      </c>
      <c r="K16" s="11">
        <f>+G16+H16</f>
        <v>55.3</v>
      </c>
      <c r="L16" s="7">
        <v>0.9</v>
      </c>
      <c r="M16" s="7">
        <v>61.44</v>
      </c>
      <c r="N16" s="9">
        <v>0</v>
      </c>
      <c r="O16" s="6">
        <v>0</v>
      </c>
      <c r="P16" s="7" t="s">
        <v>20</v>
      </c>
    </row>
    <row r="17" spans="1:16" s="7" customFormat="1" x14ac:dyDescent="0.25">
      <c r="A17" s="6">
        <v>231</v>
      </c>
      <c r="B17" s="6">
        <v>242201612</v>
      </c>
      <c r="C17" s="6">
        <v>242201612</v>
      </c>
      <c r="D17" s="7" t="s">
        <v>34</v>
      </c>
      <c r="E17" s="8">
        <v>7281981</v>
      </c>
      <c r="F17" s="7" t="s">
        <v>19</v>
      </c>
      <c r="G17" s="9">
        <v>55.3</v>
      </c>
      <c r="H17" s="9">
        <v>0</v>
      </c>
      <c r="I17" s="6">
        <v>0</v>
      </c>
      <c r="J17" s="6">
        <v>0</v>
      </c>
      <c r="K17" s="11">
        <f>+G17+H17</f>
        <v>55.3</v>
      </c>
      <c r="L17" s="7">
        <v>0.9</v>
      </c>
      <c r="M17" s="7">
        <v>61.44</v>
      </c>
      <c r="N17" s="9">
        <v>0</v>
      </c>
      <c r="O17" s="6">
        <v>0</v>
      </c>
      <c r="P17" s="7" t="s">
        <v>20</v>
      </c>
    </row>
    <row r="18" spans="1:16" s="7" customFormat="1" x14ac:dyDescent="0.25">
      <c r="A18" s="6">
        <v>210</v>
      </c>
      <c r="B18" s="6">
        <v>242250301</v>
      </c>
      <c r="C18" s="6">
        <v>242250301</v>
      </c>
      <c r="D18" s="7" t="s">
        <v>35</v>
      </c>
      <c r="E18" s="8">
        <v>7230401</v>
      </c>
      <c r="F18" s="7" t="s">
        <v>19</v>
      </c>
      <c r="G18" s="9">
        <v>16.670000000000002</v>
      </c>
      <c r="H18" s="9">
        <v>3.28</v>
      </c>
      <c r="I18" s="6">
        <v>0</v>
      </c>
      <c r="J18" s="6">
        <v>0</v>
      </c>
      <c r="K18" s="11">
        <f>+G18+H18</f>
        <v>19.950000000000003</v>
      </c>
      <c r="L18" s="10">
        <v>0.57999999999999996</v>
      </c>
      <c r="M18" s="7">
        <v>34.4</v>
      </c>
      <c r="N18" s="9">
        <v>0.57999999999999996</v>
      </c>
      <c r="O18" s="9">
        <v>34.396551724137936</v>
      </c>
      <c r="P18" s="7" t="s">
        <v>20</v>
      </c>
    </row>
    <row r="19" spans="1:16" s="7" customFormat="1" x14ac:dyDescent="0.25">
      <c r="A19" s="6">
        <v>211</v>
      </c>
      <c r="B19" s="6">
        <v>242250305</v>
      </c>
      <c r="C19" s="6">
        <v>242250305</v>
      </c>
      <c r="D19" s="7" t="s">
        <v>36</v>
      </c>
      <c r="E19" s="8">
        <v>7230402</v>
      </c>
      <c r="F19" s="7" t="s">
        <v>19</v>
      </c>
      <c r="G19" s="9">
        <v>22.17</v>
      </c>
      <c r="H19" s="9">
        <v>4.22</v>
      </c>
      <c r="I19" s="6">
        <v>0</v>
      </c>
      <c r="J19" s="6">
        <v>0</v>
      </c>
      <c r="K19" s="11">
        <f t="shared" ref="K19:K21" si="2">+G19+H19</f>
        <v>26.39</v>
      </c>
      <c r="L19" s="10">
        <v>0.57999999999999996</v>
      </c>
      <c r="M19" s="7">
        <v>45.5</v>
      </c>
      <c r="N19" s="9">
        <v>0.57999999999999996</v>
      </c>
      <c r="O19" s="9">
        <v>45.500000000000007</v>
      </c>
      <c r="P19" s="7" t="s">
        <v>20</v>
      </c>
    </row>
    <row r="20" spans="1:16" s="7" customFormat="1" x14ac:dyDescent="0.25">
      <c r="A20" s="6">
        <v>212</v>
      </c>
      <c r="B20" s="6">
        <v>242250309</v>
      </c>
      <c r="C20" s="6">
        <v>242250309</v>
      </c>
      <c r="D20" s="7" t="s">
        <v>37</v>
      </c>
      <c r="E20" s="8">
        <v>7230403</v>
      </c>
      <c r="F20" s="7" t="s">
        <v>19</v>
      </c>
      <c r="G20" s="9">
        <v>16.671600000000002</v>
      </c>
      <c r="H20" s="9">
        <v>3.2812000000000001</v>
      </c>
      <c r="I20" s="6">
        <v>0</v>
      </c>
      <c r="J20" s="6">
        <v>0</v>
      </c>
      <c r="K20" s="11">
        <f t="shared" si="2"/>
        <v>19.952800000000003</v>
      </c>
      <c r="L20" s="10">
        <v>0.57999999999999996</v>
      </c>
      <c r="M20" s="7">
        <v>34.4</v>
      </c>
      <c r="N20" s="9">
        <v>0.57999999999999996</v>
      </c>
      <c r="O20" s="9">
        <v>34.401379310344836</v>
      </c>
      <c r="P20" s="7" t="s">
        <v>20</v>
      </c>
    </row>
    <row r="21" spans="1:16" s="7" customFormat="1" x14ac:dyDescent="0.25">
      <c r="A21" s="6">
        <v>207</v>
      </c>
      <c r="B21" s="6">
        <v>242350920</v>
      </c>
      <c r="C21" s="6">
        <v>242350920</v>
      </c>
      <c r="D21" s="7" t="s">
        <v>38</v>
      </c>
      <c r="E21" s="8">
        <v>303053</v>
      </c>
      <c r="F21" s="7" t="s">
        <v>19</v>
      </c>
      <c r="G21" s="9">
        <v>23.74</v>
      </c>
      <c r="H21" s="9">
        <v>5.48</v>
      </c>
      <c r="I21" s="6">
        <v>0</v>
      </c>
      <c r="J21" s="6">
        <v>0</v>
      </c>
      <c r="K21" s="11">
        <f t="shared" si="2"/>
        <v>29.22</v>
      </c>
      <c r="L21" s="10">
        <v>0.57999999999999996</v>
      </c>
      <c r="M21" s="7">
        <v>50.38</v>
      </c>
      <c r="N21" s="9">
        <v>0</v>
      </c>
      <c r="O21" s="6">
        <v>0</v>
      </c>
      <c r="P21" s="7" t="s">
        <v>20</v>
      </c>
    </row>
    <row r="22" spans="1:16" s="7" customFormat="1" x14ac:dyDescent="0.25">
      <c r="A22" s="6">
        <v>59</v>
      </c>
      <c r="B22" s="6">
        <v>243201208</v>
      </c>
      <c r="C22" s="6">
        <v>243201208</v>
      </c>
      <c r="D22" s="7" t="s">
        <v>39</v>
      </c>
      <c r="E22" s="8">
        <v>7216510</v>
      </c>
      <c r="F22" s="7" t="s">
        <v>19</v>
      </c>
      <c r="G22" s="9">
        <v>264.29000000000002</v>
      </c>
      <c r="H22" s="9">
        <v>2.34</v>
      </c>
      <c r="I22" s="6">
        <v>0</v>
      </c>
      <c r="J22" s="6">
        <v>0</v>
      </c>
      <c r="K22" s="10">
        <f>+G22+H22</f>
        <v>266.63</v>
      </c>
      <c r="L22" s="10">
        <v>0.68</v>
      </c>
      <c r="M22" s="7">
        <v>392.1</v>
      </c>
      <c r="N22" s="9">
        <v>0</v>
      </c>
      <c r="O22" s="6">
        <v>0</v>
      </c>
      <c r="P22" s="7" t="s">
        <v>20</v>
      </c>
    </row>
    <row r="23" spans="1:16" s="7" customFormat="1" x14ac:dyDescent="0.25">
      <c r="A23" s="6">
        <v>148</v>
      </c>
      <c r="B23" s="6">
        <v>250150207</v>
      </c>
      <c r="C23" s="6">
        <v>250150207</v>
      </c>
      <c r="D23" s="7" t="s">
        <v>40</v>
      </c>
      <c r="E23" s="8">
        <v>7210017</v>
      </c>
      <c r="F23" s="7" t="s">
        <v>19</v>
      </c>
      <c r="G23" s="9">
        <v>2.6425000000000001</v>
      </c>
      <c r="H23" s="9">
        <v>0.52749999999999997</v>
      </c>
      <c r="I23" s="6">
        <v>0</v>
      </c>
      <c r="J23" s="6">
        <v>0</v>
      </c>
      <c r="K23" s="10">
        <f>+G23+H23</f>
        <v>3.17</v>
      </c>
      <c r="L23" s="10">
        <v>0.57999999999999996</v>
      </c>
      <c r="M23" s="7">
        <v>5.47</v>
      </c>
      <c r="N23" s="9">
        <v>0</v>
      </c>
      <c r="O23" s="6">
        <v>0</v>
      </c>
      <c r="P23" s="7" t="s">
        <v>20</v>
      </c>
    </row>
    <row r="24" spans="1:16" s="7" customFormat="1" x14ac:dyDescent="0.25">
      <c r="A24" s="6">
        <v>430</v>
      </c>
      <c r="B24" s="6">
        <v>250150215</v>
      </c>
      <c r="C24" s="6">
        <v>250150215</v>
      </c>
      <c r="D24" s="7" t="s">
        <v>41</v>
      </c>
      <c r="E24" s="8">
        <v>2601002</v>
      </c>
      <c r="F24" s="7" t="s">
        <v>19</v>
      </c>
      <c r="G24" s="9">
        <v>6.7141000000000002</v>
      </c>
      <c r="H24" s="9">
        <v>0.55859999999999999</v>
      </c>
      <c r="I24" s="6">
        <v>0</v>
      </c>
      <c r="J24" s="6">
        <v>0</v>
      </c>
      <c r="K24" s="11">
        <f>+G24+H24</f>
        <v>7.2727000000000004</v>
      </c>
      <c r="L24" s="10">
        <v>0.57999999999999996</v>
      </c>
      <c r="M24" s="7">
        <v>12.54</v>
      </c>
      <c r="N24" s="9">
        <v>0.54</v>
      </c>
      <c r="O24" s="9">
        <v>13.467962962962963</v>
      </c>
      <c r="P24" s="7" t="s">
        <v>20</v>
      </c>
    </row>
    <row r="25" spans="1:16" s="7" customFormat="1" x14ac:dyDescent="0.25">
      <c r="A25" s="6">
        <v>436</v>
      </c>
      <c r="B25" s="6">
        <v>250150216</v>
      </c>
      <c r="C25" s="6">
        <v>250150216</v>
      </c>
      <c r="D25" s="7" t="s">
        <v>42</v>
      </c>
      <c r="E25" s="8">
        <v>7150005</v>
      </c>
      <c r="F25" s="7" t="s">
        <v>19</v>
      </c>
      <c r="G25" s="9">
        <v>5.2</v>
      </c>
      <c r="H25" s="9">
        <v>1.3</v>
      </c>
      <c r="I25" s="6">
        <v>0</v>
      </c>
      <c r="J25" s="6">
        <v>0</v>
      </c>
      <c r="K25" s="11">
        <f t="shared" ref="K25:K29" si="3">+G25+H25</f>
        <v>6.5</v>
      </c>
      <c r="L25" s="7">
        <v>0.5</v>
      </c>
      <c r="M25" s="7">
        <v>13</v>
      </c>
      <c r="N25" s="9">
        <v>0</v>
      </c>
      <c r="O25" s="6">
        <v>0</v>
      </c>
      <c r="P25" s="7" t="s">
        <v>20</v>
      </c>
    </row>
    <row r="26" spans="1:16" s="7" customFormat="1" x14ac:dyDescent="0.25">
      <c r="A26" s="6">
        <v>426</v>
      </c>
      <c r="B26" s="6">
        <v>250150217</v>
      </c>
      <c r="C26" s="6">
        <v>250150217</v>
      </c>
      <c r="D26" s="7" t="s">
        <v>43</v>
      </c>
      <c r="E26" s="8">
        <v>2599002</v>
      </c>
      <c r="F26" s="7" t="s">
        <v>19</v>
      </c>
      <c r="G26" s="9">
        <v>3.5430000000000001</v>
      </c>
      <c r="H26" s="9">
        <v>0.3866</v>
      </c>
      <c r="I26" s="6">
        <v>0</v>
      </c>
      <c r="J26" s="6">
        <v>0</v>
      </c>
      <c r="K26" s="11">
        <f t="shared" si="3"/>
        <v>3.9296000000000002</v>
      </c>
      <c r="L26" s="10">
        <v>0.57999999999999996</v>
      </c>
      <c r="M26" s="7">
        <v>6.78</v>
      </c>
      <c r="N26" s="9">
        <v>0</v>
      </c>
      <c r="O26" s="6">
        <v>0</v>
      </c>
      <c r="P26" s="7" t="s">
        <v>20</v>
      </c>
    </row>
    <row r="27" spans="1:16" s="7" customFormat="1" x14ac:dyDescent="0.25">
      <c r="A27" s="6">
        <v>429</v>
      </c>
      <c r="B27" s="6">
        <v>250150315</v>
      </c>
      <c r="C27" s="6">
        <v>250150315</v>
      </c>
      <c r="D27" s="7" t="s">
        <v>44</v>
      </c>
      <c r="E27" s="8">
        <v>2596002</v>
      </c>
      <c r="F27" s="7" t="s">
        <v>19</v>
      </c>
      <c r="G27" s="9">
        <v>6.7141000000000002</v>
      </c>
      <c r="H27" s="9">
        <v>0.55859999999999999</v>
      </c>
      <c r="I27" s="6">
        <v>0</v>
      </c>
      <c r="J27" s="6">
        <v>0</v>
      </c>
      <c r="K27" s="11">
        <f t="shared" si="3"/>
        <v>7.2727000000000004</v>
      </c>
      <c r="L27" s="10">
        <v>0.57999999999999996</v>
      </c>
      <c r="M27" s="7">
        <v>12.54</v>
      </c>
      <c r="N27" s="9">
        <v>0</v>
      </c>
      <c r="O27" s="6">
        <v>0</v>
      </c>
      <c r="P27" s="7" t="s">
        <v>20</v>
      </c>
    </row>
    <row r="28" spans="1:16" s="7" customFormat="1" x14ac:dyDescent="0.25">
      <c r="A28" s="6">
        <v>425</v>
      </c>
      <c r="B28" s="6">
        <v>250150317</v>
      </c>
      <c r="C28" s="6">
        <v>250150317</v>
      </c>
      <c r="D28" s="7" t="s">
        <v>45</v>
      </c>
      <c r="E28" s="8">
        <v>2594002</v>
      </c>
      <c r="F28" s="7" t="s">
        <v>19</v>
      </c>
      <c r="G28" s="9">
        <v>3.5430000000000001</v>
      </c>
      <c r="H28" s="9">
        <v>0.38669999999999999</v>
      </c>
      <c r="I28" s="6">
        <v>0</v>
      </c>
      <c r="J28" s="6">
        <v>0</v>
      </c>
      <c r="K28" s="11">
        <f t="shared" si="3"/>
        <v>3.9297</v>
      </c>
      <c r="L28" s="10">
        <v>0.57999999999999996</v>
      </c>
      <c r="M28" s="7">
        <v>6.78</v>
      </c>
      <c r="N28" s="9">
        <v>0</v>
      </c>
      <c r="O28" s="6">
        <v>0</v>
      </c>
      <c r="P28" s="7" t="s">
        <v>20</v>
      </c>
    </row>
    <row r="29" spans="1:16" s="7" customFormat="1" x14ac:dyDescent="0.25">
      <c r="A29" s="6">
        <v>427</v>
      </c>
      <c r="B29" s="6">
        <v>250150417</v>
      </c>
      <c r="C29" s="6">
        <v>250150417</v>
      </c>
      <c r="D29" s="7" t="s">
        <v>46</v>
      </c>
      <c r="E29" s="8">
        <v>2595002</v>
      </c>
      <c r="F29" s="7" t="s">
        <v>19</v>
      </c>
      <c r="G29" s="9">
        <v>5.0979999999999999</v>
      </c>
      <c r="H29" s="9">
        <v>0.47260000000000002</v>
      </c>
      <c r="I29" s="6">
        <v>0</v>
      </c>
      <c r="J29" s="6">
        <v>0</v>
      </c>
      <c r="K29" s="11">
        <f t="shared" si="3"/>
        <v>5.5705999999999998</v>
      </c>
      <c r="L29" s="10">
        <v>0.57999999999999996</v>
      </c>
      <c r="M29" s="7">
        <v>9.6</v>
      </c>
      <c r="N29" s="9">
        <v>0.57999999999999996</v>
      </c>
      <c r="O29" s="9">
        <v>9.6044827586206907</v>
      </c>
      <c r="P29" s="7" t="s">
        <v>20</v>
      </c>
    </row>
    <row r="30" spans="1:16" s="7" customFormat="1" x14ac:dyDescent="0.25">
      <c r="A30" s="6">
        <v>154</v>
      </c>
      <c r="B30" s="6">
        <v>250150999</v>
      </c>
      <c r="C30" s="6">
        <v>250150999</v>
      </c>
      <c r="D30" s="7" t="s">
        <v>47</v>
      </c>
      <c r="E30" s="8">
        <v>7268000</v>
      </c>
      <c r="F30" s="7" t="s">
        <v>19</v>
      </c>
      <c r="G30" s="9">
        <v>21.71</v>
      </c>
      <c r="H30" s="9">
        <v>0.38</v>
      </c>
      <c r="I30" s="6">
        <v>0</v>
      </c>
      <c r="J30" s="6">
        <v>0</v>
      </c>
      <c r="K30" s="10">
        <f>+G30+H30</f>
        <v>22.09</v>
      </c>
      <c r="L30" s="10">
        <v>0.68</v>
      </c>
      <c r="M30" s="7">
        <v>32.49</v>
      </c>
      <c r="N30" s="9">
        <v>0</v>
      </c>
      <c r="O30" s="6">
        <v>0</v>
      </c>
      <c r="P30" s="7" t="s">
        <v>20</v>
      </c>
    </row>
    <row r="31" spans="1:16" s="7" customFormat="1" x14ac:dyDescent="0.25">
      <c r="A31" s="6">
        <v>153</v>
      </c>
      <c r="B31" s="6">
        <v>250151000</v>
      </c>
      <c r="C31" s="6">
        <v>250151000</v>
      </c>
      <c r="D31" s="7" t="s">
        <v>48</v>
      </c>
      <c r="E31" s="8">
        <v>7253901</v>
      </c>
      <c r="F31" s="7" t="s">
        <v>19</v>
      </c>
      <c r="G31" s="9">
        <v>21.29</v>
      </c>
      <c r="H31" s="9">
        <v>1.0900000000000001</v>
      </c>
      <c r="I31" s="6">
        <v>0</v>
      </c>
      <c r="J31" s="6">
        <v>0</v>
      </c>
      <c r="K31" s="10">
        <f t="shared" ref="K31:K49" si="4">+G31+H31</f>
        <v>22.38</v>
      </c>
      <c r="L31" s="10">
        <v>0.68</v>
      </c>
      <c r="M31" s="7">
        <v>32.909999999999997</v>
      </c>
      <c r="N31" s="9">
        <v>0</v>
      </c>
      <c r="O31" s="6">
        <v>0</v>
      </c>
      <c r="P31" s="7" t="s">
        <v>20</v>
      </c>
    </row>
    <row r="32" spans="1:16" s="7" customFormat="1" x14ac:dyDescent="0.25">
      <c r="A32" s="6">
        <v>156</v>
      </c>
      <c r="B32" s="6">
        <v>250152000</v>
      </c>
      <c r="C32" s="6">
        <v>250152000</v>
      </c>
      <c r="D32" s="7" t="s">
        <v>49</v>
      </c>
      <c r="E32" s="8">
        <v>7264136</v>
      </c>
      <c r="F32" s="7" t="s">
        <v>19</v>
      </c>
      <c r="G32" s="9">
        <v>9.33</v>
      </c>
      <c r="H32" s="9">
        <v>0.25</v>
      </c>
      <c r="I32" s="6">
        <v>0</v>
      </c>
      <c r="J32" s="6">
        <v>0</v>
      </c>
      <c r="K32" s="10">
        <f t="shared" si="4"/>
        <v>9.58</v>
      </c>
      <c r="L32" s="10">
        <v>0.57999999999999996</v>
      </c>
      <c r="M32" s="7">
        <v>16.52</v>
      </c>
      <c r="N32" s="9">
        <v>0</v>
      </c>
      <c r="O32" s="6">
        <v>0</v>
      </c>
      <c r="P32" s="7" t="s">
        <v>20</v>
      </c>
    </row>
    <row r="33" spans="1:16" s="7" customFormat="1" x14ac:dyDescent="0.25">
      <c r="A33" s="6">
        <v>214</v>
      </c>
      <c r="B33" s="6">
        <v>250200240</v>
      </c>
      <c r="C33" s="6">
        <v>250200240</v>
      </c>
      <c r="D33" s="7" t="s">
        <v>50</v>
      </c>
      <c r="E33" s="8">
        <v>7996602</v>
      </c>
      <c r="F33" s="7" t="s">
        <v>19</v>
      </c>
      <c r="G33" s="9">
        <v>6.94</v>
      </c>
      <c r="H33" s="9">
        <v>0.42</v>
      </c>
      <c r="I33" s="6">
        <v>0</v>
      </c>
      <c r="K33" s="10">
        <f t="shared" si="4"/>
        <v>7.36</v>
      </c>
      <c r="L33" s="10">
        <v>0.57999999999999996</v>
      </c>
      <c r="M33" s="7">
        <v>12.69</v>
      </c>
      <c r="N33" s="9">
        <v>0</v>
      </c>
      <c r="O33" s="6">
        <v>0</v>
      </c>
      <c r="P33" s="7" t="s">
        <v>20</v>
      </c>
    </row>
    <row r="34" spans="1:16" s="7" customFormat="1" x14ac:dyDescent="0.25">
      <c r="A34" s="6">
        <v>53</v>
      </c>
      <c r="B34" s="6">
        <v>250200441</v>
      </c>
      <c r="C34" s="6">
        <v>250200441</v>
      </c>
      <c r="D34" s="7" t="s">
        <v>51</v>
      </c>
      <c r="E34" s="8">
        <v>7263602</v>
      </c>
      <c r="F34" s="7" t="s">
        <v>19</v>
      </c>
      <c r="G34" s="9">
        <v>27.22</v>
      </c>
      <c r="H34" s="9">
        <v>0.56000000000000005</v>
      </c>
      <c r="I34" s="6">
        <v>0</v>
      </c>
      <c r="J34" s="6">
        <v>0</v>
      </c>
      <c r="K34" s="10">
        <f t="shared" si="4"/>
        <v>27.779999999999998</v>
      </c>
      <c r="L34" s="10">
        <v>0.68</v>
      </c>
      <c r="M34" s="7">
        <v>40.85</v>
      </c>
      <c r="N34" s="9">
        <v>0</v>
      </c>
      <c r="O34" s="6">
        <v>0</v>
      </c>
      <c r="P34" s="7" t="s">
        <v>20</v>
      </c>
    </row>
    <row r="35" spans="1:16" s="7" customFormat="1" x14ac:dyDescent="0.25">
      <c r="A35" s="6">
        <v>64</v>
      </c>
      <c r="B35" s="6">
        <v>250210105</v>
      </c>
      <c r="C35" s="6">
        <v>250210105</v>
      </c>
      <c r="D35" s="7" t="s">
        <v>52</v>
      </c>
      <c r="E35" s="8">
        <v>7619915</v>
      </c>
      <c r="F35" s="7" t="s">
        <v>19</v>
      </c>
      <c r="G35" s="9">
        <v>413.31</v>
      </c>
      <c r="H35" s="9">
        <v>1.31</v>
      </c>
      <c r="I35" s="6">
        <v>0</v>
      </c>
      <c r="J35" s="6">
        <v>0</v>
      </c>
      <c r="K35" s="10">
        <f t="shared" si="4"/>
        <v>414.62</v>
      </c>
      <c r="L35" s="10">
        <v>0.68</v>
      </c>
      <c r="M35" s="7">
        <v>609.74</v>
      </c>
      <c r="N35" s="9">
        <v>0</v>
      </c>
      <c r="O35" s="6">
        <v>0</v>
      </c>
      <c r="P35" s="7" t="s">
        <v>20</v>
      </c>
    </row>
    <row r="36" spans="1:16" s="7" customFormat="1" x14ac:dyDescent="0.25">
      <c r="A36" s="6">
        <v>70</v>
      </c>
      <c r="B36" s="6">
        <v>250210107</v>
      </c>
      <c r="C36" s="6">
        <v>250210107</v>
      </c>
      <c r="D36" s="7" t="s">
        <v>53</v>
      </c>
      <c r="E36" s="8">
        <v>7238200</v>
      </c>
      <c r="F36" s="7" t="s">
        <v>19</v>
      </c>
      <c r="G36" s="9">
        <v>12.88</v>
      </c>
      <c r="H36" s="9">
        <v>1.88</v>
      </c>
      <c r="I36" s="6">
        <v>0</v>
      </c>
      <c r="J36" s="6">
        <v>0</v>
      </c>
      <c r="K36" s="10">
        <f t="shared" si="4"/>
        <v>14.760000000000002</v>
      </c>
      <c r="L36" s="10">
        <v>0.57999999999999996</v>
      </c>
      <c r="M36" s="7">
        <v>25.45</v>
      </c>
      <c r="N36" s="9">
        <v>0</v>
      </c>
      <c r="O36" s="6">
        <v>0</v>
      </c>
      <c r="P36" s="7" t="s">
        <v>20</v>
      </c>
    </row>
    <row r="37" spans="1:16" s="7" customFormat="1" x14ac:dyDescent="0.25">
      <c r="A37" s="6">
        <v>73</v>
      </c>
      <c r="B37" s="6">
        <v>250210112</v>
      </c>
      <c r="C37" s="6">
        <v>250210112</v>
      </c>
      <c r="D37" s="7" t="s">
        <v>54</v>
      </c>
      <c r="E37" s="8">
        <v>7238201</v>
      </c>
      <c r="F37" s="7" t="s">
        <v>19</v>
      </c>
      <c r="G37" s="9">
        <v>30.75</v>
      </c>
      <c r="H37" s="9">
        <v>2.73</v>
      </c>
      <c r="I37" s="6">
        <v>0</v>
      </c>
      <c r="J37" s="6">
        <v>0</v>
      </c>
      <c r="K37" s="10">
        <f t="shared" si="4"/>
        <v>33.479999999999997</v>
      </c>
      <c r="L37" s="10">
        <v>0.57999999999999996</v>
      </c>
      <c r="M37" s="7">
        <v>57.72</v>
      </c>
      <c r="N37" s="9">
        <v>0</v>
      </c>
      <c r="O37" s="6">
        <v>0</v>
      </c>
      <c r="P37" s="7" t="s">
        <v>20</v>
      </c>
    </row>
    <row r="38" spans="1:16" s="7" customFormat="1" x14ac:dyDescent="0.25">
      <c r="A38" s="6">
        <v>74</v>
      </c>
      <c r="B38" s="6">
        <v>250210114</v>
      </c>
      <c r="C38" s="6">
        <v>250210114</v>
      </c>
      <c r="D38" s="7" t="s">
        <v>55</v>
      </c>
      <c r="E38" s="8">
        <v>7238202</v>
      </c>
      <c r="F38" s="7" t="s">
        <v>19</v>
      </c>
      <c r="G38" s="9">
        <v>41.77</v>
      </c>
      <c r="H38" s="9">
        <v>3.52</v>
      </c>
      <c r="I38" s="6">
        <v>0</v>
      </c>
      <c r="J38" s="6">
        <v>0</v>
      </c>
      <c r="K38" s="10">
        <f t="shared" si="4"/>
        <v>45.290000000000006</v>
      </c>
      <c r="L38" s="10">
        <v>0.57999999999999996</v>
      </c>
      <c r="M38" s="7">
        <v>78.09</v>
      </c>
      <c r="N38" s="9">
        <v>0.57999999999999996</v>
      </c>
      <c r="O38" s="9">
        <v>78.086206896551744</v>
      </c>
      <c r="P38" s="7" t="s">
        <v>20</v>
      </c>
    </row>
    <row r="39" spans="1:16" s="7" customFormat="1" x14ac:dyDescent="0.25">
      <c r="A39" s="6">
        <v>72</v>
      </c>
      <c r="B39" s="6">
        <v>250210115</v>
      </c>
      <c r="C39" s="6">
        <v>250210115</v>
      </c>
      <c r="D39" s="7" t="s">
        <v>56</v>
      </c>
      <c r="E39" s="8">
        <v>7238205</v>
      </c>
      <c r="F39" s="7" t="s">
        <v>19</v>
      </c>
      <c r="G39" s="9">
        <v>99.48</v>
      </c>
      <c r="H39" s="9">
        <v>7.97</v>
      </c>
      <c r="I39" s="6">
        <v>0</v>
      </c>
      <c r="J39" s="6">
        <v>0</v>
      </c>
      <c r="K39" s="10">
        <f t="shared" si="4"/>
        <v>107.45</v>
      </c>
      <c r="L39" s="10">
        <v>0.57999999999999996</v>
      </c>
      <c r="M39" s="7">
        <v>185.26</v>
      </c>
      <c r="N39" s="9">
        <v>0</v>
      </c>
      <c r="O39" s="6">
        <v>0</v>
      </c>
      <c r="P39" s="7" t="s">
        <v>20</v>
      </c>
    </row>
    <row r="40" spans="1:16" s="7" customFormat="1" x14ac:dyDescent="0.25">
      <c r="A40" s="6">
        <v>71</v>
      </c>
      <c r="B40" s="6">
        <v>250210116</v>
      </c>
      <c r="C40" s="6">
        <v>250210116</v>
      </c>
      <c r="D40" s="7" t="s">
        <v>57</v>
      </c>
      <c r="E40" s="8">
        <v>7238203</v>
      </c>
      <c r="F40" s="7" t="s">
        <v>19</v>
      </c>
      <c r="G40" s="9">
        <v>68.67</v>
      </c>
      <c r="H40" s="9">
        <v>6.09</v>
      </c>
      <c r="I40" s="6">
        <v>0</v>
      </c>
      <c r="J40" s="6">
        <v>0</v>
      </c>
      <c r="K40" s="10">
        <f t="shared" si="4"/>
        <v>74.760000000000005</v>
      </c>
      <c r="L40" s="10">
        <v>0.57999999999999996</v>
      </c>
      <c r="M40" s="7">
        <v>128.9</v>
      </c>
      <c r="N40" s="9">
        <v>0.57999999999999996</v>
      </c>
      <c r="O40" s="9">
        <v>128.89655172413794</v>
      </c>
      <c r="P40" s="7" t="s">
        <v>20</v>
      </c>
    </row>
    <row r="41" spans="1:16" s="7" customFormat="1" x14ac:dyDescent="0.25">
      <c r="A41" s="6">
        <v>57</v>
      </c>
      <c r="B41" s="6">
        <v>250210117</v>
      </c>
      <c r="C41" s="6">
        <v>250210117</v>
      </c>
      <c r="D41" s="7" t="s">
        <v>58</v>
      </c>
      <c r="E41" s="8">
        <v>7216210</v>
      </c>
      <c r="F41" s="7" t="s">
        <v>19</v>
      </c>
      <c r="G41" s="9">
        <v>365.72</v>
      </c>
      <c r="H41" s="9">
        <v>7.5</v>
      </c>
      <c r="I41" s="6">
        <v>0</v>
      </c>
      <c r="J41" s="6">
        <v>0</v>
      </c>
      <c r="K41" s="10">
        <f t="shared" si="4"/>
        <v>373.22</v>
      </c>
      <c r="L41" s="10">
        <v>0.68</v>
      </c>
      <c r="M41" s="7">
        <v>548.85</v>
      </c>
      <c r="N41" s="9">
        <v>0</v>
      </c>
      <c r="O41" s="6">
        <v>0</v>
      </c>
      <c r="P41" s="7" t="s">
        <v>20</v>
      </c>
    </row>
    <row r="42" spans="1:16" s="7" customFormat="1" x14ac:dyDescent="0.25">
      <c r="A42" s="6">
        <v>219</v>
      </c>
      <c r="B42" s="6">
        <v>250210121</v>
      </c>
      <c r="C42" s="6">
        <v>250210121</v>
      </c>
      <c r="D42" s="7" t="s">
        <v>59</v>
      </c>
      <c r="E42" s="8">
        <v>7144303</v>
      </c>
      <c r="F42" s="7" t="s">
        <v>19</v>
      </c>
      <c r="G42" s="9">
        <v>18.34</v>
      </c>
      <c r="H42" s="9">
        <v>3.28</v>
      </c>
      <c r="I42" s="6">
        <v>0</v>
      </c>
      <c r="J42" s="6">
        <v>0</v>
      </c>
      <c r="K42" s="10">
        <f t="shared" si="4"/>
        <v>21.62</v>
      </c>
      <c r="L42" s="10">
        <v>0.68</v>
      </c>
      <c r="M42" s="7">
        <v>31.79</v>
      </c>
      <c r="N42" s="9">
        <v>0</v>
      </c>
      <c r="O42" s="6">
        <v>0</v>
      </c>
      <c r="P42" s="7" t="s">
        <v>20</v>
      </c>
    </row>
    <row r="43" spans="1:16" s="7" customFormat="1" x14ac:dyDescent="0.25">
      <c r="A43" s="6">
        <v>52</v>
      </c>
      <c r="B43" s="6">
        <v>250210122</v>
      </c>
      <c r="C43" s="6">
        <v>250210122</v>
      </c>
      <c r="D43" s="7" t="s">
        <v>60</v>
      </c>
      <c r="E43" s="8">
        <v>7263409</v>
      </c>
      <c r="F43" s="7" t="s">
        <v>19</v>
      </c>
      <c r="G43" s="9">
        <v>28.22</v>
      </c>
      <c r="H43" s="9">
        <v>1.31</v>
      </c>
      <c r="I43" s="6">
        <v>0</v>
      </c>
      <c r="J43" s="6">
        <v>0</v>
      </c>
      <c r="K43" s="10">
        <f t="shared" si="4"/>
        <v>29.529999999999998</v>
      </c>
      <c r="L43" s="10">
        <v>0.68</v>
      </c>
      <c r="M43" s="7">
        <v>43.43</v>
      </c>
      <c r="N43" s="9">
        <v>0</v>
      </c>
      <c r="O43" s="6">
        <v>0</v>
      </c>
      <c r="P43" s="7" t="s">
        <v>20</v>
      </c>
    </row>
    <row r="44" spans="1:16" s="7" customFormat="1" x14ac:dyDescent="0.25">
      <c r="A44" s="6">
        <v>216</v>
      </c>
      <c r="B44" s="6">
        <v>250210123</v>
      </c>
      <c r="C44" s="6">
        <v>250210123</v>
      </c>
      <c r="D44" s="7" t="s">
        <v>61</v>
      </c>
      <c r="E44" s="8">
        <v>7144302</v>
      </c>
      <c r="F44" s="7" t="s">
        <v>19</v>
      </c>
      <c r="G44" s="9">
        <v>14</v>
      </c>
      <c r="H44" s="9">
        <v>2.34</v>
      </c>
      <c r="I44" s="6">
        <v>0</v>
      </c>
      <c r="J44" s="6">
        <v>0</v>
      </c>
      <c r="K44" s="10">
        <f t="shared" si="4"/>
        <v>16.34</v>
      </c>
      <c r="L44" s="10">
        <v>0.68</v>
      </c>
      <c r="M44" s="7">
        <v>24.03</v>
      </c>
      <c r="N44" s="9">
        <v>0</v>
      </c>
      <c r="O44" s="6">
        <v>0</v>
      </c>
      <c r="P44" s="7" t="s">
        <v>20</v>
      </c>
    </row>
    <row r="45" spans="1:16" s="7" customFormat="1" x14ac:dyDescent="0.25">
      <c r="A45" s="6">
        <v>217</v>
      </c>
      <c r="B45" s="6">
        <v>250210132</v>
      </c>
      <c r="C45" s="6">
        <v>250210132</v>
      </c>
      <c r="D45" s="7" t="s">
        <v>62</v>
      </c>
      <c r="E45" s="8">
        <v>7237801</v>
      </c>
      <c r="F45" s="7" t="s">
        <v>19</v>
      </c>
      <c r="G45" s="9">
        <v>18.68</v>
      </c>
      <c r="H45" s="9">
        <v>0.91</v>
      </c>
      <c r="I45" s="6">
        <v>0</v>
      </c>
      <c r="J45" s="6">
        <v>0</v>
      </c>
      <c r="K45" s="10">
        <f t="shared" si="4"/>
        <v>19.59</v>
      </c>
      <c r="L45" s="10">
        <v>0.85</v>
      </c>
      <c r="M45" s="7">
        <v>23.05</v>
      </c>
      <c r="N45" s="9">
        <v>0</v>
      </c>
      <c r="O45" s="6">
        <v>0</v>
      </c>
      <c r="P45" s="7" t="s">
        <v>20</v>
      </c>
    </row>
    <row r="46" spans="1:16" s="7" customFormat="1" x14ac:dyDescent="0.25">
      <c r="A46" s="6">
        <v>218</v>
      </c>
      <c r="B46" s="6">
        <v>250210133</v>
      </c>
      <c r="C46" s="6">
        <v>250210133</v>
      </c>
      <c r="D46" s="7" t="s">
        <v>63</v>
      </c>
      <c r="E46" s="8">
        <v>7237802</v>
      </c>
      <c r="F46" s="7" t="s">
        <v>19</v>
      </c>
      <c r="G46" s="9">
        <v>23.93</v>
      </c>
      <c r="H46" s="9">
        <v>1.18</v>
      </c>
      <c r="I46" s="6">
        <v>0</v>
      </c>
      <c r="J46" s="6">
        <v>0</v>
      </c>
      <c r="K46" s="10">
        <f t="shared" si="4"/>
        <v>25.11</v>
      </c>
      <c r="L46" s="10">
        <v>0.85</v>
      </c>
      <c r="M46" s="7">
        <v>29.54</v>
      </c>
      <c r="N46" s="9">
        <v>0</v>
      </c>
      <c r="O46" s="6">
        <v>0</v>
      </c>
      <c r="P46" s="7" t="s">
        <v>20</v>
      </c>
    </row>
    <row r="47" spans="1:16" s="7" customFormat="1" x14ac:dyDescent="0.25">
      <c r="A47" s="6">
        <v>220</v>
      </c>
      <c r="B47" s="6">
        <v>250210222</v>
      </c>
      <c r="C47" s="6">
        <v>250210222</v>
      </c>
      <c r="D47" s="7" t="s">
        <v>64</v>
      </c>
      <c r="E47" s="8">
        <v>7144301</v>
      </c>
      <c r="F47" s="7" t="s">
        <v>19</v>
      </c>
      <c r="G47" s="9">
        <v>8.15</v>
      </c>
      <c r="H47" s="9">
        <v>1.75</v>
      </c>
      <c r="I47" s="6">
        <v>0</v>
      </c>
      <c r="J47" s="6">
        <v>0</v>
      </c>
      <c r="K47" s="10">
        <f t="shared" si="4"/>
        <v>9.9</v>
      </c>
      <c r="L47" s="10">
        <v>0.68</v>
      </c>
      <c r="M47" s="7">
        <v>14.56</v>
      </c>
      <c r="N47" s="9">
        <v>0</v>
      </c>
      <c r="O47" s="6">
        <v>0</v>
      </c>
      <c r="P47" s="7" t="s">
        <v>20</v>
      </c>
    </row>
    <row r="48" spans="1:16" s="7" customFormat="1" x14ac:dyDescent="0.25">
      <c r="A48" s="6">
        <v>62</v>
      </c>
      <c r="B48" s="6">
        <v>250211107</v>
      </c>
      <c r="C48" s="6">
        <v>250211107</v>
      </c>
      <c r="D48" s="7" t="s">
        <v>65</v>
      </c>
      <c r="E48" s="8">
        <v>7239005</v>
      </c>
      <c r="F48" s="7" t="s">
        <v>19</v>
      </c>
      <c r="G48" s="9">
        <v>15.07</v>
      </c>
      <c r="H48" s="9">
        <v>1.64</v>
      </c>
      <c r="I48" s="6">
        <v>0</v>
      </c>
      <c r="J48" s="6">
        <v>0</v>
      </c>
      <c r="K48" s="10">
        <f t="shared" si="4"/>
        <v>16.71</v>
      </c>
      <c r="L48" s="10">
        <v>0.57999999999999996</v>
      </c>
      <c r="M48" s="7">
        <v>28.81</v>
      </c>
      <c r="N48" s="9">
        <v>0.57999999999999996</v>
      </c>
      <c r="O48" s="9">
        <v>28.81034482758621</v>
      </c>
      <c r="P48" s="7" t="s">
        <v>20</v>
      </c>
    </row>
    <row r="49" spans="1:16" s="7" customFormat="1" x14ac:dyDescent="0.25">
      <c r="A49" s="6">
        <v>69</v>
      </c>
      <c r="B49" s="6">
        <v>250211117</v>
      </c>
      <c r="C49" s="6">
        <v>250211117</v>
      </c>
      <c r="D49" s="7" t="s">
        <v>66</v>
      </c>
      <c r="E49" s="8">
        <v>7238101</v>
      </c>
      <c r="F49" s="7" t="s">
        <v>19</v>
      </c>
      <c r="G49" s="9">
        <v>19.23</v>
      </c>
      <c r="H49" s="9">
        <v>1.64</v>
      </c>
      <c r="I49" s="6">
        <v>0</v>
      </c>
      <c r="J49" s="6">
        <v>0</v>
      </c>
      <c r="K49" s="10">
        <f t="shared" si="4"/>
        <v>20.87</v>
      </c>
      <c r="L49" s="10">
        <v>0.57999999999999996</v>
      </c>
      <c r="M49" s="7">
        <v>35.979999999999997</v>
      </c>
      <c r="N49" s="9">
        <v>0</v>
      </c>
      <c r="O49" s="6">
        <v>0</v>
      </c>
      <c r="P49" s="7" t="s">
        <v>20</v>
      </c>
    </row>
    <row r="50" spans="1:16" s="7" customFormat="1" x14ac:dyDescent="0.25">
      <c r="A50" s="6">
        <v>208</v>
      </c>
      <c r="B50" s="6">
        <v>251850207</v>
      </c>
      <c r="C50" s="6">
        <v>251850207</v>
      </c>
      <c r="D50" s="7" t="s">
        <v>67</v>
      </c>
      <c r="E50" s="8">
        <v>303054</v>
      </c>
      <c r="F50" s="7" t="s">
        <v>19</v>
      </c>
      <c r="G50" s="9">
        <v>41.28</v>
      </c>
      <c r="H50" s="9">
        <v>7.92</v>
      </c>
      <c r="I50" s="6">
        <v>0</v>
      </c>
      <c r="J50" s="6">
        <v>0</v>
      </c>
      <c r="K50" s="11">
        <f>+G50+H50</f>
        <v>49.2</v>
      </c>
      <c r="L50" s="10">
        <v>0.57999999999999996</v>
      </c>
      <c r="M50" s="7">
        <v>84.83</v>
      </c>
      <c r="N50" s="9">
        <v>0</v>
      </c>
      <c r="O50" s="6">
        <v>0</v>
      </c>
      <c r="P50" s="7" t="s">
        <v>20</v>
      </c>
    </row>
    <row r="51" spans="1:16" s="7" customFormat="1" x14ac:dyDescent="0.25">
      <c r="A51" s="6">
        <v>443</v>
      </c>
      <c r="B51" s="6">
        <v>252250202</v>
      </c>
      <c r="C51" s="6">
        <v>252250202</v>
      </c>
      <c r="D51" s="7" t="s">
        <v>68</v>
      </c>
      <c r="E51" s="8">
        <v>7345803</v>
      </c>
      <c r="F51" s="7" t="s">
        <v>19</v>
      </c>
      <c r="G51" s="9">
        <v>5.3</v>
      </c>
      <c r="H51" s="9">
        <v>0.85</v>
      </c>
      <c r="I51" s="6">
        <v>0</v>
      </c>
      <c r="J51" s="6">
        <v>0</v>
      </c>
      <c r="K51" s="10">
        <f>+G51+H51</f>
        <v>6.1499999999999995</v>
      </c>
      <c r="L51" s="10">
        <v>0.57999999999999996</v>
      </c>
      <c r="M51" s="7">
        <v>10.6</v>
      </c>
      <c r="N51" s="9">
        <v>0.57999999999999996</v>
      </c>
      <c r="O51" s="9">
        <v>10.603448275862069</v>
      </c>
      <c r="P51" s="7" t="s">
        <v>20</v>
      </c>
    </row>
    <row r="52" spans="1:16" s="7" customFormat="1" x14ac:dyDescent="0.25">
      <c r="A52" s="6">
        <v>444</v>
      </c>
      <c r="B52" s="6">
        <v>252250203</v>
      </c>
      <c r="C52" s="6">
        <v>252250203</v>
      </c>
      <c r="D52" s="7" t="s">
        <v>69</v>
      </c>
      <c r="E52" s="8">
        <v>7345804</v>
      </c>
      <c r="F52" s="7" t="s">
        <v>19</v>
      </c>
      <c r="G52" s="9">
        <v>4.76</v>
      </c>
      <c r="H52" s="9">
        <v>0.85</v>
      </c>
      <c r="I52" s="6">
        <v>0</v>
      </c>
      <c r="J52" s="6">
        <v>0</v>
      </c>
      <c r="K52" s="10">
        <f t="shared" ref="K52:K61" si="5">+G52+H52</f>
        <v>5.6099999999999994</v>
      </c>
      <c r="L52" s="10">
        <v>0.57999999999999996</v>
      </c>
      <c r="M52" s="7">
        <v>9.67</v>
      </c>
      <c r="N52" s="9">
        <v>0</v>
      </c>
      <c r="O52" s="6">
        <v>0</v>
      </c>
      <c r="P52" s="7" t="s">
        <v>20</v>
      </c>
    </row>
    <row r="53" spans="1:16" s="7" customFormat="1" x14ac:dyDescent="0.25">
      <c r="A53" s="12">
        <v>441</v>
      </c>
      <c r="B53" s="6">
        <v>252250204</v>
      </c>
      <c r="C53" s="6">
        <v>252250204</v>
      </c>
      <c r="D53" s="7" t="s">
        <v>70</v>
      </c>
      <c r="E53" s="8">
        <v>7345801</v>
      </c>
      <c r="F53" s="7" t="s">
        <v>19</v>
      </c>
      <c r="G53" s="9">
        <v>3.61</v>
      </c>
      <c r="H53" s="9">
        <v>0.73</v>
      </c>
      <c r="I53" s="6">
        <v>0</v>
      </c>
      <c r="J53" s="6">
        <v>0</v>
      </c>
      <c r="K53" s="10">
        <f t="shared" si="5"/>
        <v>4.34</v>
      </c>
      <c r="L53" s="10">
        <v>0.57999999999999996</v>
      </c>
      <c r="M53" s="7">
        <v>7.48</v>
      </c>
      <c r="N53" s="9">
        <v>0.57999999999999996</v>
      </c>
      <c r="O53" s="9">
        <v>7.4827586206896557</v>
      </c>
      <c r="P53" s="7" t="s">
        <v>20</v>
      </c>
    </row>
    <row r="54" spans="1:16" s="7" customFormat="1" x14ac:dyDescent="0.25">
      <c r="A54" s="6">
        <v>442</v>
      </c>
      <c r="B54" s="6">
        <v>252250205</v>
      </c>
      <c r="C54" s="6">
        <v>252250205</v>
      </c>
      <c r="D54" s="7" t="s">
        <v>71</v>
      </c>
      <c r="E54" s="8">
        <v>7345802</v>
      </c>
      <c r="F54" s="7" t="s">
        <v>19</v>
      </c>
      <c r="G54" s="9">
        <v>3.05</v>
      </c>
      <c r="H54" s="9">
        <v>0.73</v>
      </c>
      <c r="I54" s="6">
        <v>0</v>
      </c>
      <c r="J54" s="6">
        <v>0</v>
      </c>
      <c r="K54" s="10">
        <f t="shared" si="5"/>
        <v>3.78</v>
      </c>
      <c r="L54" s="10">
        <v>0.57999999999999996</v>
      </c>
      <c r="M54" s="7">
        <v>6.52</v>
      </c>
      <c r="N54" s="9">
        <v>0.45</v>
      </c>
      <c r="O54" s="9">
        <v>8.3999999999999986</v>
      </c>
      <c r="P54" s="7" t="s">
        <v>20</v>
      </c>
    </row>
    <row r="55" spans="1:16" s="7" customFormat="1" x14ac:dyDescent="0.25">
      <c r="A55" s="6">
        <v>209</v>
      </c>
      <c r="B55" s="6">
        <v>252250305</v>
      </c>
      <c r="C55" s="6">
        <v>252250305</v>
      </c>
      <c r="D55" s="7" t="s">
        <v>72</v>
      </c>
      <c r="E55" s="8">
        <v>7230400</v>
      </c>
      <c r="F55" s="7" t="s">
        <v>19</v>
      </c>
      <c r="G55" s="9">
        <v>22.59</v>
      </c>
      <c r="H55" s="9">
        <v>4.5</v>
      </c>
      <c r="I55" s="6">
        <v>0</v>
      </c>
      <c r="J55" s="6">
        <v>0</v>
      </c>
      <c r="K55" s="10">
        <f t="shared" si="5"/>
        <v>27.09</v>
      </c>
      <c r="L55" s="10">
        <v>0.57999999999999996</v>
      </c>
      <c r="M55" s="7">
        <v>46.71</v>
      </c>
      <c r="N55" s="9">
        <v>0</v>
      </c>
      <c r="O55" s="6">
        <v>0</v>
      </c>
      <c r="P55" s="7" t="s">
        <v>20</v>
      </c>
    </row>
    <row r="56" spans="1:16" s="7" customFormat="1" x14ac:dyDescent="0.25">
      <c r="A56" s="6">
        <v>437</v>
      </c>
      <c r="B56" s="6">
        <v>252259203</v>
      </c>
      <c r="C56" s="6">
        <v>252259203</v>
      </c>
      <c r="D56" s="7" t="s">
        <v>73</v>
      </c>
      <c r="E56" s="13" t="s">
        <v>74</v>
      </c>
      <c r="F56" s="7" t="s">
        <v>19</v>
      </c>
      <c r="G56" s="9">
        <v>98.91</v>
      </c>
      <c r="H56" s="9">
        <v>1.22</v>
      </c>
      <c r="I56" s="6">
        <v>0</v>
      </c>
      <c r="J56" s="6">
        <v>0</v>
      </c>
      <c r="K56" s="10">
        <f t="shared" si="5"/>
        <v>100.13</v>
      </c>
      <c r="L56" s="10">
        <v>0.75</v>
      </c>
      <c r="M56" s="7">
        <v>133.51</v>
      </c>
      <c r="N56" s="9">
        <v>0</v>
      </c>
      <c r="O56" s="6">
        <v>0</v>
      </c>
      <c r="P56" s="7" t="s">
        <v>20</v>
      </c>
    </row>
    <row r="57" spans="1:16" s="7" customFormat="1" x14ac:dyDescent="0.25">
      <c r="A57" s="6">
        <v>438</v>
      </c>
      <c r="B57" s="6">
        <v>252259303</v>
      </c>
      <c r="C57" s="6">
        <v>252259303</v>
      </c>
      <c r="D57" s="7" t="s">
        <v>75</v>
      </c>
      <c r="E57" s="8">
        <v>7228002</v>
      </c>
      <c r="F57" s="7" t="s">
        <v>19</v>
      </c>
      <c r="G57" s="9">
        <v>117.26</v>
      </c>
      <c r="H57" s="9">
        <v>1.22</v>
      </c>
      <c r="I57" s="6">
        <v>0</v>
      </c>
      <c r="J57" s="6">
        <v>0</v>
      </c>
      <c r="K57" s="10">
        <f t="shared" si="5"/>
        <v>118.48</v>
      </c>
      <c r="L57" s="10">
        <v>0.75</v>
      </c>
      <c r="M57" s="7">
        <v>157.97</v>
      </c>
      <c r="N57" s="9">
        <v>0</v>
      </c>
      <c r="O57" s="6">
        <v>0</v>
      </c>
      <c r="P57" s="7" t="s">
        <v>20</v>
      </c>
    </row>
    <row r="58" spans="1:16" s="7" customFormat="1" x14ac:dyDescent="0.25">
      <c r="A58" s="6">
        <v>439</v>
      </c>
      <c r="B58" s="6">
        <v>252259404</v>
      </c>
      <c r="C58" s="6">
        <v>252259404</v>
      </c>
      <c r="D58" s="7" t="s">
        <v>76</v>
      </c>
      <c r="E58" s="13" t="s">
        <v>77</v>
      </c>
      <c r="F58" s="7" t="s">
        <v>19</v>
      </c>
      <c r="G58" s="9">
        <v>149.33000000000001</v>
      </c>
      <c r="H58" s="9">
        <v>1.31</v>
      </c>
      <c r="I58" s="6">
        <v>0</v>
      </c>
      <c r="J58" s="6">
        <v>0</v>
      </c>
      <c r="K58" s="10">
        <f t="shared" si="5"/>
        <v>150.64000000000001</v>
      </c>
      <c r="L58" s="10">
        <v>0.75</v>
      </c>
      <c r="M58" s="7">
        <v>200.85</v>
      </c>
      <c r="N58" s="9">
        <v>0</v>
      </c>
      <c r="O58" s="6">
        <v>0</v>
      </c>
      <c r="P58" s="7" t="s">
        <v>20</v>
      </c>
    </row>
    <row r="59" spans="1:16" s="7" customFormat="1" x14ac:dyDescent="0.25">
      <c r="A59" s="6">
        <v>440</v>
      </c>
      <c r="B59" s="6">
        <v>252259505</v>
      </c>
      <c r="C59" s="6">
        <v>252259505</v>
      </c>
      <c r="D59" s="7" t="s">
        <v>78</v>
      </c>
      <c r="E59" s="13" t="s">
        <v>79</v>
      </c>
      <c r="F59" s="7" t="s">
        <v>19</v>
      </c>
      <c r="G59" s="9">
        <v>167.85</v>
      </c>
      <c r="H59" s="9">
        <v>1.31</v>
      </c>
      <c r="I59" s="6">
        <v>0</v>
      </c>
      <c r="J59" s="6">
        <v>0</v>
      </c>
      <c r="K59" s="10">
        <f t="shared" si="5"/>
        <v>169.16</v>
      </c>
      <c r="L59" s="10">
        <v>0.75</v>
      </c>
      <c r="M59" s="7">
        <v>225.55</v>
      </c>
      <c r="N59" s="9">
        <v>0</v>
      </c>
      <c r="O59" s="6">
        <v>0</v>
      </c>
      <c r="P59" s="7" t="s">
        <v>20</v>
      </c>
    </row>
    <row r="60" spans="1:16" s="7" customFormat="1" x14ac:dyDescent="0.25">
      <c r="A60" s="6">
        <v>158</v>
      </c>
      <c r="B60" s="6">
        <v>252360101</v>
      </c>
      <c r="C60" s="6">
        <v>252360101</v>
      </c>
      <c r="D60" s="7" t="s">
        <v>80</v>
      </c>
      <c r="E60" s="8">
        <v>7328805</v>
      </c>
      <c r="F60" s="7" t="s">
        <v>19</v>
      </c>
      <c r="G60" s="9">
        <v>55.29</v>
      </c>
      <c r="H60" s="9">
        <v>6.7</v>
      </c>
      <c r="I60" s="6">
        <v>0</v>
      </c>
      <c r="J60" s="6">
        <v>0</v>
      </c>
      <c r="K60" s="10">
        <f t="shared" si="5"/>
        <v>61.99</v>
      </c>
      <c r="L60" s="10">
        <v>0.68</v>
      </c>
      <c r="M60" s="7">
        <v>91.16</v>
      </c>
      <c r="N60" s="9">
        <v>0</v>
      </c>
      <c r="O60" s="6">
        <v>0</v>
      </c>
      <c r="P60" s="7" t="s">
        <v>20</v>
      </c>
    </row>
    <row r="61" spans="1:16" s="7" customFormat="1" x14ac:dyDescent="0.25">
      <c r="A61" s="6">
        <v>159</v>
      </c>
      <c r="B61" s="6">
        <v>252850928</v>
      </c>
      <c r="C61" s="6">
        <v>252850928</v>
      </c>
      <c r="D61" s="7" t="s">
        <v>81</v>
      </c>
      <c r="E61" s="8">
        <v>7261112</v>
      </c>
      <c r="F61" s="7" t="s">
        <v>19</v>
      </c>
      <c r="G61" s="9">
        <v>67.989999999999995</v>
      </c>
      <c r="H61" s="9">
        <v>0.47</v>
      </c>
      <c r="I61" s="6">
        <v>0</v>
      </c>
      <c r="J61" s="6">
        <v>0</v>
      </c>
      <c r="K61" s="10">
        <f t="shared" si="5"/>
        <v>68.459999999999994</v>
      </c>
      <c r="L61" s="10">
        <v>0.68</v>
      </c>
      <c r="M61" s="7">
        <v>100.68</v>
      </c>
      <c r="N61" s="9">
        <v>0</v>
      </c>
      <c r="O61" s="6">
        <v>0</v>
      </c>
      <c r="P61" s="7" t="s">
        <v>20</v>
      </c>
    </row>
    <row r="62" spans="1:16" s="7" customFormat="1" x14ac:dyDescent="0.25">
      <c r="A62" s="6">
        <v>428</v>
      </c>
      <c r="B62" s="6">
        <v>253400230</v>
      </c>
      <c r="C62" s="6">
        <v>253400230</v>
      </c>
      <c r="D62" s="7" t="s">
        <v>82</v>
      </c>
      <c r="E62" s="8">
        <v>2600002</v>
      </c>
      <c r="F62" s="7" t="s">
        <v>19</v>
      </c>
      <c r="G62" s="9">
        <v>5.0999999999999996</v>
      </c>
      <c r="H62" s="9">
        <v>0.47</v>
      </c>
      <c r="I62" s="6">
        <v>0</v>
      </c>
      <c r="J62" s="6">
        <v>0</v>
      </c>
      <c r="K62" s="10">
        <f>+G62+H62</f>
        <v>5.5699999999999994</v>
      </c>
      <c r="L62" s="10">
        <v>0.57999999999999996</v>
      </c>
      <c r="M62" s="7">
        <v>9.6</v>
      </c>
      <c r="N62" s="9">
        <v>0</v>
      </c>
      <c r="O62" s="6">
        <v>0</v>
      </c>
      <c r="P62" s="7" t="s">
        <v>20</v>
      </c>
    </row>
    <row r="63" spans="1:16" s="7" customFormat="1" x14ac:dyDescent="0.25">
      <c r="A63" s="6">
        <v>63</v>
      </c>
      <c r="B63" s="6">
        <v>272100131</v>
      </c>
      <c r="C63" s="6">
        <v>272100131</v>
      </c>
      <c r="D63" s="7" t="s">
        <v>83</v>
      </c>
      <c r="E63" s="8">
        <v>7619914</v>
      </c>
      <c r="F63" s="7" t="s">
        <v>19</v>
      </c>
      <c r="G63" s="9">
        <v>369.58</v>
      </c>
      <c r="H63" s="9">
        <v>0.63</v>
      </c>
      <c r="I63" s="6">
        <v>0</v>
      </c>
      <c r="J63" s="6">
        <v>0</v>
      </c>
      <c r="K63" s="10">
        <f>+G63+H63</f>
        <v>370.21</v>
      </c>
      <c r="L63" s="10">
        <v>0.68</v>
      </c>
      <c r="M63" s="7">
        <v>544.42999999999995</v>
      </c>
      <c r="N63" s="9">
        <v>0</v>
      </c>
      <c r="O63" s="6">
        <v>0</v>
      </c>
      <c r="P63" s="7" t="s">
        <v>20</v>
      </c>
    </row>
    <row r="64" spans="1:16" s="7" customFormat="1" x14ac:dyDescent="0.25">
      <c r="A64" s="6">
        <v>65</v>
      </c>
      <c r="B64" s="6">
        <v>272100132</v>
      </c>
      <c r="C64" s="6">
        <v>272100132</v>
      </c>
      <c r="D64" s="7" t="s">
        <v>84</v>
      </c>
      <c r="E64" s="8">
        <v>7619916</v>
      </c>
      <c r="F64" s="7" t="s">
        <v>19</v>
      </c>
      <c r="G64" s="9">
        <v>449.93</v>
      </c>
      <c r="H64" s="9">
        <v>1.88</v>
      </c>
      <c r="I64" s="6">
        <v>0</v>
      </c>
      <c r="J64" s="6">
        <v>0</v>
      </c>
      <c r="K64" s="10">
        <f>+G64+H64</f>
        <v>451.81</v>
      </c>
      <c r="L64" s="10">
        <v>0.68</v>
      </c>
      <c r="M64" s="7">
        <v>664.43</v>
      </c>
      <c r="N64" s="9">
        <v>0</v>
      </c>
      <c r="O64" s="6">
        <v>0</v>
      </c>
      <c r="P64" s="7" t="s">
        <v>20</v>
      </c>
    </row>
    <row r="65" spans="1:16" s="7" customFormat="1" x14ac:dyDescent="0.25">
      <c r="A65" s="6">
        <v>247</v>
      </c>
      <c r="B65" s="6">
        <v>240850309</v>
      </c>
      <c r="C65" s="6">
        <v>240850309</v>
      </c>
      <c r="D65" s="7" t="s">
        <v>85</v>
      </c>
      <c r="E65" s="8">
        <v>30000</v>
      </c>
      <c r="F65" s="7" t="s">
        <v>86</v>
      </c>
      <c r="G65" s="9">
        <v>9.8000000000000007</v>
      </c>
      <c r="H65" s="9">
        <v>1.4</v>
      </c>
      <c r="I65" s="6">
        <v>0</v>
      </c>
      <c r="J65" s="6">
        <v>0</v>
      </c>
      <c r="K65" s="11">
        <f>+G65+H65</f>
        <v>11.200000000000001</v>
      </c>
      <c r="L65" s="10">
        <v>0.65</v>
      </c>
      <c r="M65" s="7">
        <v>17.23</v>
      </c>
      <c r="N65" s="9">
        <v>0.36</v>
      </c>
      <c r="O65" s="9">
        <v>31.111111111111114</v>
      </c>
      <c r="P65" s="7" t="s">
        <v>20</v>
      </c>
    </row>
    <row r="66" spans="1:16" s="7" customFormat="1" x14ac:dyDescent="0.25">
      <c r="A66" s="6">
        <v>77</v>
      </c>
      <c r="B66" s="6">
        <v>242201540</v>
      </c>
      <c r="C66" s="6">
        <v>242201540</v>
      </c>
      <c r="D66" s="7" t="s">
        <v>87</v>
      </c>
      <c r="E66" s="8">
        <v>3586</v>
      </c>
      <c r="F66" s="7" t="s">
        <v>86</v>
      </c>
      <c r="G66" s="9">
        <v>25.7</v>
      </c>
      <c r="H66" s="9">
        <v>1.484</v>
      </c>
      <c r="I66" s="6">
        <v>0</v>
      </c>
      <c r="J66" s="6">
        <v>0</v>
      </c>
      <c r="K66" s="11">
        <f t="shared" ref="K66:K83" si="6">+G66+H66</f>
        <v>27.183999999999997</v>
      </c>
      <c r="L66" s="10">
        <v>0.7</v>
      </c>
      <c r="M66" s="7">
        <v>38.83</v>
      </c>
      <c r="N66" s="9">
        <v>0</v>
      </c>
      <c r="O66" s="6">
        <v>0</v>
      </c>
      <c r="P66" s="7" t="s">
        <v>20</v>
      </c>
    </row>
    <row r="67" spans="1:16" s="7" customFormat="1" x14ac:dyDescent="0.25">
      <c r="A67" s="6">
        <v>28</v>
      </c>
      <c r="B67" s="6">
        <v>250100206</v>
      </c>
      <c r="C67" s="6">
        <v>250100206</v>
      </c>
      <c r="D67" s="7" t="s">
        <v>88</v>
      </c>
      <c r="E67" s="13" t="s">
        <v>89</v>
      </c>
      <c r="F67" s="7" t="s">
        <v>86</v>
      </c>
      <c r="G67" s="9">
        <v>9.74</v>
      </c>
      <c r="H67" s="9">
        <v>1.5</v>
      </c>
      <c r="I67" s="6">
        <v>0</v>
      </c>
      <c r="J67" s="6">
        <v>0</v>
      </c>
      <c r="K67" s="11">
        <f t="shared" si="6"/>
        <v>11.24</v>
      </c>
      <c r="L67" s="10">
        <v>0.65</v>
      </c>
      <c r="M67" s="7">
        <v>17.29</v>
      </c>
      <c r="N67" s="9">
        <v>0.65</v>
      </c>
      <c r="O67" s="9">
        <v>17.292307692307691</v>
      </c>
      <c r="P67" s="7" t="s">
        <v>20</v>
      </c>
    </row>
    <row r="68" spans="1:16" s="7" customFormat="1" x14ac:dyDescent="0.25">
      <c r="A68" s="6">
        <v>29</v>
      </c>
      <c r="B68" s="6">
        <v>250100208</v>
      </c>
      <c r="C68" s="6">
        <v>250100208</v>
      </c>
      <c r="D68" s="7" t="s">
        <v>90</v>
      </c>
      <c r="E68" s="13" t="s">
        <v>91</v>
      </c>
      <c r="F68" s="7" t="s">
        <v>86</v>
      </c>
      <c r="G68" s="9">
        <v>9.74</v>
      </c>
      <c r="H68" s="9">
        <v>1.5</v>
      </c>
      <c r="I68" s="6">
        <v>0</v>
      </c>
      <c r="J68" s="6">
        <v>0</v>
      </c>
      <c r="K68" s="11">
        <f t="shared" si="6"/>
        <v>11.24</v>
      </c>
      <c r="L68" s="10">
        <v>0.65</v>
      </c>
      <c r="M68" s="7">
        <v>17.29</v>
      </c>
      <c r="N68" s="9">
        <v>0.65</v>
      </c>
      <c r="O68" s="9">
        <v>17.292307692307691</v>
      </c>
      <c r="P68" s="7" t="s">
        <v>20</v>
      </c>
    </row>
    <row r="69" spans="1:16" s="7" customFormat="1" x14ac:dyDescent="0.25">
      <c r="A69" s="6">
        <v>33</v>
      </c>
      <c r="B69" s="6">
        <v>250100309</v>
      </c>
      <c r="C69" s="6">
        <v>250100309</v>
      </c>
      <c r="D69" s="7" t="s">
        <v>92</v>
      </c>
      <c r="E69" s="13" t="s">
        <v>93</v>
      </c>
      <c r="F69" s="7" t="s">
        <v>86</v>
      </c>
      <c r="G69" s="9">
        <v>13.27</v>
      </c>
      <c r="H69" s="9">
        <v>1.2</v>
      </c>
      <c r="I69" s="6">
        <v>0</v>
      </c>
      <c r="J69" s="6">
        <v>0</v>
      </c>
      <c r="K69" s="11">
        <f t="shared" si="6"/>
        <v>14.469999999999999</v>
      </c>
      <c r="L69" s="10">
        <v>0.65</v>
      </c>
      <c r="M69" s="7">
        <v>22.26</v>
      </c>
      <c r="N69" s="9">
        <v>0.55000000000000004</v>
      </c>
      <c r="O69" s="9">
        <v>26.309090909090905</v>
      </c>
      <c r="P69" s="7" t="s">
        <v>20</v>
      </c>
    </row>
    <row r="70" spans="1:16" s="7" customFormat="1" x14ac:dyDescent="0.25">
      <c r="A70" s="6">
        <v>34</v>
      </c>
      <c r="B70" s="6">
        <v>250100310</v>
      </c>
      <c r="C70" s="6">
        <v>250100310</v>
      </c>
      <c r="D70" s="7" t="s">
        <v>94</v>
      </c>
      <c r="E70" s="13" t="s">
        <v>95</v>
      </c>
      <c r="F70" s="7" t="s">
        <v>86</v>
      </c>
      <c r="G70" s="9">
        <v>0.876</v>
      </c>
      <c r="H70" s="9">
        <v>0.34</v>
      </c>
      <c r="I70" s="6">
        <v>0</v>
      </c>
      <c r="J70" s="6">
        <v>0</v>
      </c>
      <c r="K70" s="11">
        <f t="shared" si="6"/>
        <v>1.216</v>
      </c>
      <c r="L70" s="10">
        <v>0.65</v>
      </c>
      <c r="M70" s="7">
        <v>1.87</v>
      </c>
      <c r="N70" s="9">
        <v>0.65</v>
      </c>
      <c r="O70" s="9">
        <v>1.8707692307692307</v>
      </c>
      <c r="P70" s="7" t="s">
        <v>20</v>
      </c>
    </row>
    <row r="71" spans="1:16" s="7" customFormat="1" x14ac:dyDescent="0.25">
      <c r="A71" s="6">
        <v>35</v>
      </c>
      <c r="B71" s="6">
        <v>250100311</v>
      </c>
      <c r="C71" s="6">
        <v>250100311</v>
      </c>
      <c r="D71" s="7" t="s">
        <v>96</v>
      </c>
      <c r="E71" s="13" t="s">
        <v>97</v>
      </c>
      <c r="F71" s="7" t="s">
        <v>86</v>
      </c>
      <c r="G71" s="9">
        <v>1.3140000000000001</v>
      </c>
      <c r="H71" s="9">
        <v>0.36</v>
      </c>
      <c r="I71" s="6">
        <v>0</v>
      </c>
      <c r="J71" s="6">
        <v>0</v>
      </c>
      <c r="K71" s="11">
        <f t="shared" si="6"/>
        <v>1.6739999999999999</v>
      </c>
      <c r="L71" s="10">
        <v>0.65</v>
      </c>
      <c r="M71" s="7">
        <v>2.58</v>
      </c>
      <c r="N71" s="9">
        <v>0.65</v>
      </c>
      <c r="O71" s="9">
        <v>2.5753846153846154</v>
      </c>
      <c r="P71" s="7" t="s">
        <v>20</v>
      </c>
    </row>
    <row r="72" spans="1:16" s="7" customFormat="1" x14ac:dyDescent="0.25">
      <c r="A72" s="6">
        <v>37</v>
      </c>
      <c r="B72" s="6">
        <v>250100312</v>
      </c>
      <c r="C72" s="6">
        <v>250100312</v>
      </c>
      <c r="D72" s="7" t="s">
        <v>98</v>
      </c>
      <c r="E72" s="13" t="s">
        <v>99</v>
      </c>
      <c r="F72" s="7" t="s">
        <v>86</v>
      </c>
      <c r="G72" s="9">
        <v>1.6479999999999999</v>
      </c>
      <c r="H72" s="9">
        <v>0.44</v>
      </c>
      <c r="I72" s="6">
        <v>0</v>
      </c>
      <c r="J72" s="6">
        <v>0</v>
      </c>
      <c r="K72" s="11">
        <f t="shared" si="6"/>
        <v>2.0880000000000001</v>
      </c>
      <c r="L72" s="10">
        <v>0.64999999999999991</v>
      </c>
      <c r="M72" s="7">
        <v>3.21</v>
      </c>
      <c r="N72" s="9">
        <v>0.65</v>
      </c>
      <c r="O72" s="9">
        <v>3.2123076923076925</v>
      </c>
      <c r="P72" s="7" t="s">
        <v>20</v>
      </c>
    </row>
    <row r="73" spans="1:16" s="7" customFormat="1" x14ac:dyDescent="0.25">
      <c r="A73" s="6">
        <v>38</v>
      </c>
      <c r="B73" s="6">
        <v>250100313</v>
      </c>
      <c r="C73" s="6">
        <v>250100313</v>
      </c>
      <c r="D73" s="7" t="s">
        <v>100</v>
      </c>
      <c r="E73" s="13" t="s">
        <v>101</v>
      </c>
      <c r="F73" s="7" t="s">
        <v>86</v>
      </c>
      <c r="G73" s="9">
        <v>2.36</v>
      </c>
      <c r="H73" s="9">
        <v>0.75</v>
      </c>
      <c r="I73" s="6">
        <v>0</v>
      </c>
      <c r="J73" s="6">
        <v>0</v>
      </c>
      <c r="K73" s="11">
        <f t="shared" si="6"/>
        <v>3.11</v>
      </c>
      <c r="L73" s="10">
        <v>0.65</v>
      </c>
      <c r="M73" s="7">
        <v>4.78</v>
      </c>
      <c r="N73" s="9">
        <v>0</v>
      </c>
      <c r="O73" s="6">
        <v>0</v>
      </c>
      <c r="P73" s="7" t="s">
        <v>20</v>
      </c>
    </row>
    <row r="74" spans="1:16" s="7" customFormat="1" x14ac:dyDescent="0.25">
      <c r="A74" s="6">
        <v>32</v>
      </c>
      <c r="B74" s="6">
        <v>250100314</v>
      </c>
      <c r="C74" s="6">
        <v>250100314</v>
      </c>
      <c r="D74" s="7" t="s">
        <v>102</v>
      </c>
      <c r="E74" s="13" t="s">
        <v>103</v>
      </c>
      <c r="F74" s="7" t="s">
        <v>86</v>
      </c>
      <c r="G74" s="9">
        <v>0.438</v>
      </c>
      <c r="H74" s="9">
        <v>0.26</v>
      </c>
      <c r="I74" s="6">
        <v>0</v>
      </c>
      <c r="J74" s="6">
        <v>0</v>
      </c>
      <c r="K74" s="11">
        <f t="shared" si="6"/>
        <v>0.69799999999999995</v>
      </c>
      <c r="L74" s="10">
        <v>0.65</v>
      </c>
      <c r="M74" s="7">
        <v>1.07</v>
      </c>
      <c r="N74" s="9">
        <v>0.65</v>
      </c>
      <c r="O74" s="9">
        <v>1.0738461538461537</v>
      </c>
      <c r="P74" s="7" t="s">
        <v>20</v>
      </c>
    </row>
    <row r="75" spans="1:16" s="7" customFormat="1" x14ac:dyDescent="0.25">
      <c r="A75" s="6">
        <v>417</v>
      </c>
      <c r="B75" s="6">
        <v>250150003</v>
      </c>
      <c r="C75" s="6">
        <v>250150003</v>
      </c>
      <c r="D75" s="7" t="s">
        <v>104</v>
      </c>
      <c r="E75" s="8">
        <v>1581</v>
      </c>
      <c r="F75" s="7" t="s">
        <v>86</v>
      </c>
      <c r="G75" s="9">
        <v>0.98460000000000003</v>
      </c>
      <c r="H75" s="9">
        <v>0.22500000000000001</v>
      </c>
      <c r="I75" s="6">
        <v>0</v>
      </c>
      <c r="J75" s="6">
        <v>0</v>
      </c>
      <c r="K75" s="11">
        <f t="shared" si="6"/>
        <v>1.2096</v>
      </c>
      <c r="L75" s="10">
        <v>0.65</v>
      </c>
      <c r="M75" s="7">
        <v>1.86</v>
      </c>
      <c r="N75" s="9">
        <v>0.65</v>
      </c>
      <c r="O75" s="9">
        <v>1.8609230769230769</v>
      </c>
      <c r="P75" s="7" t="s">
        <v>20</v>
      </c>
    </row>
    <row r="76" spans="1:16" s="7" customFormat="1" x14ac:dyDescent="0.25">
      <c r="A76" s="6">
        <v>419</v>
      </c>
      <c r="B76" s="6">
        <v>250150203</v>
      </c>
      <c r="C76" s="6">
        <v>250150203</v>
      </c>
      <c r="D76" s="7" t="s">
        <v>105</v>
      </c>
      <c r="E76" s="8">
        <v>1583</v>
      </c>
      <c r="F76" s="7" t="s">
        <v>86</v>
      </c>
      <c r="G76" s="9">
        <v>2.0575000000000001</v>
      </c>
      <c r="H76" s="9">
        <v>0.52729999999999999</v>
      </c>
      <c r="I76" s="6">
        <v>0</v>
      </c>
      <c r="J76" s="6">
        <v>0</v>
      </c>
      <c r="K76" s="11">
        <f t="shared" si="6"/>
        <v>2.5848</v>
      </c>
      <c r="L76" s="10">
        <v>0.65</v>
      </c>
      <c r="M76" s="7">
        <v>3.98</v>
      </c>
      <c r="N76" s="9">
        <v>0</v>
      </c>
      <c r="O76" s="6">
        <v>0</v>
      </c>
      <c r="P76" s="7" t="s">
        <v>20</v>
      </c>
    </row>
    <row r="77" spans="1:16" s="7" customFormat="1" x14ac:dyDescent="0.25">
      <c r="A77" s="6">
        <v>421</v>
      </c>
      <c r="B77" s="6">
        <v>250150204</v>
      </c>
      <c r="C77" s="6">
        <v>250150204</v>
      </c>
      <c r="D77" s="7" t="s">
        <v>106</v>
      </c>
      <c r="E77" s="8">
        <v>1584</v>
      </c>
      <c r="F77" s="7" t="s">
        <v>86</v>
      </c>
      <c r="G77" s="9">
        <v>2.4933000000000001</v>
      </c>
      <c r="H77" s="9">
        <v>0.703125</v>
      </c>
      <c r="I77" s="6">
        <v>0</v>
      </c>
      <c r="J77" s="6">
        <v>0</v>
      </c>
      <c r="K77" s="11">
        <f t="shared" si="6"/>
        <v>3.1964250000000001</v>
      </c>
      <c r="L77" s="10">
        <v>0.65</v>
      </c>
      <c r="M77" s="7">
        <v>4.92</v>
      </c>
      <c r="N77" s="9">
        <v>0</v>
      </c>
      <c r="O77" s="6">
        <v>0</v>
      </c>
      <c r="P77" s="7" t="s">
        <v>20</v>
      </c>
    </row>
    <row r="78" spans="1:16" s="7" customFormat="1" x14ac:dyDescent="0.25">
      <c r="A78" s="6">
        <v>557</v>
      </c>
      <c r="B78" s="6">
        <v>250210100</v>
      </c>
      <c r="D78" s="7" t="s">
        <v>107</v>
      </c>
      <c r="E78" s="8">
        <v>1658</v>
      </c>
      <c r="F78" s="7" t="s">
        <v>86</v>
      </c>
      <c r="G78" s="9">
        <v>198.84</v>
      </c>
      <c r="H78" s="9">
        <v>2.9531000000000001</v>
      </c>
      <c r="I78" s="6">
        <v>0</v>
      </c>
      <c r="J78" s="6">
        <v>0</v>
      </c>
      <c r="K78" s="11">
        <f t="shared" si="6"/>
        <v>201.79310000000001</v>
      </c>
      <c r="L78" s="10">
        <v>0.65</v>
      </c>
      <c r="M78" s="7">
        <v>310.45</v>
      </c>
      <c r="N78" s="9">
        <v>0.49</v>
      </c>
      <c r="O78" s="9">
        <v>411.82265306122451</v>
      </c>
      <c r="P78" s="7" t="s">
        <v>20</v>
      </c>
    </row>
    <row r="79" spans="1:16" s="7" customFormat="1" x14ac:dyDescent="0.25">
      <c r="A79" s="6">
        <v>79</v>
      </c>
      <c r="B79" s="6">
        <v>250210108</v>
      </c>
      <c r="C79" s="6">
        <v>250210108</v>
      </c>
      <c r="D79" s="7" t="s">
        <v>108</v>
      </c>
      <c r="E79" s="13" t="s">
        <v>109</v>
      </c>
      <c r="F79" s="7" t="s">
        <v>86</v>
      </c>
      <c r="G79" s="9">
        <v>40.79</v>
      </c>
      <c r="H79" s="9">
        <v>1.27</v>
      </c>
      <c r="I79" s="6">
        <v>0</v>
      </c>
      <c r="J79" s="6">
        <v>0</v>
      </c>
      <c r="K79" s="11">
        <f t="shared" si="6"/>
        <v>42.06</v>
      </c>
      <c r="L79" s="10">
        <v>0.7</v>
      </c>
      <c r="M79" s="7">
        <v>60.09</v>
      </c>
      <c r="N79" s="9">
        <v>1.2018</v>
      </c>
      <c r="O79" s="9">
        <v>34.99750374438343</v>
      </c>
      <c r="P79" s="7" t="s">
        <v>20</v>
      </c>
    </row>
    <row r="80" spans="1:16" s="7" customFormat="1" x14ac:dyDescent="0.25">
      <c r="A80" s="6">
        <v>552</v>
      </c>
      <c r="B80" s="6">
        <v>250210109</v>
      </c>
      <c r="D80" s="7" t="s">
        <v>110</v>
      </c>
      <c r="E80" s="13" t="s">
        <v>111</v>
      </c>
      <c r="F80" s="7" t="s">
        <v>86</v>
      </c>
      <c r="G80" s="9">
        <v>30.56</v>
      </c>
      <c r="H80" s="9">
        <v>1.27</v>
      </c>
      <c r="I80" s="6">
        <v>0</v>
      </c>
      <c r="J80" s="6">
        <v>0</v>
      </c>
      <c r="K80" s="11">
        <f t="shared" si="6"/>
        <v>31.83</v>
      </c>
      <c r="L80" s="10">
        <v>0.7</v>
      </c>
      <c r="M80" s="7">
        <v>45.47</v>
      </c>
      <c r="N80" s="9">
        <v>0.45469999999999999</v>
      </c>
      <c r="O80" s="9">
        <v>70.002199252254229</v>
      </c>
      <c r="P80" s="7" t="s">
        <v>20</v>
      </c>
    </row>
    <row r="81" spans="1:16" s="7" customFormat="1" x14ac:dyDescent="0.25">
      <c r="A81" s="6">
        <v>76</v>
      </c>
      <c r="B81" s="6">
        <v>250210110</v>
      </c>
      <c r="C81" s="6">
        <v>250210110</v>
      </c>
      <c r="D81" s="7" t="s">
        <v>112</v>
      </c>
      <c r="E81" s="8">
        <v>3582</v>
      </c>
      <c r="F81" s="7" t="s">
        <v>86</v>
      </c>
      <c r="G81" s="9">
        <v>30.77</v>
      </c>
      <c r="H81" s="9">
        <v>1.64</v>
      </c>
      <c r="I81" s="6">
        <v>0</v>
      </c>
      <c r="J81" s="6">
        <v>0</v>
      </c>
      <c r="K81" s="11">
        <f t="shared" si="6"/>
        <v>32.409999999999997</v>
      </c>
      <c r="L81" s="10">
        <v>0.7</v>
      </c>
      <c r="M81" s="7">
        <v>46.3</v>
      </c>
      <c r="N81" s="9">
        <v>0</v>
      </c>
      <c r="O81" s="6">
        <v>0</v>
      </c>
      <c r="P81" s="7" t="s">
        <v>20</v>
      </c>
    </row>
    <row r="82" spans="1:16" s="7" customFormat="1" x14ac:dyDescent="0.25">
      <c r="A82" s="6">
        <v>81</v>
      </c>
      <c r="B82" s="6">
        <v>250210111</v>
      </c>
      <c r="C82" s="6">
        <v>250210111</v>
      </c>
      <c r="D82" s="7" t="s">
        <v>113</v>
      </c>
      <c r="E82" s="8">
        <v>1633</v>
      </c>
      <c r="F82" s="7" t="s">
        <v>86</v>
      </c>
      <c r="G82" s="9">
        <v>40.19</v>
      </c>
      <c r="H82" s="9">
        <v>2.95</v>
      </c>
      <c r="I82" s="6">
        <v>0</v>
      </c>
      <c r="J82" s="6">
        <v>0</v>
      </c>
      <c r="K82" s="11">
        <f t="shared" si="6"/>
        <v>43.14</v>
      </c>
      <c r="L82" s="10">
        <v>0.65</v>
      </c>
      <c r="M82" s="7">
        <v>66.37</v>
      </c>
      <c r="N82" s="9">
        <v>0</v>
      </c>
      <c r="O82" s="6">
        <v>0</v>
      </c>
      <c r="P82" s="7" t="s">
        <v>20</v>
      </c>
    </row>
    <row r="83" spans="1:16" s="7" customFormat="1" x14ac:dyDescent="0.25">
      <c r="A83" s="6">
        <v>78</v>
      </c>
      <c r="B83" s="6">
        <v>250210213</v>
      </c>
      <c r="C83" s="6">
        <v>250210213</v>
      </c>
      <c r="D83" s="7" t="s">
        <v>114</v>
      </c>
      <c r="E83" s="8">
        <v>3589</v>
      </c>
      <c r="F83" s="7" t="s">
        <v>86</v>
      </c>
      <c r="G83" s="9">
        <v>46.32</v>
      </c>
      <c r="H83" s="9">
        <v>1.72</v>
      </c>
      <c r="I83" s="6">
        <v>0</v>
      </c>
      <c r="J83" s="6">
        <v>0</v>
      </c>
      <c r="K83" s="11">
        <f t="shared" si="6"/>
        <v>48.04</v>
      </c>
      <c r="L83" s="10">
        <v>0.7</v>
      </c>
      <c r="M83" s="7">
        <v>68.63</v>
      </c>
      <c r="N83" s="9">
        <v>0</v>
      </c>
      <c r="O83" s="6">
        <v>0</v>
      </c>
      <c r="P83" s="7" t="s">
        <v>20</v>
      </c>
    </row>
    <row r="86" spans="1:16" x14ac:dyDescent="0.25">
      <c r="J86" s="16"/>
    </row>
  </sheetData>
  <autoFilter ref="A2:Q83" xr:uid="{6A0DC12D-CC91-44B0-BCFD-B24F03435104}"/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2023-09-30T18:06:42Z</dcterms:created>
  <dcterms:modified xsi:type="dcterms:W3CDTF">2023-09-30T18:17:31Z</dcterms:modified>
</cp:coreProperties>
</file>