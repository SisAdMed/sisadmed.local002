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Utilitarios\Contabilidad\"/>
    </mc:Choice>
  </mc:AlternateContent>
  <xr:revisionPtr revIDLastSave="0" documentId="13_ncr:1_{B32FAA15-3779-4D1F-A5EA-148A58DD610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Hoja1!$A$2:$AC$599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 s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L535" i="1"/>
  <c r="L179" i="1"/>
  <c r="L536" i="1"/>
  <c r="L3" i="1"/>
  <c r="L468" i="1"/>
  <c r="L327" i="1"/>
  <c r="L55" i="1"/>
  <c r="L71" i="1"/>
  <c r="L72" i="1"/>
  <c r="L320" i="1"/>
  <c r="L537" i="1"/>
  <c r="L59" i="1"/>
  <c r="L402" i="1"/>
  <c r="L538" i="1"/>
  <c r="L301" i="1"/>
  <c r="L539" i="1"/>
  <c r="L250" i="1"/>
  <c r="L299" i="1"/>
  <c r="L300" i="1"/>
  <c r="L540" i="1"/>
  <c r="L541" i="1"/>
  <c r="L148" i="1"/>
  <c r="L429" i="1"/>
  <c r="L430" i="1"/>
  <c r="L157" i="1"/>
  <c r="L454" i="1"/>
  <c r="L379" i="1"/>
  <c r="L385" i="1"/>
  <c r="L455" i="1"/>
  <c r="L456" i="1"/>
  <c r="L127" i="1"/>
  <c r="L155" i="1"/>
  <c r="L542" i="1"/>
  <c r="L543" i="1"/>
  <c r="L128" i="1"/>
  <c r="L156" i="1"/>
  <c r="L158" i="1"/>
  <c r="L544" i="1"/>
  <c r="L180" i="1"/>
  <c r="L545" i="1"/>
  <c r="L181" i="1"/>
  <c r="L182" i="1"/>
  <c r="L21" i="1"/>
  <c r="L10" i="1"/>
  <c r="L459" i="1"/>
  <c r="L546" i="1"/>
  <c r="L547" i="1"/>
  <c r="L548" i="1"/>
  <c r="L497" i="1"/>
  <c r="L460" i="1"/>
  <c r="L461" i="1"/>
  <c r="L183" i="1"/>
  <c r="L184" i="1"/>
  <c r="L549" i="1"/>
  <c r="L185" i="1"/>
  <c r="L550" i="1"/>
  <c r="L186" i="1"/>
  <c r="L187" i="1"/>
  <c r="L11" i="1"/>
  <c r="L324" i="1"/>
  <c r="L325" i="1"/>
  <c r="L498" i="1"/>
  <c r="L551" i="1"/>
  <c r="L552" i="1"/>
  <c r="L499" i="1"/>
  <c r="L500" i="1"/>
  <c r="L553" i="1"/>
  <c r="L188" i="1"/>
  <c r="L467" i="1"/>
  <c r="L554" i="1"/>
  <c r="L555" i="1"/>
  <c r="L77" i="1"/>
  <c r="L556" i="1"/>
  <c r="L62" i="1"/>
  <c r="L557" i="1"/>
  <c r="L343" i="1"/>
  <c r="L558" i="1"/>
  <c r="L559" i="1"/>
  <c r="L509" i="1"/>
  <c r="L560" i="1"/>
  <c r="L399" i="1"/>
  <c r="L410" i="1"/>
  <c r="L561" i="1"/>
  <c r="L306" i="1"/>
  <c r="L452" i="1"/>
  <c r="L562" i="1"/>
  <c r="L563" i="1"/>
  <c r="L564" i="1"/>
  <c r="L309" i="1"/>
  <c r="L57" i="1"/>
  <c r="L565" i="1"/>
  <c r="L53" i="1"/>
  <c r="L566" i="1"/>
  <c r="L242" i="1"/>
  <c r="L304" i="1"/>
  <c r="L217" i="1"/>
  <c r="L351" i="1"/>
  <c r="L391" i="1"/>
  <c r="L384" i="1"/>
  <c r="L392" i="1"/>
  <c r="L490" i="1"/>
  <c r="L12" i="1"/>
  <c r="L330" i="1"/>
  <c r="L483" i="1"/>
  <c r="L567" i="1"/>
  <c r="L171" i="1"/>
  <c r="L44" i="1"/>
  <c r="L169" i="1"/>
  <c r="L568" i="1"/>
  <c r="L159" i="1"/>
  <c r="L8" i="1"/>
  <c r="L243" i="1"/>
  <c r="L288" i="1"/>
  <c r="L569" i="1"/>
  <c r="L28" i="1"/>
  <c r="L227" i="1"/>
  <c r="L149" i="1"/>
  <c r="L56" i="1"/>
  <c r="L394" i="1"/>
  <c r="L570" i="1"/>
  <c r="L571" i="1"/>
  <c r="L63" i="1"/>
  <c r="L572" i="1"/>
  <c r="L573" i="1"/>
  <c r="L574" i="1"/>
  <c r="L575" i="1"/>
  <c r="L395" i="1"/>
  <c r="L576" i="1"/>
  <c r="L512" i="1"/>
  <c r="L577" i="1"/>
  <c r="L398" i="1"/>
  <c r="L445" i="1"/>
  <c r="L443" i="1"/>
  <c r="L412" i="1"/>
  <c r="L413" i="1"/>
  <c r="L373" i="1"/>
  <c r="L357" i="1"/>
  <c r="L27" i="1"/>
  <c r="L26" i="1"/>
  <c r="L78" i="1"/>
  <c r="L578" i="1"/>
  <c r="L514" i="1"/>
  <c r="L25" i="1"/>
  <c r="L214" i="1"/>
  <c r="L579" i="1"/>
  <c r="L22" i="1"/>
  <c r="L580" i="1"/>
  <c r="L284" i="1"/>
  <c r="L405" i="1"/>
  <c r="L406" i="1"/>
  <c r="L407" i="1"/>
  <c r="L408" i="1"/>
  <c r="L314" i="1"/>
  <c r="L315" i="1"/>
  <c r="L316" i="1"/>
  <c r="L317" i="1"/>
  <c r="L414" i="1"/>
  <c r="L415" i="1"/>
  <c r="L416" i="1"/>
  <c r="L481" i="1"/>
  <c r="L581" i="1"/>
  <c r="L582" i="1"/>
  <c r="L281" i="1"/>
  <c r="L583" i="1"/>
  <c r="L341" i="1"/>
  <c r="L340" i="1"/>
  <c r="L584" i="1"/>
  <c r="L585" i="1"/>
  <c r="L586" i="1"/>
  <c r="L587" i="1"/>
  <c r="L282" i="1"/>
  <c r="L417" i="1"/>
  <c r="L418" i="1"/>
  <c r="L419" i="1"/>
  <c r="L420" i="1"/>
  <c r="L435" i="1"/>
  <c r="L436" i="1"/>
  <c r="L437" i="1"/>
  <c r="L274" i="1"/>
  <c r="L588" i="1"/>
  <c r="L76" i="1"/>
  <c r="L589" i="1"/>
  <c r="L152" i="1"/>
  <c r="L291" i="1"/>
  <c r="L292" i="1"/>
  <c r="L590" i="1"/>
  <c r="L591" i="1"/>
  <c r="L178" i="1"/>
  <c r="L238" i="1"/>
  <c r="L123" i="1"/>
  <c r="L275" i="1"/>
  <c r="L146" i="1"/>
  <c r="L592" i="1"/>
  <c r="L593" i="1"/>
  <c r="L594" i="1"/>
  <c r="L595" i="1"/>
  <c r="L596" i="1"/>
  <c r="L597" i="1"/>
  <c r="L598" i="1"/>
  <c r="G535" i="1"/>
  <c r="K535" i="1" s="1"/>
  <c r="G179" i="1"/>
  <c r="K179" i="1" s="1"/>
  <c r="M179" i="1" s="1"/>
  <c r="G536" i="1"/>
  <c r="K536" i="1" s="1"/>
  <c r="G3" i="1"/>
  <c r="K3" i="1" s="1"/>
  <c r="M3" i="1" s="1"/>
  <c r="G468" i="1"/>
  <c r="K468" i="1" s="1"/>
  <c r="G327" i="1"/>
  <c r="K327" i="1" s="1"/>
  <c r="G55" i="1"/>
  <c r="G71" i="1"/>
  <c r="G72" i="1"/>
  <c r="K72" i="1" s="1"/>
  <c r="M72" i="1" s="1"/>
  <c r="G320" i="1"/>
  <c r="K320" i="1" s="1"/>
  <c r="M320" i="1" s="1"/>
  <c r="G537" i="1"/>
  <c r="K537" i="1" s="1"/>
  <c r="G59" i="1"/>
  <c r="G402" i="1"/>
  <c r="G538" i="1"/>
  <c r="K538" i="1" s="1"/>
  <c r="G301" i="1"/>
  <c r="K301" i="1" s="1"/>
  <c r="M301" i="1" s="1"/>
  <c r="G539" i="1"/>
  <c r="K539" i="1" s="1"/>
  <c r="G250" i="1"/>
  <c r="G299" i="1"/>
  <c r="K299" i="1" s="1"/>
  <c r="G300" i="1"/>
  <c r="K300" i="1" s="1"/>
  <c r="M300" i="1" s="1"/>
  <c r="G540" i="1"/>
  <c r="K540" i="1" s="1"/>
  <c r="G541" i="1"/>
  <c r="K541" i="1" s="1"/>
  <c r="G148" i="1"/>
  <c r="K148" i="1" s="1"/>
  <c r="G429" i="1"/>
  <c r="G430" i="1"/>
  <c r="G157" i="1"/>
  <c r="K157" i="1" s="1"/>
  <c r="M157" i="1" s="1"/>
  <c r="G454" i="1"/>
  <c r="G379" i="1"/>
  <c r="K379" i="1" s="1"/>
  <c r="M379" i="1" s="1"/>
  <c r="G385" i="1"/>
  <c r="K385" i="1" s="1"/>
  <c r="M385" i="1" s="1"/>
  <c r="G455" i="1"/>
  <c r="G456" i="1"/>
  <c r="K456" i="1" s="1"/>
  <c r="M456" i="1" s="1"/>
  <c r="G127" i="1"/>
  <c r="K127" i="1" s="1"/>
  <c r="M127" i="1" s="1"/>
  <c r="G155" i="1"/>
  <c r="K155" i="1" s="1"/>
  <c r="M155" i="1" s="1"/>
  <c r="G542" i="1"/>
  <c r="K542" i="1" s="1"/>
  <c r="G543" i="1"/>
  <c r="K543" i="1" s="1"/>
  <c r="G128" i="1"/>
  <c r="K128" i="1" s="1"/>
  <c r="G156" i="1"/>
  <c r="K156" i="1" s="1"/>
  <c r="M156" i="1" s="1"/>
  <c r="G158" i="1"/>
  <c r="K158" i="1" s="1"/>
  <c r="G544" i="1"/>
  <c r="K544" i="1" s="1"/>
  <c r="G180" i="1"/>
  <c r="K180" i="1" s="1"/>
  <c r="G545" i="1"/>
  <c r="G181" i="1"/>
  <c r="K181" i="1" s="1"/>
  <c r="M181" i="1" s="1"/>
  <c r="G182" i="1"/>
  <c r="G21" i="1"/>
  <c r="K21" i="1" s="1"/>
  <c r="M21" i="1" s="1"/>
  <c r="G10" i="1"/>
  <c r="K10" i="1" s="1"/>
  <c r="M10" i="1" s="1"/>
  <c r="G459" i="1"/>
  <c r="G546" i="1"/>
  <c r="K546" i="1" s="1"/>
  <c r="G547" i="1"/>
  <c r="K547" i="1" s="1"/>
  <c r="G548" i="1"/>
  <c r="K548" i="1" s="1"/>
  <c r="G497" i="1"/>
  <c r="K497" i="1" s="1"/>
  <c r="M497" i="1" s="1"/>
  <c r="G460" i="1"/>
  <c r="K460" i="1" s="1"/>
  <c r="G461" i="1"/>
  <c r="K461" i="1" s="1"/>
  <c r="M461" i="1" s="1"/>
  <c r="G183" i="1"/>
  <c r="K183" i="1" s="1"/>
  <c r="M183" i="1" s="1"/>
  <c r="G184" i="1"/>
  <c r="K184" i="1" s="1"/>
  <c r="G549" i="1"/>
  <c r="K549" i="1" s="1"/>
  <c r="G185" i="1"/>
  <c r="G550" i="1"/>
  <c r="K550" i="1" s="1"/>
  <c r="G186" i="1"/>
  <c r="K186" i="1" s="1"/>
  <c r="M186" i="1" s="1"/>
  <c r="G187" i="1"/>
  <c r="K187" i="1" s="1"/>
  <c r="M187" i="1" s="1"/>
  <c r="G11" i="1"/>
  <c r="K11" i="1" s="1"/>
  <c r="M11" i="1" s="1"/>
  <c r="G324" i="1"/>
  <c r="K324" i="1" s="1"/>
  <c r="M324" i="1" s="1"/>
  <c r="G325" i="1"/>
  <c r="K325" i="1" s="1"/>
  <c r="M325" i="1" s="1"/>
  <c r="G498" i="1"/>
  <c r="K498" i="1" s="1"/>
  <c r="M498" i="1" s="1"/>
  <c r="G551" i="1"/>
  <c r="K551" i="1" s="1"/>
  <c r="G552" i="1"/>
  <c r="K552" i="1" s="1"/>
  <c r="G499" i="1"/>
  <c r="K499" i="1" s="1"/>
  <c r="M499" i="1" s="1"/>
  <c r="G500" i="1"/>
  <c r="K500" i="1" s="1"/>
  <c r="G553" i="1"/>
  <c r="K553" i="1" s="1"/>
  <c r="G188" i="1"/>
  <c r="K188" i="1" s="1"/>
  <c r="M188" i="1" s="1"/>
  <c r="G467" i="1"/>
  <c r="K467" i="1" s="1"/>
  <c r="G554" i="1"/>
  <c r="K554" i="1" s="1"/>
  <c r="G555" i="1"/>
  <c r="K555" i="1" s="1"/>
  <c r="G77" i="1"/>
  <c r="G556" i="1"/>
  <c r="K556" i="1" s="1"/>
  <c r="G62" i="1"/>
  <c r="K62" i="1" s="1"/>
  <c r="M62" i="1" s="1"/>
  <c r="G557" i="1"/>
  <c r="K557" i="1" s="1"/>
  <c r="G343" i="1"/>
  <c r="K343" i="1" s="1"/>
  <c r="M343" i="1" s="1"/>
  <c r="G558" i="1"/>
  <c r="G559" i="1"/>
  <c r="K559" i="1" s="1"/>
  <c r="G509" i="1"/>
  <c r="K509" i="1" s="1"/>
  <c r="M509" i="1" s="1"/>
  <c r="G560" i="1"/>
  <c r="K560" i="1" s="1"/>
  <c r="G399" i="1"/>
  <c r="K399" i="1" s="1"/>
  <c r="M399" i="1" s="1"/>
  <c r="G410" i="1"/>
  <c r="K410" i="1" s="1"/>
  <c r="G561" i="1"/>
  <c r="K561" i="1" s="1"/>
  <c r="G306" i="1"/>
  <c r="K306" i="1" s="1"/>
  <c r="M306" i="1" s="1"/>
  <c r="G452" i="1"/>
  <c r="K452" i="1" s="1"/>
  <c r="G562" i="1"/>
  <c r="K562" i="1" s="1"/>
  <c r="G563" i="1"/>
  <c r="G564" i="1"/>
  <c r="G309" i="1"/>
  <c r="K309" i="1" s="1"/>
  <c r="M309" i="1" s="1"/>
  <c r="G57" i="1"/>
  <c r="G565" i="1"/>
  <c r="K565" i="1" s="1"/>
  <c r="G53" i="1"/>
  <c r="K53" i="1" s="1"/>
  <c r="M53" i="1" s="1"/>
  <c r="G566" i="1"/>
  <c r="K566" i="1" s="1"/>
  <c r="G242" i="1"/>
  <c r="K242" i="1" s="1"/>
  <c r="M242" i="1" s="1"/>
  <c r="G304" i="1"/>
  <c r="K304" i="1" s="1"/>
  <c r="M304" i="1" s="1"/>
  <c r="G217" i="1"/>
  <c r="K217" i="1" s="1"/>
  <c r="M217" i="1" s="1"/>
  <c r="G351" i="1"/>
  <c r="G391" i="1"/>
  <c r="K391" i="1" s="1"/>
  <c r="G384" i="1"/>
  <c r="K384" i="1" s="1"/>
  <c r="G392" i="1"/>
  <c r="K392" i="1" s="1"/>
  <c r="M392" i="1" s="1"/>
  <c r="G490" i="1"/>
  <c r="K490" i="1" s="1"/>
  <c r="G12" i="1"/>
  <c r="K12" i="1" s="1"/>
  <c r="G330" i="1"/>
  <c r="K330" i="1" s="1"/>
  <c r="M330" i="1" s="1"/>
  <c r="G483" i="1"/>
  <c r="K483" i="1" s="1"/>
  <c r="M483" i="1" s="1"/>
  <c r="G567" i="1"/>
  <c r="K567" i="1" s="1"/>
  <c r="G171" i="1"/>
  <c r="K171" i="1" s="1"/>
  <c r="M171" i="1" s="1"/>
  <c r="G44" i="1"/>
  <c r="K44" i="1" s="1"/>
  <c r="M44" i="1" s="1"/>
  <c r="G169" i="1"/>
  <c r="K169" i="1" s="1"/>
  <c r="M169" i="1" s="1"/>
  <c r="G568" i="1"/>
  <c r="K568" i="1" s="1"/>
  <c r="G159" i="1"/>
  <c r="K159" i="1" s="1"/>
  <c r="M159" i="1" s="1"/>
  <c r="G8" i="1"/>
  <c r="K8" i="1" s="1"/>
  <c r="M8" i="1" s="1"/>
  <c r="G243" i="1"/>
  <c r="K243" i="1" s="1"/>
  <c r="M243" i="1" s="1"/>
  <c r="G288" i="1"/>
  <c r="K288" i="1" s="1"/>
  <c r="M288" i="1" s="1"/>
  <c r="G569" i="1"/>
  <c r="K569" i="1" s="1"/>
  <c r="G28" i="1"/>
  <c r="K28" i="1" s="1"/>
  <c r="M28" i="1" s="1"/>
  <c r="G227" i="1"/>
  <c r="K227" i="1" s="1"/>
  <c r="M227" i="1" s="1"/>
  <c r="G149" i="1"/>
  <c r="K149" i="1" s="1"/>
  <c r="G56" i="1"/>
  <c r="K56" i="1" s="1"/>
  <c r="G394" i="1"/>
  <c r="K394" i="1" s="1"/>
  <c r="G570" i="1"/>
  <c r="G571" i="1"/>
  <c r="K571" i="1" s="1"/>
  <c r="G63" i="1"/>
  <c r="K63" i="1" s="1"/>
  <c r="M63" i="1" s="1"/>
  <c r="G572" i="1"/>
  <c r="K572" i="1" s="1"/>
  <c r="G573" i="1"/>
  <c r="K573" i="1" s="1"/>
  <c r="G574" i="1"/>
  <c r="G575" i="1"/>
  <c r="K575" i="1" s="1"/>
  <c r="G395" i="1"/>
  <c r="K395" i="1" s="1"/>
  <c r="M395" i="1" s="1"/>
  <c r="G576" i="1"/>
  <c r="K576" i="1" s="1"/>
  <c r="G512" i="1"/>
  <c r="G577" i="1"/>
  <c r="K577" i="1" s="1"/>
  <c r="G398" i="1"/>
  <c r="K398" i="1" s="1"/>
  <c r="M398" i="1" s="1"/>
  <c r="G445" i="1"/>
  <c r="K445" i="1" s="1"/>
  <c r="M445" i="1" s="1"/>
  <c r="G443" i="1"/>
  <c r="K443" i="1" s="1"/>
  <c r="G412" i="1"/>
  <c r="K412" i="1" s="1"/>
  <c r="G413" i="1"/>
  <c r="G373" i="1"/>
  <c r="G357" i="1"/>
  <c r="K357" i="1" s="1"/>
  <c r="M357" i="1" s="1"/>
  <c r="G27" i="1"/>
  <c r="K27" i="1" s="1"/>
  <c r="M27" i="1" s="1"/>
  <c r="G26" i="1"/>
  <c r="K26" i="1" s="1"/>
  <c r="M26" i="1" s="1"/>
  <c r="G78" i="1"/>
  <c r="K78" i="1" s="1"/>
  <c r="M78" i="1" s="1"/>
  <c r="G578" i="1"/>
  <c r="K578" i="1" s="1"/>
  <c r="G514" i="1"/>
  <c r="K514" i="1" s="1"/>
  <c r="M514" i="1" s="1"/>
  <c r="G25" i="1"/>
  <c r="K25" i="1" s="1"/>
  <c r="M25" i="1" s="1"/>
  <c r="G214" i="1"/>
  <c r="K214" i="1" s="1"/>
  <c r="M214" i="1" s="1"/>
  <c r="G579" i="1"/>
  <c r="K579" i="1" s="1"/>
  <c r="G22" i="1"/>
  <c r="K22" i="1" s="1"/>
  <c r="G580" i="1"/>
  <c r="K580" i="1" s="1"/>
  <c r="G284" i="1"/>
  <c r="K284" i="1" s="1"/>
  <c r="M284" i="1" s="1"/>
  <c r="G405" i="1"/>
  <c r="K405" i="1" s="1"/>
  <c r="G406" i="1"/>
  <c r="K406" i="1" s="1"/>
  <c r="G407" i="1"/>
  <c r="K407" i="1" s="1"/>
  <c r="G408" i="1"/>
  <c r="K408" i="1" s="1"/>
  <c r="M408" i="1" s="1"/>
  <c r="G314" i="1"/>
  <c r="K314" i="1" s="1"/>
  <c r="M314" i="1" s="1"/>
  <c r="G315" i="1"/>
  <c r="G316" i="1"/>
  <c r="K316" i="1" s="1"/>
  <c r="M316" i="1" s="1"/>
  <c r="G317" i="1"/>
  <c r="K317" i="1" s="1"/>
  <c r="M317" i="1" s="1"/>
  <c r="G414" i="1"/>
  <c r="K414" i="1" s="1"/>
  <c r="M414" i="1" s="1"/>
  <c r="G415" i="1"/>
  <c r="K415" i="1" s="1"/>
  <c r="M415" i="1" s="1"/>
  <c r="G416" i="1"/>
  <c r="K416" i="1" s="1"/>
  <c r="M416" i="1" s="1"/>
  <c r="G481" i="1"/>
  <c r="K481" i="1" s="1"/>
  <c r="M481" i="1" s="1"/>
  <c r="G581" i="1"/>
  <c r="K581" i="1" s="1"/>
  <c r="G582" i="1"/>
  <c r="K582" i="1" s="1"/>
  <c r="G281" i="1"/>
  <c r="K281" i="1" s="1"/>
  <c r="M281" i="1" s="1"/>
  <c r="G583" i="1"/>
  <c r="K583" i="1" s="1"/>
  <c r="G341" i="1"/>
  <c r="K341" i="1" s="1"/>
  <c r="G340" i="1"/>
  <c r="K340" i="1" s="1"/>
  <c r="G584" i="1"/>
  <c r="K584" i="1" s="1"/>
  <c r="G585" i="1"/>
  <c r="K585" i="1" s="1"/>
  <c r="G586" i="1"/>
  <c r="K586" i="1" s="1"/>
  <c r="G587" i="1"/>
  <c r="G282" i="1"/>
  <c r="K282" i="1" s="1"/>
  <c r="M282" i="1" s="1"/>
  <c r="G417" i="1"/>
  <c r="K417" i="1" s="1"/>
  <c r="M417" i="1" s="1"/>
  <c r="G418" i="1"/>
  <c r="K418" i="1" s="1"/>
  <c r="M418" i="1" s="1"/>
  <c r="G419" i="1"/>
  <c r="K419" i="1" s="1"/>
  <c r="M419" i="1" s="1"/>
  <c r="G420" i="1"/>
  <c r="K420" i="1" s="1"/>
  <c r="M420" i="1" s="1"/>
  <c r="G435" i="1"/>
  <c r="K435" i="1" s="1"/>
  <c r="M435" i="1" s="1"/>
  <c r="G436" i="1"/>
  <c r="K436" i="1" s="1"/>
  <c r="M436" i="1" s="1"/>
  <c r="G437" i="1"/>
  <c r="K437" i="1" s="1"/>
  <c r="G274" i="1"/>
  <c r="K274" i="1" s="1"/>
  <c r="M274" i="1" s="1"/>
  <c r="G588" i="1"/>
  <c r="K588" i="1" s="1"/>
  <c r="G76" i="1"/>
  <c r="K76" i="1" s="1"/>
  <c r="G589" i="1"/>
  <c r="K589" i="1" s="1"/>
  <c r="G152" i="1"/>
  <c r="K152" i="1" s="1"/>
  <c r="G291" i="1"/>
  <c r="K291" i="1" s="1"/>
  <c r="M291" i="1" s="1"/>
  <c r="G292" i="1"/>
  <c r="K292" i="1" s="1"/>
  <c r="M292" i="1" s="1"/>
  <c r="G590" i="1"/>
  <c r="K590" i="1" s="1"/>
  <c r="G591" i="1"/>
  <c r="K591" i="1" s="1"/>
  <c r="G178" i="1"/>
  <c r="K178" i="1" s="1"/>
  <c r="M178" i="1" s="1"/>
  <c r="G238" i="1"/>
  <c r="K238" i="1" s="1"/>
  <c r="M238" i="1" s="1"/>
  <c r="G123" i="1"/>
  <c r="K123" i="1" s="1"/>
  <c r="M123" i="1" s="1"/>
  <c r="G275" i="1"/>
  <c r="K275" i="1" s="1"/>
  <c r="M275" i="1" s="1"/>
  <c r="G146" i="1"/>
  <c r="K146" i="1" s="1"/>
  <c r="M146" i="1" s="1"/>
  <c r="G592" i="1"/>
  <c r="K592" i="1" s="1"/>
  <c r="G593" i="1"/>
  <c r="K593" i="1" s="1"/>
  <c r="G594" i="1"/>
  <c r="K594" i="1" s="1"/>
  <c r="G595" i="1"/>
  <c r="K595" i="1" s="1"/>
  <c r="G596" i="1"/>
  <c r="K596" i="1" s="1"/>
  <c r="G597" i="1"/>
  <c r="K597" i="1" s="1"/>
  <c r="G598" i="1"/>
  <c r="K598" i="1" s="1"/>
  <c r="K55" i="1"/>
  <c r="K71" i="1"/>
  <c r="M71" i="1" s="1"/>
  <c r="K59" i="1"/>
  <c r="M59" i="1" s="1"/>
  <c r="K402" i="1"/>
  <c r="M402" i="1" s="1"/>
  <c r="K250" i="1"/>
  <c r="M250" i="1" s="1"/>
  <c r="K429" i="1"/>
  <c r="K430" i="1"/>
  <c r="M430" i="1" s="1"/>
  <c r="K454" i="1"/>
  <c r="M454" i="1" s="1"/>
  <c r="K455" i="1"/>
  <c r="M455" i="1" s="1"/>
  <c r="K545" i="1"/>
  <c r="K182" i="1"/>
  <c r="M182" i="1" s="1"/>
  <c r="K459" i="1"/>
  <c r="M459" i="1" s="1"/>
  <c r="K185" i="1"/>
  <c r="K77" i="1"/>
  <c r="M77" i="1" s="1"/>
  <c r="K558" i="1"/>
  <c r="K563" i="1"/>
  <c r="K564" i="1"/>
  <c r="K57" i="1"/>
  <c r="M57" i="1" s="1"/>
  <c r="K351" i="1"/>
  <c r="M351" i="1" s="1"/>
  <c r="K570" i="1"/>
  <c r="K574" i="1"/>
  <c r="K512" i="1"/>
  <c r="M512" i="1" s="1"/>
  <c r="K413" i="1"/>
  <c r="K373" i="1"/>
  <c r="M373" i="1" s="1"/>
  <c r="K315" i="1"/>
  <c r="M315" i="1" s="1"/>
  <c r="K587" i="1"/>
  <c r="K599" i="1"/>
  <c r="K318" i="1"/>
  <c r="M318" i="1" s="1"/>
  <c r="K352" i="1"/>
  <c r="M352" i="1" s="1"/>
  <c r="K464" i="1"/>
  <c r="M464" i="1" s="1"/>
  <c r="K465" i="1"/>
  <c r="M465" i="1" s="1"/>
  <c r="K353" i="1"/>
  <c r="M353" i="1" s="1"/>
  <c r="K160" i="1"/>
  <c r="M160" i="1" s="1"/>
  <c r="K319" i="1"/>
  <c r="M319" i="1" s="1"/>
  <c r="K354" i="1"/>
  <c r="M354" i="1" s="1"/>
  <c r="K375" i="1"/>
  <c r="M375" i="1" s="1"/>
  <c r="K111" i="1"/>
  <c r="M111" i="1" s="1"/>
  <c r="K358" i="1"/>
  <c r="M358" i="1" s="1"/>
  <c r="K359" i="1"/>
  <c r="M359" i="1" s="1"/>
  <c r="K360" i="1"/>
  <c r="M360" i="1" s="1"/>
  <c r="K361" i="1"/>
  <c r="M361" i="1" s="1"/>
  <c r="K49" i="1"/>
  <c r="M49" i="1" s="1"/>
  <c r="K266" i="1"/>
  <c r="M266" i="1" s="1"/>
  <c r="K261" i="1"/>
  <c r="M261" i="1" s="1"/>
  <c r="K161" i="1"/>
  <c r="M161" i="1" s="1"/>
  <c r="K162" i="1"/>
  <c r="M162" i="1" s="1"/>
  <c r="K121" i="1"/>
  <c r="M121" i="1" s="1"/>
  <c r="K135" i="1"/>
  <c r="M135" i="1" s="1"/>
  <c r="K167" i="1"/>
  <c r="M167" i="1" s="1"/>
  <c r="K222" i="1"/>
  <c r="M222" i="1" s="1"/>
  <c r="K216" i="1"/>
  <c r="M216" i="1" s="1"/>
  <c r="K265" i="1"/>
  <c r="M265" i="1" s="1"/>
  <c r="K141" i="1"/>
  <c r="M141" i="1" s="1"/>
  <c r="K74" i="1"/>
  <c r="M74" i="1" s="1"/>
  <c r="K168" i="1"/>
  <c r="M168" i="1" s="1"/>
  <c r="K18" i="1"/>
  <c r="M18" i="1" s="1"/>
  <c r="K60" i="1"/>
  <c r="M60" i="1" s="1"/>
  <c r="K231" i="1"/>
  <c r="M231" i="1" s="1"/>
  <c r="K129" i="1"/>
  <c r="M129" i="1" s="1"/>
  <c r="K153" i="1"/>
  <c r="M153" i="1" s="1"/>
  <c r="K80" i="1"/>
  <c r="M80" i="1" s="1"/>
  <c r="K79" i="1"/>
  <c r="M79" i="1" s="1"/>
  <c r="K81" i="1"/>
  <c r="M81" i="1" s="1"/>
  <c r="K254" i="1"/>
  <c r="M254" i="1" s="1"/>
  <c r="K82" i="1"/>
  <c r="M82" i="1" s="1"/>
  <c r="K255" i="1"/>
  <c r="M255" i="1" s="1"/>
  <c r="K484" i="1"/>
  <c r="M484" i="1" s="1"/>
  <c r="K308" i="1"/>
  <c r="M308" i="1" s="1"/>
  <c r="K516" i="1"/>
  <c r="M516" i="1" s="1"/>
  <c r="K151" i="1"/>
  <c r="M151" i="1" s="1"/>
  <c r="K114" i="1"/>
  <c r="M114" i="1" s="1"/>
  <c r="K438" i="1"/>
  <c r="M438" i="1" s="1"/>
  <c r="K439" i="1"/>
  <c r="M439" i="1" s="1"/>
  <c r="K331" i="1"/>
  <c r="M331" i="1" s="1"/>
  <c r="K440" i="1"/>
  <c r="M440" i="1" s="1"/>
  <c r="K363" i="1"/>
  <c r="M363" i="1" s="1"/>
  <c r="K277" i="1"/>
  <c r="M277" i="1" s="1"/>
  <c r="K321" i="1"/>
  <c r="M321" i="1" s="1"/>
  <c r="K48" i="1"/>
  <c r="M48" i="1" s="1"/>
  <c r="K67" i="1"/>
  <c r="M67" i="1" s="1"/>
  <c r="K342" i="1"/>
  <c r="M342" i="1" s="1"/>
  <c r="K441" i="1"/>
  <c r="M441" i="1" s="1"/>
  <c r="K218" i="1"/>
  <c r="M218" i="1" s="1"/>
  <c r="K172" i="1"/>
  <c r="M172" i="1" s="1"/>
  <c r="K226" i="1"/>
  <c r="M226" i="1" s="1"/>
  <c r="K124" i="1"/>
  <c r="M124" i="1" s="1"/>
  <c r="K163" i="1"/>
  <c r="M163" i="1" s="1"/>
  <c r="K13" i="1"/>
  <c r="M13" i="1" s="1"/>
  <c r="K14" i="1"/>
  <c r="M14" i="1" s="1"/>
  <c r="K271" i="1"/>
  <c r="M271" i="1" s="1"/>
  <c r="K29" i="1"/>
  <c r="M29" i="1" s="1"/>
  <c r="K50" i="1"/>
  <c r="M50" i="1" s="1"/>
  <c r="K142" i="1"/>
  <c r="M142" i="1" s="1"/>
  <c r="K164" i="1"/>
  <c r="M164" i="1" s="1"/>
  <c r="K145" i="1"/>
  <c r="M145" i="1" s="1"/>
  <c r="K136" i="1"/>
  <c r="M136" i="1" s="1"/>
  <c r="K137" i="1"/>
  <c r="M137" i="1" s="1"/>
  <c r="K228" i="1"/>
  <c r="M228" i="1" s="1"/>
  <c r="K138" i="1"/>
  <c r="M138" i="1" s="1"/>
  <c r="K131" i="1"/>
  <c r="M131" i="1" s="1"/>
  <c r="K139" i="1"/>
  <c r="M139" i="1" s="1"/>
  <c r="K140" i="1"/>
  <c r="M140" i="1" s="1"/>
  <c r="K118" i="1"/>
  <c r="M118" i="1" s="1"/>
  <c r="K4" i="1"/>
  <c r="M4" i="1" s="1"/>
  <c r="K520" i="1"/>
  <c r="K45" i="1"/>
  <c r="M45" i="1" s="1"/>
  <c r="K83" i="1"/>
  <c r="M83" i="1" s="1"/>
  <c r="K125" i="1"/>
  <c r="M125" i="1" s="1"/>
  <c r="K117" i="1"/>
  <c r="M117" i="1" s="1"/>
  <c r="K126" i="1"/>
  <c r="M126" i="1" s="1"/>
  <c r="K24" i="1"/>
  <c r="M24" i="1" s="1"/>
  <c r="K15" i="1"/>
  <c r="M15" i="1" s="1"/>
  <c r="K20" i="1"/>
  <c r="M20" i="1" s="1"/>
  <c r="K16" i="1"/>
  <c r="M16" i="1" s="1"/>
  <c r="K189" i="1"/>
  <c r="M189" i="1" s="1"/>
  <c r="K190" i="1"/>
  <c r="M190" i="1" s="1"/>
  <c r="K191" i="1"/>
  <c r="M191" i="1" s="1"/>
  <c r="K192" i="1"/>
  <c r="M192" i="1" s="1"/>
  <c r="K511" i="1"/>
  <c r="M511" i="1" s="1"/>
  <c r="K479" i="1"/>
  <c r="M479" i="1" s="1"/>
  <c r="K313" i="1"/>
  <c r="M313" i="1" s="1"/>
  <c r="K144" i="1"/>
  <c r="M144" i="1" s="1"/>
  <c r="K193" i="1"/>
  <c r="M193" i="1" s="1"/>
  <c r="K61" i="1"/>
  <c r="M61" i="1" s="1"/>
  <c r="K34" i="1"/>
  <c r="M34" i="1" s="1"/>
  <c r="K75" i="1"/>
  <c r="M75" i="1" s="1"/>
  <c r="K194" i="1"/>
  <c r="M194" i="1" s="1"/>
  <c r="K195" i="1"/>
  <c r="M195" i="1" s="1"/>
  <c r="K116" i="1"/>
  <c r="M116" i="1" s="1"/>
  <c r="K132" i="1"/>
  <c r="M132" i="1" s="1"/>
  <c r="K150" i="1"/>
  <c r="M150" i="1" s="1"/>
  <c r="K173" i="1"/>
  <c r="M173" i="1" s="1"/>
  <c r="K257" i="1"/>
  <c r="M257" i="1" s="1"/>
  <c r="K196" i="1"/>
  <c r="M196" i="1" s="1"/>
  <c r="K197" i="1"/>
  <c r="M197" i="1" s="1"/>
  <c r="K219" i="1"/>
  <c r="M219" i="1" s="1"/>
  <c r="K198" i="1"/>
  <c r="M198" i="1" s="1"/>
  <c r="K515" i="1"/>
  <c r="M515" i="1" s="1"/>
  <c r="K496" i="1"/>
  <c r="M496" i="1" s="1"/>
  <c r="K36" i="1"/>
  <c r="M36" i="1" s="1"/>
  <c r="K147" i="1"/>
  <c r="M147" i="1" s="1"/>
  <c r="K230" i="1"/>
  <c r="M230" i="1" s="1"/>
  <c r="K84" i="1"/>
  <c r="M84" i="1" s="1"/>
  <c r="K85" i="1"/>
  <c r="M85" i="1" s="1"/>
  <c r="K35" i="1"/>
  <c r="M35" i="1" s="1"/>
  <c r="K37" i="1"/>
  <c r="M37" i="1" s="1"/>
  <c r="K199" i="1"/>
  <c r="M199" i="1" s="1"/>
  <c r="K200" i="1"/>
  <c r="M200" i="1" s="1"/>
  <c r="K201" i="1"/>
  <c r="M201" i="1" s="1"/>
  <c r="K202" i="1"/>
  <c r="M202" i="1" s="1"/>
  <c r="K203" i="1"/>
  <c r="M203" i="1" s="1"/>
  <c r="K108" i="1"/>
  <c r="M108" i="1" s="1"/>
  <c r="K109" i="1"/>
  <c r="M109" i="1" s="1"/>
  <c r="K110" i="1"/>
  <c r="M110" i="1" s="1"/>
  <c r="K276" i="1"/>
  <c r="M276" i="1" s="1"/>
  <c r="K259" i="1"/>
  <c r="M259" i="1" s="1"/>
  <c r="K253" i="1"/>
  <c r="M25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170" i="1"/>
  <c r="M170" i="1" s="1"/>
  <c r="K210" i="1"/>
  <c r="M210" i="1" s="1"/>
  <c r="K73" i="1"/>
  <c r="M73" i="1" s="1"/>
  <c r="K211" i="1"/>
  <c r="M211" i="1" s="1"/>
  <c r="K262" i="1"/>
  <c r="M262" i="1" s="1"/>
  <c r="K251" i="1"/>
  <c r="M251" i="1" s="1"/>
  <c r="K458" i="1"/>
  <c r="M458" i="1" s="1"/>
  <c r="K252" i="1"/>
  <c r="M252" i="1" s="1"/>
  <c r="K310" i="1"/>
  <c r="M310" i="1" s="1"/>
  <c r="K119" i="1"/>
  <c r="M119" i="1" s="1"/>
  <c r="K421" i="1"/>
  <c r="M421" i="1" s="1"/>
  <c r="K447" i="1"/>
  <c r="M447" i="1" s="1"/>
  <c r="K422" i="1"/>
  <c r="M422" i="1" s="1"/>
  <c r="K263" i="1"/>
  <c r="M263" i="1" s="1"/>
  <c r="K355" i="1"/>
  <c r="M355" i="1" s="1"/>
  <c r="K215" i="1"/>
  <c r="M215" i="1" s="1"/>
  <c r="K356" i="1"/>
  <c r="M356" i="1" s="1"/>
  <c r="K501" i="1"/>
  <c r="M501" i="1" s="1"/>
  <c r="K427" i="1"/>
  <c r="M427" i="1" s="1"/>
  <c r="K457" i="1"/>
  <c r="M457" i="1" s="1"/>
  <c r="K19" i="1"/>
  <c r="M19" i="1" s="1"/>
  <c r="K213" i="1"/>
  <c r="M213" i="1" s="1"/>
  <c r="K112" i="1"/>
  <c r="M112" i="1" s="1"/>
  <c r="K244" i="1"/>
  <c r="M244" i="1" s="1"/>
  <c r="K245" i="1"/>
  <c r="M245" i="1" s="1"/>
  <c r="K272" i="1"/>
  <c r="M272" i="1" s="1"/>
  <c r="K371" i="1"/>
  <c r="M371" i="1" s="1"/>
  <c r="K115" i="1"/>
  <c r="M115" i="1" s="1"/>
  <c r="K446" i="1"/>
  <c r="M446" i="1" s="1"/>
  <c r="K64" i="1"/>
  <c r="M64" i="1" s="1"/>
  <c r="K65" i="1"/>
  <c r="M65" i="1" s="1"/>
  <c r="K400" i="1"/>
  <c r="M400" i="1" s="1"/>
  <c r="K66" i="1"/>
  <c r="M66" i="1" s="1"/>
  <c r="K52" i="1"/>
  <c r="M52" i="1" s="1"/>
  <c r="K68" i="1"/>
  <c r="M68" i="1" s="1"/>
  <c r="K7" i="1"/>
  <c r="M7" i="1" s="1"/>
  <c r="K17" i="1"/>
  <c r="M17" i="1" s="1"/>
  <c r="K5" i="1"/>
  <c r="M5" i="1" s="1"/>
  <c r="K174" i="1"/>
  <c r="M174" i="1" s="1"/>
  <c r="K9" i="1"/>
  <c r="M9" i="1" s="1"/>
  <c r="K6" i="1"/>
  <c r="M6" i="1" s="1"/>
  <c r="K328" i="1"/>
  <c r="M328" i="1" s="1"/>
  <c r="K47" i="1"/>
  <c r="M47" i="1" s="1"/>
  <c r="K120" i="1"/>
  <c r="M120" i="1" s="1"/>
  <c r="K518" i="1"/>
  <c r="M518" i="1" s="1"/>
  <c r="K46" i="1"/>
  <c r="M46" i="1" s="1"/>
  <c r="K229" i="1"/>
  <c r="M229" i="1" s="1"/>
  <c r="K280" i="1"/>
  <c r="M280" i="1" s="1"/>
  <c r="K260" i="1"/>
  <c r="M260" i="1" s="1"/>
  <c r="K307" i="1"/>
  <c r="M307" i="1" s="1"/>
  <c r="K54" i="1"/>
  <c r="M54" i="1" s="1"/>
  <c r="K30" i="1"/>
  <c r="M30" i="1" s="1"/>
  <c r="K489" i="1"/>
  <c r="M489" i="1" s="1"/>
  <c r="K32" i="1"/>
  <c r="M32" i="1" s="1"/>
  <c r="K33" i="1"/>
  <c r="M33" i="1" s="1"/>
  <c r="K425" i="1"/>
  <c r="M425" i="1" s="1"/>
  <c r="K269" i="1"/>
  <c r="M269" i="1" s="1"/>
  <c r="K332" i="1"/>
  <c r="M332" i="1" s="1"/>
  <c r="K267" i="1"/>
  <c r="M267" i="1" s="1"/>
  <c r="K329" i="1"/>
  <c r="M329" i="1" s="1"/>
  <c r="K411" i="1"/>
  <c r="M411" i="1" s="1"/>
  <c r="K264" i="1"/>
  <c r="M264" i="1" s="1"/>
  <c r="K221" i="1"/>
  <c r="M221" i="1" s="1"/>
  <c r="K270" i="1"/>
  <c r="M270" i="1" s="1"/>
  <c r="K224" i="1"/>
  <c r="M224" i="1" s="1"/>
  <c r="K401" i="1"/>
  <c r="M401" i="1" s="1"/>
  <c r="K466" i="1"/>
  <c r="M466" i="1" s="1"/>
  <c r="K69" i="1"/>
  <c r="M69" i="1" s="1"/>
  <c r="K448" i="1"/>
  <c r="M448" i="1" s="1"/>
  <c r="K444" i="1"/>
  <c r="M444" i="1" s="1"/>
  <c r="K289" i="1"/>
  <c r="M289" i="1" s="1"/>
  <c r="K338" i="1"/>
  <c r="M338" i="1" s="1"/>
  <c r="K297" i="1"/>
  <c r="M297" i="1" s="1"/>
  <c r="K434" i="1"/>
  <c r="M434" i="1" s="1"/>
  <c r="K223" i="1"/>
  <c r="M223" i="1" s="1"/>
  <c r="K278" i="1"/>
  <c r="M278" i="1" s="1"/>
  <c r="K387" i="1"/>
  <c r="M387" i="1" s="1"/>
  <c r="K287" i="1"/>
  <c r="M287" i="1" s="1"/>
  <c r="K31" i="1"/>
  <c r="M31" i="1" s="1"/>
  <c r="K302" i="1"/>
  <c r="M302" i="1" s="1"/>
  <c r="K130" i="1"/>
  <c r="M130" i="1" s="1"/>
  <c r="K122" i="1"/>
  <c r="M122" i="1" s="1"/>
  <c r="K334" i="1"/>
  <c r="M334" i="1" s="1"/>
  <c r="K451" i="1"/>
  <c r="M451" i="1" s="1"/>
  <c r="K303" i="1"/>
  <c r="M303" i="1" s="1"/>
  <c r="K471" i="1"/>
  <c r="M471" i="1" s="1"/>
  <c r="K143" i="1"/>
  <c r="M143" i="1" s="1"/>
  <c r="K513" i="1"/>
  <c r="M513" i="1" s="1"/>
  <c r="K113" i="1"/>
  <c r="M113" i="1" s="1"/>
  <c r="K382" i="1"/>
  <c r="M382" i="1" s="1"/>
  <c r="K58" i="1"/>
  <c r="M58" i="1" s="1"/>
  <c r="K225" i="1"/>
  <c r="M225" i="1" s="1"/>
  <c r="K409" i="1"/>
  <c r="M409" i="1" s="1"/>
  <c r="K404" i="1"/>
  <c r="M404" i="1" s="1"/>
  <c r="K453" i="1"/>
  <c r="M453" i="1" s="1"/>
  <c r="K463" i="1"/>
  <c r="M463" i="1" s="1"/>
  <c r="K326" i="1"/>
  <c r="M326" i="1" s="1"/>
  <c r="K450" i="1"/>
  <c r="M450" i="1" s="1"/>
  <c r="K390" i="1"/>
  <c r="M390" i="1" s="1"/>
  <c r="K480" i="1"/>
  <c r="M480" i="1" s="1"/>
  <c r="K134" i="1"/>
  <c r="M134" i="1" s="1"/>
  <c r="K388" i="1"/>
  <c r="M388" i="1" s="1"/>
  <c r="K389" i="1"/>
  <c r="M389" i="1" s="1"/>
  <c r="K365" i="1"/>
  <c r="M365" i="1" s="1"/>
  <c r="K374" i="1"/>
  <c r="M374" i="1" s="1"/>
  <c r="K366" i="1"/>
  <c r="M366" i="1" s="1"/>
  <c r="K372" i="1"/>
  <c r="M372" i="1" s="1"/>
  <c r="K344" i="1"/>
  <c r="M344" i="1" s="1"/>
  <c r="K345" i="1"/>
  <c r="M345" i="1" s="1"/>
  <c r="K346" i="1"/>
  <c r="M346" i="1" s="1"/>
  <c r="K347" i="1"/>
  <c r="M347" i="1" s="1"/>
  <c r="K333" i="1"/>
  <c r="M333" i="1" s="1"/>
  <c r="K348" i="1"/>
  <c r="M348" i="1" s="1"/>
  <c r="K367" i="1"/>
  <c r="M367" i="1" s="1"/>
  <c r="K378" i="1"/>
  <c r="M378" i="1" s="1"/>
  <c r="K491" i="1"/>
  <c r="M491" i="1" s="1"/>
  <c r="K433" i="1"/>
  <c r="M433" i="1" s="1"/>
  <c r="K442" i="1"/>
  <c r="M442" i="1" s="1"/>
  <c r="K431" i="1"/>
  <c r="M431" i="1" s="1"/>
  <c r="K426" i="1"/>
  <c r="M426" i="1" s="1"/>
  <c r="K428" i="1"/>
  <c r="M428" i="1" s="1"/>
  <c r="K432" i="1"/>
  <c r="M432" i="1" s="1"/>
  <c r="K475" i="1"/>
  <c r="M475" i="1" s="1"/>
  <c r="K474" i="1"/>
  <c r="M474" i="1" s="1"/>
  <c r="K364" i="1"/>
  <c r="M364" i="1" s="1"/>
  <c r="K368" i="1"/>
  <c r="M368" i="1" s="1"/>
  <c r="K369" i="1"/>
  <c r="M369" i="1" s="1"/>
  <c r="K381" i="1"/>
  <c r="M381" i="1" s="1"/>
  <c r="K396" i="1"/>
  <c r="M396" i="1" s="1"/>
  <c r="K472" i="1"/>
  <c r="M472" i="1" s="1"/>
  <c r="K473" i="1"/>
  <c r="M473" i="1" s="1"/>
  <c r="K335" i="1"/>
  <c r="M335" i="1" s="1"/>
  <c r="K336" i="1"/>
  <c r="M336" i="1" s="1"/>
  <c r="K370" i="1"/>
  <c r="M370" i="1" s="1"/>
  <c r="K339" i="1"/>
  <c r="M339" i="1" s="1"/>
  <c r="K349" i="1"/>
  <c r="M349" i="1" s="1"/>
  <c r="K350" i="1"/>
  <c r="M350" i="1" s="1"/>
  <c r="K362" i="1"/>
  <c r="M362" i="1" s="1"/>
  <c r="K492" i="1"/>
  <c r="M492" i="1" s="1"/>
  <c r="K488" i="1"/>
  <c r="M488" i="1" s="1"/>
  <c r="K424" i="1"/>
  <c r="M424" i="1" s="1"/>
  <c r="K383" i="1"/>
  <c r="M383" i="1" s="1"/>
  <c r="K70" i="1"/>
  <c r="M70" i="1" s="1"/>
  <c r="K175" i="1"/>
  <c r="M175" i="1" s="1"/>
  <c r="K133" i="1"/>
  <c r="M133" i="1" s="1"/>
  <c r="K285" i="1"/>
  <c r="M285" i="1" s="1"/>
  <c r="K293" i="1"/>
  <c r="M293" i="1" s="1"/>
  <c r="K312" i="1"/>
  <c r="M312" i="1" s="1"/>
  <c r="K249" i="1"/>
  <c r="M249" i="1" s="1"/>
  <c r="K486" i="1"/>
  <c r="M486" i="1" s="1"/>
  <c r="K232" i="1"/>
  <c r="M232" i="1" s="1"/>
  <c r="K246" i="1"/>
  <c r="M246" i="1" s="1"/>
  <c r="K502" i="1"/>
  <c r="M502" i="1" s="1"/>
  <c r="K247" i="1"/>
  <c r="M247" i="1" s="1"/>
  <c r="K503" i="1"/>
  <c r="M503" i="1" s="1"/>
  <c r="K38" i="1"/>
  <c r="M38" i="1" s="1"/>
  <c r="K290" i="1"/>
  <c r="M290" i="1" s="1"/>
  <c r="K504" i="1"/>
  <c r="M504" i="1" s="1"/>
  <c r="K505" i="1"/>
  <c r="M505" i="1" s="1"/>
  <c r="K506" i="1"/>
  <c r="M506" i="1" s="1"/>
  <c r="K507" i="1"/>
  <c r="M507" i="1" s="1"/>
  <c r="K273" i="1"/>
  <c r="M273" i="1" s="1"/>
  <c r="K233" i="1"/>
  <c r="M233" i="1" s="1"/>
  <c r="K240" i="1"/>
  <c r="M240" i="1" s="1"/>
  <c r="K476" i="1"/>
  <c r="M476" i="1" s="1"/>
  <c r="K241" i="1"/>
  <c r="M241" i="1" s="1"/>
  <c r="K449" i="1"/>
  <c r="M449" i="1" s="1"/>
  <c r="K423" i="1"/>
  <c r="M423" i="1" s="1"/>
  <c r="K470" i="1"/>
  <c r="M470" i="1" s="1"/>
  <c r="K508" i="1"/>
  <c r="M508" i="1" s="1"/>
  <c r="K493" i="1"/>
  <c r="M493" i="1" s="1"/>
  <c r="K477" i="1"/>
  <c r="M477" i="1" s="1"/>
  <c r="K494" i="1"/>
  <c r="M494" i="1" s="1"/>
  <c r="K478" i="1"/>
  <c r="M478" i="1" s="1"/>
  <c r="K482" i="1"/>
  <c r="M482" i="1" s="1"/>
  <c r="K495" i="1"/>
  <c r="M495" i="1" s="1"/>
  <c r="K234" i="1"/>
  <c r="M234" i="1" s="1"/>
  <c r="K239" i="1"/>
  <c r="M239" i="1" s="1"/>
  <c r="K39" i="1"/>
  <c r="M39" i="1" s="1"/>
  <c r="K40" i="1"/>
  <c r="M40" i="1" s="1"/>
  <c r="K41" i="1"/>
  <c r="M41" i="1" s="1"/>
  <c r="K235" i="1"/>
  <c r="M235" i="1" s="1"/>
  <c r="K248" i="1"/>
  <c r="M248" i="1" s="1"/>
  <c r="K86" i="1"/>
  <c r="M86" i="1" s="1"/>
  <c r="K165" i="1"/>
  <c r="M165" i="1" s="1"/>
  <c r="K268" i="1"/>
  <c r="M268" i="1" s="1"/>
  <c r="K283" i="1"/>
  <c r="M283" i="1" s="1"/>
  <c r="K286" i="1"/>
  <c r="M286" i="1" s="1"/>
  <c r="K298" i="1"/>
  <c r="M298" i="1" s="1"/>
  <c r="K279" i="1"/>
  <c r="M279" i="1" s="1"/>
  <c r="K521" i="1"/>
  <c r="K403" i="1"/>
  <c r="M403" i="1" s="1"/>
  <c r="K462" i="1"/>
  <c r="M462" i="1" s="1"/>
  <c r="K376" i="1"/>
  <c r="M376" i="1" s="1"/>
  <c r="K377" i="1"/>
  <c r="M377" i="1" s="1"/>
  <c r="K305" i="1"/>
  <c r="M305" i="1" s="1"/>
  <c r="K294" i="1"/>
  <c r="M294" i="1" s="1"/>
  <c r="K295" i="1"/>
  <c r="M295" i="1" s="1"/>
  <c r="K258" i="1"/>
  <c r="M258" i="1" s="1"/>
  <c r="K296" i="1"/>
  <c r="M296" i="1" s="1"/>
  <c r="K517" i="1"/>
  <c r="M517" i="1" s="1"/>
  <c r="K393" i="1"/>
  <c r="M393" i="1" s="1"/>
  <c r="K322" i="1"/>
  <c r="M322" i="1" s="1"/>
  <c r="K87" i="1"/>
  <c r="M87" i="1" s="1"/>
  <c r="K88" i="1"/>
  <c r="M88" i="1" s="1"/>
  <c r="K177" i="1"/>
  <c r="M177" i="1" s="1"/>
  <c r="K89" i="1"/>
  <c r="M89" i="1" s="1"/>
  <c r="K90" i="1"/>
  <c r="M90" i="1" s="1"/>
  <c r="K510" i="1"/>
  <c r="M510" i="1" s="1"/>
  <c r="K522" i="1"/>
  <c r="K42" i="1"/>
  <c r="M42" i="1" s="1"/>
  <c r="K43" i="1"/>
  <c r="M43" i="1" s="1"/>
  <c r="K236" i="1"/>
  <c r="M236" i="1" s="1"/>
  <c r="K237" i="1"/>
  <c r="M237" i="1" s="1"/>
  <c r="K485" i="1"/>
  <c r="M485" i="1" s="1"/>
  <c r="K323" i="1"/>
  <c r="M323" i="1" s="1"/>
  <c r="K91" i="1"/>
  <c r="M91" i="1" s="1"/>
  <c r="K487" i="1"/>
  <c r="M487" i="1" s="1"/>
  <c r="K469" i="1"/>
  <c r="M469" i="1" s="1"/>
  <c r="K386" i="1"/>
  <c r="M386" i="1" s="1"/>
  <c r="K523" i="1"/>
  <c r="K337" i="1"/>
  <c r="M337" i="1" s="1"/>
  <c r="K220" i="1"/>
  <c r="M220" i="1" s="1"/>
  <c r="K524" i="1"/>
  <c r="K92" i="1"/>
  <c r="M92" i="1" s="1"/>
  <c r="K525" i="1"/>
  <c r="K93" i="1"/>
  <c r="M93" i="1" s="1"/>
  <c r="K526" i="1"/>
  <c r="K94" i="1"/>
  <c r="M94" i="1" s="1"/>
  <c r="K212" i="1"/>
  <c r="M212" i="1" s="1"/>
  <c r="K176" i="1"/>
  <c r="M176" i="1" s="1"/>
  <c r="K95" i="1"/>
  <c r="M95" i="1" s="1"/>
  <c r="K96" i="1"/>
  <c r="M96" i="1" s="1"/>
  <c r="K154" i="1"/>
  <c r="M154" i="1" s="1"/>
  <c r="K23" i="1"/>
  <c r="M23" i="1" s="1"/>
  <c r="K97" i="1"/>
  <c r="M97" i="1" s="1"/>
  <c r="K51" i="1"/>
  <c r="M51" i="1" s="1"/>
  <c r="K98" i="1"/>
  <c r="M98" i="1" s="1"/>
  <c r="K99" i="1"/>
  <c r="M99" i="1" s="1"/>
  <c r="K100" i="1"/>
  <c r="M100" i="1" s="1"/>
  <c r="K101" i="1"/>
  <c r="M101" i="1" s="1"/>
  <c r="K527" i="1"/>
  <c r="K102" i="1"/>
  <c r="M102" i="1" s="1"/>
  <c r="K103" i="1"/>
  <c r="M103" i="1" s="1"/>
  <c r="K104" i="1"/>
  <c r="M104" i="1" s="1"/>
  <c r="K105" i="1"/>
  <c r="M105" i="1" s="1"/>
  <c r="K528" i="1"/>
  <c r="K529" i="1"/>
  <c r="K530" i="1"/>
  <c r="K531" i="1"/>
  <c r="K532" i="1"/>
  <c r="K533" i="1"/>
  <c r="K106" i="1"/>
  <c r="M106" i="1" s="1"/>
  <c r="K534" i="1"/>
  <c r="K107" i="1"/>
  <c r="M107" i="1" s="1"/>
  <c r="K311" i="1"/>
  <c r="M311" i="1" s="1"/>
  <c r="K380" i="1"/>
  <c r="M380" i="1" s="1"/>
  <c r="K256" i="1"/>
  <c r="M256" i="1" s="1"/>
  <c r="K397" i="1"/>
  <c r="M397" i="1" s="1"/>
  <c r="K166" i="1"/>
  <c r="M166" i="1" s="1"/>
  <c r="L519" i="1"/>
  <c r="G519" i="1"/>
  <c r="K519" i="1" s="1"/>
  <c r="M437" i="1" l="1"/>
  <c r="M22" i="1"/>
  <c r="M391" i="1"/>
  <c r="M410" i="1"/>
  <c r="M500" i="1"/>
  <c r="M460" i="1"/>
  <c r="M299" i="1"/>
  <c r="M429" i="1"/>
  <c r="M384" i="1"/>
  <c r="M128" i="1"/>
  <c r="M413" i="1"/>
  <c r="M185" i="1"/>
  <c r="M55" i="1"/>
  <c r="M152" i="1"/>
  <c r="M407" i="1"/>
  <c r="M394" i="1"/>
  <c r="M180" i="1"/>
  <c r="M340" i="1"/>
  <c r="M406" i="1"/>
  <c r="M412" i="1"/>
  <c r="M56" i="1"/>
  <c r="M12" i="1"/>
  <c r="M148" i="1"/>
  <c r="M327" i="1"/>
  <c r="M76" i="1"/>
  <c r="M341" i="1"/>
  <c r="M405" i="1"/>
  <c r="M443" i="1"/>
  <c r="M149" i="1"/>
  <c r="M490" i="1"/>
  <c r="M452" i="1"/>
  <c r="M467" i="1"/>
  <c r="M184" i="1"/>
  <c r="M158" i="1"/>
  <c r="M468" i="1"/>
  <c r="M519" i="1"/>
</calcChain>
</file>

<file path=xl/sharedStrings.xml><?xml version="1.0" encoding="utf-8"?>
<sst xmlns="http://schemas.openxmlformats.org/spreadsheetml/2006/main" count="4376" uniqueCount="1192">
  <si>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</si>
  <si>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</si>
  <si>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</si>
  <si>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</si>
  <si>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</si>
  <si>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</si>
  <si>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</si>
  <si>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</si>
  <si>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</si>
  <si>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</si>
  <si>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</si>
  <si>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</si>
  <si>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</si>
  <si>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</si>
  <si>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</si>
  <si>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</si>
  <si>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</si>
  <si>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</si>
  <si>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</si>
  <si>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</si>
  <si>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</si>
  <si>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</si>
  <si>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</si>
  <si>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</si>
  <si>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</si>
  <si>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</si>
  <si>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</si>
  <si>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</si>
  <si>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</si>
  <si>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Bulto x 10 unid</t>
  </si>
  <si>
    <t>x Unidad</t>
  </si>
  <si>
    <t>CUIDADO DE HERIDAS EUROFARM</t>
  </si>
  <si>
    <t>TUBO ENDOTRAQUEAL 7.5 C/ BALON X UND.</t>
  </si>
  <si>
    <t>AMPET75</t>
  </si>
  <si>
    <t>ROSPITAL</t>
  </si>
  <si>
    <t>Caja x 10 unid</t>
  </si>
  <si>
    <t>TUBOS</t>
  </si>
  <si>
    <t>NO APLICA</t>
  </si>
  <si>
    <t>VENDAS ELASTICAS 7.5CM X 5MTS. 1 UND.</t>
  </si>
  <si>
    <t>LEROY</t>
  </si>
  <si>
    <t>Caja x 24 unid</t>
  </si>
  <si>
    <t>VENDAS</t>
  </si>
  <si>
    <t>VENDAS ELASTICAS 7.5 CM X 5MTS LE ROY  X UND</t>
  </si>
  <si>
    <t>TUBO ENDOTRAQUEAL 4.0 SIN BALON X UND.</t>
  </si>
  <si>
    <t>100/111/04</t>
  </si>
  <si>
    <t>SMITH MEDICAL</t>
  </si>
  <si>
    <t>TUBO ENDOTRAQUEAL 8.0 C/ BALON X UND.</t>
  </si>
  <si>
    <t>AMPET80</t>
  </si>
  <si>
    <t>GENERICO SIN IVA</t>
  </si>
  <si>
    <t>OTROS GEN</t>
  </si>
  <si>
    <t>BSN MEDICAL</t>
  </si>
  <si>
    <t>Caja x 50 unid</t>
  </si>
  <si>
    <t>BULTO X 10 CAJAS</t>
  </si>
  <si>
    <t>APOSITOS</t>
  </si>
  <si>
    <t>SUT TEMPORARY CARDIAC PACING WIRE 2-0 CAJA X 12 UND.</t>
  </si>
  <si>
    <t>TPW10</t>
  </si>
  <si>
    <t>ETHICON</t>
  </si>
  <si>
    <t>Caja x 12 unid</t>
  </si>
  <si>
    <t>SUTURAS</t>
  </si>
  <si>
    <t>SUTURA</t>
  </si>
  <si>
    <t>SUT PDS II VIOLET MONOFILAMENT CT-1 36MM CAJA X 36 UND.</t>
  </si>
  <si>
    <t>Z341H</t>
  </si>
  <si>
    <t>Caja x 36 unid</t>
  </si>
  <si>
    <t>PAPEL DE POLIPROPILENO (0.76 X 0.76 ) X UND.</t>
  </si>
  <si>
    <t>MEDIC-ART</t>
  </si>
  <si>
    <t>Bulto x 300 unid</t>
  </si>
  <si>
    <t>LENCERIA</t>
  </si>
  <si>
    <t>PAPEL DE POLIPROPILENO (1.01 X 1.01 ) X UND.</t>
  </si>
  <si>
    <t>Caja x 200 unid</t>
  </si>
  <si>
    <t>PAPEL DE POLIPROPILENO (1.20 X 1.20) X UND.</t>
  </si>
  <si>
    <t>40"x40"</t>
  </si>
  <si>
    <t>Caja x 100 unid</t>
  </si>
  <si>
    <t>PAPEL DE POLIPROPILENO</t>
  </si>
  <si>
    <t>CARTUCHO AUTOSUTURA TA 30 3.5 AZUL X UND.</t>
  </si>
  <si>
    <t>TA3035L</t>
  </si>
  <si>
    <t>COVIDIEN</t>
  </si>
  <si>
    <t>ENGRAPADORAS</t>
  </si>
  <si>
    <t>ENGRAPADORA</t>
  </si>
  <si>
    <t>FILTRO HUMIDIFICADOR  X UND.</t>
  </si>
  <si>
    <t>003003</t>
  </si>
  <si>
    <t>AIRLIFE</t>
  </si>
  <si>
    <t>OTROS</t>
  </si>
  <si>
    <t>TERAPIA INTENSIVA</t>
  </si>
  <si>
    <t>CANULA NASAL ADULTO X UND.</t>
  </si>
  <si>
    <t>HCS4511B</t>
  </si>
  <si>
    <t>MEDLINE</t>
  </si>
  <si>
    <t>Bulto x 50 unid</t>
  </si>
  <si>
    <t>CANULAS</t>
  </si>
  <si>
    <t>CANULA NASAL INFANTE CPAP NRO.1  X UND.</t>
  </si>
  <si>
    <t>HUDDSON</t>
  </si>
  <si>
    <t>CANULA NASAL INFANTE CPAP</t>
  </si>
  <si>
    <t>INFUSOR DE PRESION 500CC C-FUSOR X UND.</t>
  </si>
  <si>
    <t>MX4805</t>
  </si>
  <si>
    <t>MEDEX</t>
  </si>
  <si>
    <t>PROD ESP.SR JORGE</t>
  </si>
  <si>
    <t>POSICIONADOR DE CABEZA ADULTO X UNIDAD.</t>
  </si>
  <si>
    <t>NON081144H</t>
  </si>
  <si>
    <t>WESTMED</t>
  </si>
  <si>
    <t>POSICIONADOR DE CABEZA ADULTO</t>
  </si>
  <si>
    <t>CANULA DE YANKAUER C/TUBO 3.0 MTS  X UND</t>
  </si>
  <si>
    <t>FORSURE</t>
  </si>
  <si>
    <t>Caja x 20 unid</t>
  </si>
  <si>
    <t>CANULA</t>
  </si>
  <si>
    <t>CANULA DE YANKAUER CON TUBO 3.0 MTS X UND.</t>
  </si>
  <si>
    <t>DYND50138</t>
  </si>
  <si>
    <t>Bulto x 20 unid</t>
  </si>
  <si>
    <t>DRENAJE DE HERIDAS 19FR  1/4 X UND.</t>
  </si>
  <si>
    <t>DRENAJES</t>
  </si>
  <si>
    <t>PORTOVAC 1/4</t>
  </si>
  <si>
    <t>DRENAJE DE HERIDAS 10FR  1/8 X UND.</t>
  </si>
  <si>
    <t>PORTOVAC 1/8</t>
  </si>
  <si>
    <t>TRAMPA DE LUCKENS 20 CC X UND.</t>
  </si>
  <si>
    <t>DREN DE LATEX PENROSE 5/8" X UND.</t>
  </si>
  <si>
    <t>GRAFCO</t>
  </si>
  <si>
    <t>DRENES</t>
  </si>
  <si>
    <t>TRAMPA DE LUCKENS 40 CC X UND.</t>
  </si>
  <si>
    <t>DYND44140</t>
  </si>
  <si>
    <t>SONDA SIMPLASTIC COUVALIER 3 VIAS 22 FR X UND.</t>
  </si>
  <si>
    <t>RUSCH</t>
  </si>
  <si>
    <t>SONDAS</t>
  </si>
  <si>
    <t>SONDA SIMPLASTIC COUVALIER 3 VIAS 24 FR X UND.</t>
  </si>
  <si>
    <t>SONDA FOLEY 20 FR 3V 100% SILICON X UND.</t>
  </si>
  <si>
    <t>Bulto x 200 unid</t>
  </si>
  <si>
    <t>SONDA FOLEY 20 Fr 3V 100% SILICON</t>
  </si>
  <si>
    <t>SONDA CORFLO ULTRA # 12 FR. 43 PULG. 3GM #  X UND.</t>
  </si>
  <si>
    <t>20-7432</t>
  </si>
  <si>
    <t>HALYARD</t>
  </si>
  <si>
    <t>SONDA DE ALIMENTACION DOBB HOFF 10FR (NASODUODENAL) X UND.</t>
  </si>
  <si>
    <t>SONDA DE ALIMENTACION DOBB HOFF 12FR - (NASODUODENAL) X UND.</t>
  </si>
  <si>
    <t>SONDA DE ALIMENTACION DOBB HOFF 12FR - (NASODUODENAL) - REF. 8884711253 X UND</t>
  </si>
  <si>
    <t>SONDA CORFLO ULTRA # 8 FR. 43 PULG. 3 GM  X UND.</t>
  </si>
  <si>
    <t>20-7438</t>
  </si>
  <si>
    <t>CORPAK</t>
  </si>
  <si>
    <t>SONDA CORFLO ULTRA # 12 FR. 43 PULG. 3 GM  X UND</t>
  </si>
  <si>
    <t>AVANOS</t>
  </si>
  <si>
    <t>SONDA SALEM 12 FR X UND.</t>
  </si>
  <si>
    <t>MEDOVATIONS</t>
  </si>
  <si>
    <t>SONDA SALEM 12 Fr.</t>
  </si>
  <si>
    <t>SONDA SALEM 16 FR X UND.</t>
  </si>
  <si>
    <t>SONDA SALEM 16 Fr.</t>
  </si>
  <si>
    <t>SONDA DE SUCCION 14 FR CON CONTROL X UND.</t>
  </si>
  <si>
    <t>PRONTOMEDICA</t>
  </si>
  <si>
    <t>Paquete x 50 unid</t>
  </si>
  <si>
    <t>SONDA DE SUCCION 12 FR CON CONTROL X UND.</t>
  </si>
  <si>
    <t>SONDA SALEM 14 FR X UNID.</t>
  </si>
  <si>
    <t>SONDA SALEM 14 Fr.</t>
  </si>
  <si>
    <t>SONDA SALEM 18 FR X UND.</t>
  </si>
  <si>
    <t>8888-264986</t>
  </si>
  <si>
    <t>SONDA FOLEY 12 FR 2V 100% SILICON X UND.</t>
  </si>
  <si>
    <t>FCS14-12</t>
  </si>
  <si>
    <t>SONDA FOLEY 12 Fr 2V 100% SILICON</t>
  </si>
  <si>
    <t>TUBO ENDOTRAQUEAL 6,5 C/BALON /C ESTILETA X UND.</t>
  </si>
  <si>
    <t>DYNJAETC65</t>
  </si>
  <si>
    <t>ENDOTRAQUEALES</t>
  </si>
  <si>
    <t>TUBO ENDOTRAQUEAL 8,0 C/ BALON C/ ESTILETA X UND.</t>
  </si>
  <si>
    <t>DYNJAETC80</t>
  </si>
  <si>
    <t>TUBO ENDOTRAQUEAL 4,5 SIN BALON REFORZADO X UND.</t>
  </si>
  <si>
    <t>Caja x 5 unid</t>
  </si>
  <si>
    <t>TUBO ENDOTRAQUEAL HI LOW 7,0 C/BALON  X UND.</t>
  </si>
  <si>
    <t>DYND43070</t>
  </si>
  <si>
    <t>TUBO ENDOTRAQUEAL HI LOW 8,5 C/BALON  X UND.</t>
  </si>
  <si>
    <t>DYND43085</t>
  </si>
  <si>
    <t>TUBO TAPA MORADA GRADILLA X 100 UNDS (1 GRADILLA).</t>
  </si>
  <si>
    <t>VACUUM DIAGNOSTICS</t>
  </si>
  <si>
    <t>Bulto x 100 unid</t>
  </si>
  <si>
    <t>TUBO TAPA AZUL GRADILLA X 100 UNDS.</t>
  </si>
  <si>
    <t>DIPHOCARE</t>
  </si>
  <si>
    <t>RECOLECTOR</t>
  </si>
  <si>
    <t>TUBO ENDOBRONQUIAL DOBLE LUMEN 35 FR. DER. ROBERTSHAW  X UND.</t>
  </si>
  <si>
    <t>TUBO ENDOTRAQUEAL  3,5 C/BALON MARCA FORSURE X UND</t>
  </si>
  <si>
    <t>TRAQUEOSTOMO 7.0 X UND</t>
  </si>
  <si>
    <t>TRAQUEOSTOMO</t>
  </si>
  <si>
    <t>TRAQUEOTOMO</t>
  </si>
  <si>
    <t>TRAQUEOSTOMO 7.5 X UND</t>
  </si>
  <si>
    <t>TRAQUEOSTOMO DE CRISTAL 8.5  CON BALON X UND</t>
  </si>
  <si>
    <t>TUBO ENDOBRONQUIAL DOBLE LUMEN 35 FR. IZQ. ROBERTSHAW  X UNIDAD.</t>
  </si>
  <si>
    <t>TUBO ENDOBRONQUIAL DOBLE LUMEN 37 FR. IZQ. ROBERTSHAW X UND.</t>
  </si>
  <si>
    <t>TUBO ENDOTRAQUEAL 6,0 C/ BALON X UND.</t>
  </si>
  <si>
    <t>TUBO ENDOTRAQUEAL 6,0 CON BALON</t>
  </si>
  <si>
    <t>TUBO ENDOTRAQUEAL 6,5 C/BALON X UND.</t>
  </si>
  <si>
    <t>DYND43065</t>
  </si>
  <si>
    <t>TUBO ENDOTRAQUEAL 8,0 C/ BALON X UND.</t>
  </si>
  <si>
    <t>DYNJAETC8</t>
  </si>
  <si>
    <t>TUBO ENDOTRAQUEAL 7,5 C/ BALON X UND.</t>
  </si>
  <si>
    <t>DYNJAETC7</t>
  </si>
  <si>
    <t>TUBO ENDOTRAQUEAL 8,5 C/BALON X UND.</t>
  </si>
  <si>
    <t>TUBO ENDOTRAQUEAL 7,0 C/ BALON C/ ESTILETA X UND.</t>
  </si>
  <si>
    <t>DYNJAETC70</t>
  </si>
  <si>
    <t>TUBO ENDOTRAQUEAL 5,5 C/BALON C/ESTILETA X UND.</t>
  </si>
  <si>
    <t>TUBO ENDOTRAQUEAL 5,5 C/BALON //C ESTILETA MEDLINE X UND</t>
  </si>
  <si>
    <t>TUBO TAPA ROJA GRADILLA X 100 UNDS.</t>
  </si>
  <si>
    <t>CIRCUITO DE SUCCION CERRADO Nº14  X UND</t>
  </si>
  <si>
    <t>CIRCUITOS</t>
  </si>
  <si>
    <t>CIRCUITO DE SUCCION CERRADO</t>
  </si>
  <si>
    <t>CIRCUITO DE SUCCION CERRADO Nº12 X UND.</t>
  </si>
  <si>
    <t>DYNCSDS12</t>
  </si>
  <si>
    <t>TRAQUEOSTOMO DE CRISTAL 7.5 X UND</t>
  </si>
  <si>
    <t>TUBO ENDOTRAQUEAL 7,0 C/BALON X UND.</t>
  </si>
  <si>
    <t>GS-2004</t>
  </si>
  <si>
    <t>ROMSONS</t>
  </si>
  <si>
    <t>TRAQUEOTOMO DE CRISTAL 9.0 CON BALON X UND.</t>
  </si>
  <si>
    <t>9CN90H</t>
  </si>
  <si>
    <t>TRAQUEOSTOMO PEDIATRICO 4.5 X UND</t>
  </si>
  <si>
    <t>4.5 PCF</t>
  </si>
  <si>
    <t>TRAQUEOSTOMO PEDIATRICO 5.0 X UND</t>
  </si>
  <si>
    <t>5.0 PCF</t>
  </si>
  <si>
    <t>TRAQUEOSTOMO PEDIATRICO 5.5 X UND</t>
  </si>
  <si>
    <t>5.5 PCF</t>
  </si>
  <si>
    <t>TUBO ENDOTRAQUEAL 8,5 C/ BALON C/ ESTILETA X UND.</t>
  </si>
  <si>
    <t>DYNJAETC85</t>
  </si>
  <si>
    <t>DERMABOND ADVANCED (TIPO LAPIZ) X UND.</t>
  </si>
  <si>
    <t>DNX12</t>
  </si>
  <si>
    <t>DERMABOND ADVANCED ETHICON (TIPO LAPIZ)</t>
  </si>
  <si>
    <t>TUBO ENDOTRAQUEAL  5,5 SIN BALON REFORZADO MARCA FORSURE X UND</t>
  </si>
  <si>
    <t>TUBO ENDOTRAQUEAL  5,5 C/BALON REFORZADO Marca Forsure x Und</t>
  </si>
  <si>
    <t>MARCADOR QUIRURGICO CON REGLA X UND.</t>
  </si>
  <si>
    <t>DYNJSM01</t>
  </si>
  <si>
    <t>MARCADOR QUIRURGICO</t>
  </si>
  <si>
    <t>MARCADOR</t>
  </si>
  <si>
    <t>MCKESSON</t>
  </si>
  <si>
    <t>MARCADOR QUIRURGICO MINI SIN REGLA X UND.</t>
  </si>
  <si>
    <t>19-1451</t>
  </si>
  <si>
    <t>TRANSDUCTOR DE PRESION DELTRAN II X UND.</t>
  </si>
  <si>
    <t>DPT248-A</t>
  </si>
  <si>
    <t>UTAH MEDICAL</t>
  </si>
  <si>
    <t>TRANSDUCTOR DE PRESION</t>
  </si>
  <si>
    <t>TRANSDUCTOR DE PRESION /DELTRAN II X UND.</t>
  </si>
  <si>
    <t>BOLSA DE SANGRE TRIPLE X 60 UNDS.</t>
  </si>
  <si>
    <t>JMS</t>
  </si>
  <si>
    <t>Paquete x 60 unid</t>
  </si>
  <si>
    <t>BOLSAS</t>
  </si>
  <si>
    <t>BOLSA</t>
  </si>
  <si>
    <t>BOLSA DE SANGRE DOBLE X UNID.</t>
  </si>
  <si>
    <t>Caja x 80 unid</t>
  </si>
  <si>
    <t>FLOTRAC SENSOR CATETER  X UND.</t>
  </si>
  <si>
    <t>MHD85</t>
  </si>
  <si>
    <t>EDWARDS LIFESCIENCE</t>
  </si>
  <si>
    <t>CATETER</t>
  </si>
  <si>
    <t>EQUIPO DE ADMIN.SANGRE EN Y X UNID.</t>
  </si>
  <si>
    <t>MCR-2182</t>
  </si>
  <si>
    <t>TERUMO</t>
  </si>
  <si>
    <t>EQUIPO DE INFUSION</t>
  </si>
  <si>
    <t>AMBU (RESUCITADOR) PEDIATRICO X UND.</t>
  </si>
  <si>
    <t>AMBU (RESUCITADOR) ADULTO CON VALVULA PEEP X UND.</t>
  </si>
  <si>
    <t>CPRM1126P</t>
  </si>
  <si>
    <t>Caja x 6 unid</t>
  </si>
  <si>
    <t>AMBU (RESUCITADOR) ADULTO HUDDSON X UND.</t>
  </si>
  <si>
    <t>dispositivo manual para proporcionar ventilación con presión positiva para aquellos pacientes que no respiran o que no lo hacen de forma adecuada.</t>
  </si>
  <si>
    <t>OXISENSORES SFP-NCR-18A</t>
  </si>
  <si>
    <t>SFP-NCR-18A</t>
  </si>
  <si>
    <t>SENSORONICS</t>
  </si>
  <si>
    <t>OXIMETRO ADULTO</t>
  </si>
  <si>
    <t>CATETER DOBLE J PUNTA ABIERTA 7 FR. X 22CM - 30CM - X UND.</t>
  </si>
  <si>
    <t>CATETER DOBLE J PUNTA ABIERTA</t>
  </si>
  <si>
    <t>SET DE IRRIGACION EN Y  X UND</t>
  </si>
  <si>
    <t>2C4041</t>
  </si>
  <si>
    <t>BAXTER</t>
  </si>
  <si>
    <t>GERDEX FRASCO 240 ML X UND.</t>
  </si>
  <si>
    <t>RODENEZA</t>
  </si>
  <si>
    <t>Caja x 48 unid</t>
  </si>
  <si>
    <t>ANTISEPTICOS</t>
  </si>
  <si>
    <t>ANTISEPTICO</t>
  </si>
  <si>
    <t>AGUA OXIGENADA FRASCO 120ML X UND.</t>
  </si>
  <si>
    <t>EL GUARDIAN</t>
  </si>
  <si>
    <t>Caja x 72 unid</t>
  </si>
  <si>
    <t>ALCOHOL ANTISEPTICO GALÓN (3,785 L) X UND.</t>
  </si>
  <si>
    <t>Caja x 4 unid</t>
  </si>
  <si>
    <t>Son bactericidas frente a casi todo tipo de bacterias. Sobre la piel, el alcohol al 70% mata en 2 minutos el 90% de las bacterias cutáneas, siempre y cuando la piel esté húmeda. Su actividad germicida aumenta cuando previamente se limpia la piel con agua y detergente, y se frota con suavidad.</t>
  </si>
  <si>
    <t>ALCOHOL ANTISEPTICO FRASCO 120 ML X UND.</t>
  </si>
  <si>
    <t>ALCOHOL ANTISEPTICO FRASCO 240 ML X UND.</t>
  </si>
  <si>
    <t>ESTERILIZACIÓN</t>
  </si>
  <si>
    <t>CEPILLO QX. CHLORHEXIDINE AL 4% X UND</t>
  </si>
  <si>
    <t>BIOSCRUB</t>
  </si>
  <si>
    <t>Caja x 250 unid</t>
  </si>
  <si>
    <t>CEPILLO SECO X UND</t>
  </si>
  <si>
    <t>Bulto x 12 unid</t>
  </si>
  <si>
    <t>BULTO</t>
  </si>
  <si>
    <t>BOLSA RECOLECTORA DE DESECHOS DE 1500 CC X UND.</t>
  </si>
  <si>
    <t>65651-920</t>
  </si>
  <si>
    <t>CARDINAL HEALTH</t>
  </si>
  <si>
    <t>BOLSA RECOLECTORA DE DESECHOS DE 1500 CC</t>
  </si>
  <si>
    <t>BOLSA DE NUTRICION ENTERAL 500ml x Und</t>
  </si>
  <si>
    <t>BEXEN</t>
  </si>
  <si>
    <t>BOLSA DE NUTRICION ENTERAL</t>
  </si>
  <si>
    <t>BOLSA DE NUTRICION ENTERAL 1500ML X UND</t>
  </si>
  <si>
    <t>BOLSA DE NUTRICION PARENTERAL 3500ML X UND</t>
  </si>
  <si>
    <t>NA</t>
  </si>
  <si>
    <t>BOLSA DE NUTRICION PARENTERAL 2000ML X UND</t>
  </si>
  <si>
    <t>BRAUN</t>
  </si>
  <si>
    <t>BOLSA DE NUTRICION PARENTERAL 2000ML</t>
  </si>
  <si>
    <t>BOLSA DE NUTRICION PARENTERAL 3000ML X UND</t>
  </si>
  <si>
    <t>BOLSA DE NUTRICION PARENTERAL 2000ML X UND.</t>
  </si>
  <si>
    <t>VICTUS</t>
  </si>
  <si>
    <t>PUNTA PARA ELECTROBISTURI.COLORADO X UND.</t>
  </si>
  <si>
    <t>104A</t>
  </si>
  <si>
    <t>STRYKER</t>
  </si>
  <si>
    <t>RECOLECTOR DE ORINA (UROLAC) CAJA X 250 UNDS.</t>
  </si>
  <si>
    <t>DEXX MEDICAL INDUSTRIES</t>
  </si>
  <si>
    <t>Bulto x 250 unid</t>
  </si>
  <si>
    <t>RECOLECTORES</t>
  </si>
  <si>
    <t>BOLSA RECOLECTORA ORINA URINOMETRO 2500 ML X UND.</t>
  </si>
  <si>
    <t>DYND17403</t>
  </si>
  <si>
    <t>NO APLIC</t>
  </si>
  <si>
    <t>CASSETTE STERRAD 100S  X UND.</t>
  </si>
  <si>
    <t>J&amp;J</t>
  </si>
  <si>
    <t>BOLSA RECOLECTORA DE DESECHOS DE 3000 CC X UND.</t>
  </si>
  <si>
    <t>DYND5CL3000</t>
  </si>
  <si>
    <t>RECOLECTOR DE ORINA 2000CC (CYSTOFLO) X UND.</t>
  </si>
  <si>
    <t>DYNC1674</t>
  </si>
  <si>
    <t>RECOLECTOR DE ORINA 2000cc (Cystoflo)</t>
  </si>
  <si>
    <t>GROSSMED</t>
  </si>
  <si>
    <t>CONTENEDORES</t>
  </si>
  <si>
    <t>BOLSA RECOLECTORA ORINA URINOMETRO 250 ML X UND.</t>
  </si>
  <si>
    <t>SONDA FOLEY 18 FR 2V 100% SILICON X UND.</t>
  </si>
  <si>
    <t>FCS14-18</t>
  </si>
  <si>
    <t>SONDA FOLEY 18 Fr 2V 100% SILICON</t>
  </si>
  <si>
    <t>RECOLECTOR PARA HECES (PAQUETE X 100 UNID).</t>
  </si>
  <si>
    <t>BOLSA RECOLECTORA DE DESECHOS DE 3000 CC X UND</t>
  </si>
  <si>
    <t>65651-930</t>
  </si>
  <si>
    <t>BOLSA RECOLECTORA DE DESECHOS DE 3000 CC</t>
  </si>
  <si>
    <t>BOLSA DE NUTRICION PARENTERAL 1000ML X UND</t>
  </si>
  <si>
    <t>BOLSA DE NUTRICION PARENTERAL 1000ML</t>
  </si>
  <si>
    <t>TRANSDUCTOR DE PRESION /DELTRAN II  X UND.</t>
  </si>
  <si>
    <t>DTP248-A</t>
  </si>
  <si>
    <t>EQUIPO</t>
  </si>
  <si>
    <t>TRANSDUCTOR DE PRESION /DELTRAN II (DPT248-A) - MARCA FORSURE X UND</t>
  </si>
  <si>
    <t>EXTENSION K-50 X UNID.</t>
  </si>
  <si>
    <t>KIT DE VIA</t>
  </si>
  <si>
    <t>CONECTOR 21" CLAVE C/ESPIGA MICROCLAVE X UND.</t>
  </si>
  <si>
    <t>B9457</t>
  </si>
  <si>
    <t>ICU MEDICAL</t>
  </si>
  <si>
    <t>CONECTORES</t>
  </si>
  <si>
    <t>CONECTOR ESPIGA</t>
  </si>
  <si>
    <t>CONECTOR 9" CLAVE C/ESPIGA X UND.</t>
  </si>
  <si>
    <t>B1393</t>
  </si>
  <si>
    <t>CULTURETE ADULTO X 50UNID.</t>
  </si>
  <si>
    <t>108C.USE</t>
  </si>
  <si>
    <t>COPAN</t>
  </si>
  <si>
    <t>CATETER BILUMEN 7.0FR X 20 CM  X UND.</t>
  </si>
  <si>
    <t>CV-16702</t>
  </si>
  <si>
    <t>ARROW</t>
  </si>
  <si>
    <t>CATETER BILUMEN 7.0Fr x 20 cm. Marca Arrow x Und</t>
  </si>
  <si>
    <t>CATETER TRILUMEN 7.0FR X 20CM X UND.</t>
  </si>
  <si>
    <t>TROGE</t>
  </si>
  <si>
    <t>CATETER IV JELCO 22G X 1 1/4" (SERIVA) CAJA X 50 UNDS.</t>
  </si>
  <si>
    <t>Bulto x 500 unid</t>
  </si>
  <si>
    <t>CATETER IV JELCO 22 G X 1 1/4" (RO) CAJA X 50 UNDS.</t>
  </si>
  <si>
    <t>Caja x 600 unid</t>
  </si>
  <si>
    <t>CATETER VTA PURA</t>
  </si>
  <si>
    <t>CATETER IV JELCO 24 G X 3/4" (SERIVA) CAJA X 50 UNDS.</t>
  </si>
  <si>
    <t>CATETER IV JELCO 20G X 1 1/4"  (SERIVA) CAJA X 50 UNDS.</t>
  </si>
  <si>
    <t>CATETERCATETER IV JELCO 20G X 1 1/4"  MARCA SMITH MEDICAL (SERIVA) X UND./\PRESENTACION CAJA X 50 UNDS.</t>
  </si>
  <si>
    <t>HEM-O-LOK CLIPS LIGATION DORADO XL (PAQ. 06 UNDS.)</t>
  </si>
  <si>
    <t>TELEFLEX</t>
  </si>
  <si>
    <t>PAQUETE X 6 UNID</t>
  </si>
  <si>
    <t>CATETER IV JELCO 22G X 1" (RO) CAJA X 50UND.</t>
  </si>
  <si>
    <t>CATETER TRILUMEN 7.0FR X 20CM X UND</t>
  </si>
  <si>
    <t>CV-15703</t>
  </si>
  <si>
    <t>CATETER BILUMEN 12 FR X 20CM X UND.</t>
  </si>
  <si>
    <t>CAT. SWAN GANZ COMBO 7.5 FR X UND.</t>
  </si>
  <si>
    <t>774HF75</t>
  </si>
  <si>
    <t>EDWARDS</t>
  </si>
  <si>
    <t>CAT. SWAN GANZ COMBO</t>
  </si>
  <si>
    <t>CATETER TORAXICO Nº 36 CON TROCAR X UND.</t>
  </si>
  <si>
    <t>CATETER BILUMEN 7.0FR X 16 CM. X UND</t>
  </si>
  <si>
    <t>CV-12702</t>
  </si>
  <si>
    <t>CATETER TRILUMEN 7.0FR X 16CM X UND</t>
  </si>
  <si>
    <t>CV-12703</t>
  </si>
  <si>
    <t>CATETER UMBILICAL TRILPLE LUMEN 5.0 FR X 1 UND.</t>
  </si>
  <si>
    <t>CATETER UMBILICAL DOBLE LUMEN 5 FR X 38 CM X 1 UND.</t>
  </si>
  <si>
    <t>CATETER UMBILICAL DOBLE LUMEN 3.5 FR X 1 UND.</t>
  </si>
  <si>
    <t>CATETER UMBILICAL SIMPLE LUMEN 3.5 FR X 1 UND.</t>
  </si>
  <si>
    <t>CATETER UMBILICAL SIMPLE LUMEN 5 FR X UND</t>
  </si>
  <si>
    <t>MACROGOTERO EN Y MARCA GROSSMED X UND</t>
  </si>
  <si>
    <t>Caja x 25 unid</t>
  </si>
  <si>
    <t>LLAVE DE TRES VIAS X 50 UND.</t>
  </si>
  <si>
    <t>LLAVE</t>
  </si>
  <si>
    <t>BATA DE CIRUJANO XL ESTERIL X UND.</t>
  </si>
  <si>
    <t>Caja x 40 unid</t>
  </si>
  <si>
    <t>SET DE INFUSION PARA BOMBA TERUMO X UND.</t>
  </si>
  <si>
    <t>TI*PU300WN01</t>
  </si>
  <si>
    <t>TERUFUSION</t>
  </si>
  <si>
    <t>BOMBA DE INFUSION X UND.</t>
  </si>
  <si>
    <t>7.10.121601</t>
  </si>
  <si>
    <t>SINOMAT</t>
  </si>
  <si>
    <t>EXTENSION K-50 CAJA X 50 UNDS.</t>
  </si>
  <si>
    <t>EXTENSION</t>
  </si>
  <si>
    <t>EXTENSIONES</t>
  </si>
  <si>
    <t>ADHESIVOS</t>
  </si>
  <si>
    <t>MACROGOTERO 2 PUNTOS LIBRE DE AGUJA X UND.</t>
  </si>
  <si>
    <t>DYNDTN1512</t>
  </si>
  <si>
    <t>MACROGOTERO 3 PUNTOS LIBRE DE AGUJA X UND.</t>
  </si>
  <si>
    <t>DYNDST1545</t>
  </si>
  <si>
    <t>OBTURADOR HEPARINIZADO AMARILLO X 100UND.</t>
  </si>
  <si>
    <t>HS</t>
  </si>
  <si>
    <t>OBTURADOR LIBRE DE AGUJA (CAJA X 50UND).</t>
  </si>
  <si>
    <t>2000E</t>
  </si>
  <si>
    <t>SMARSITE</t>
  </si>
  <si>
    <t>OBTURADOR LIBRE DE AGUJA</t>
  </si>
  <si>
    <t>SET DE IRRIGACION EN Y . 1 UNIDAD.</t>
  </si>
  <si>
    <t>DYND19142</t>
  </si>
  <si>
    <t>REGULADOR</t>
  </si>
  <si>
    <t>COLLARIN PHILADELPHIA PARA TRAQUEOTOMO TALLA "S"  X UND.</t>
  </si>
  <si>
    <t>SANAVIT</t>
  </si>
  <si>
    <t>CAJA</t>
  </si>
  <si>
    <t>TRAUMATOLOGIA</t>
  </si>
  <si>
    <t>COLLARIN PHILADELPHIA PARA TRAQUEOTOMO TALLA "M" X UND.</t>
  </si>
  <si>
    <t>COLLARIN PHILADELPHIA PARA TRAQUEOTOMO TALLA "L" X UND.</t>
  </si>
  <si>
    <t>COLLARIN PHILADELPHIA PARA TRAQUEOTOMO TALLA "XL" X UND.</t>
  </si>
  <si>
    <t>COLLARIN BLANDO TALLA "S" X UND.</t>
  </si>
  <si>
    <t>COLLARIN BLANDO TALLA "M" X UND.</t>
  </si>
  <si>
    <t>COLLARIN BLANDO TALLA "L" X UND.</t>
  </si>
  <si>
    <t>COLLARIN BLANDO TALLA "XL" X UND.</t>
  </si>
  <si>
    <t>FAJA LUMBOSACRA TALLA "M" X UND.</t>
  </si>
  <si>
    <t>0348</t>
  </si>
  <si>
    <t>FAJA LUMBOSACRA TALLA "XL" X UND.</t>
  </si>
  <si>
    <t>TRAUMA</t>
  </si>
  <si>
    <t>FAJA LUMBOSACRA TALLA "L" X UND.</t>
  </si>
  <si>
    <t>FAJA DORSOLUMBAR CABALLERO TALLA "S" X UNIDAD.</t>
  </si>
  <si>
    <t>MUÑEQUERA ORT. C/FERULA LARGA IZQUIERDA (L) X UND.</t>
  </si>
  <si>
    <t>MUÑEQUERA</t>
  </si>
  <si>
    <t>CABESTRILLO PEDIATRICO X UND.</t>
  </si>
  <si>
    <t>CABESTRILLO ADULTO (UMERUS CONFORT) TALLA "M"  X UND</t>
  </si>
  <si>
    <t>CABESTRILLO</t>
  </si>
  <si>
    <t>Umerus Comfort estabilizador de hombro, post-operatorio. Limitador de rotación del Hombro. Con soporte almohadillado para el pulgar</t>
  </si>
  <si>
    <t>CABESTRILLO ADULTO (UMERUS CONFORT) TALLA "L"  X UND</t>
  </si>
  <si>
    <t>INMOVILIZADOR DE HOMBRO UMERUS AIR TALLA "S" X UND</t>
  </si>
  <si>
    <t>Inmovilizador que proporciona un fácil sistema de cierre, disminuye la abducción y rotación del hombro. Indicaciones: Dislocación, luxación de hombro, Fractura de clavícula, Síndrome del manguito rotador. Características y beneficios:  Correa circular para la cintura con un diseño anatómico, Material suave y ligero y Soporte en brazo y antebrazo.</t>
  </si>
  <si>
    <t>INMOVILIZADOR DE HOMBRO UMERUS AIR TALLA "M" X UND</t>
  </si>
  <si>
    <t>INMOVILIZADOR DE HOMBRO UMERUS AIR TALLA "XL" X UND</t>
  </si>
  <si>
    <t>Inmovilizador que proporciona un fácil sistema de cierre, disminuye la abducción y rotación del hombro. Indicaciones: Dislocación, luxación de hombro, Fractura de clavícula, Síndrome del manguito rotador. Características y beneficios:  Correa circular para la cintura con un diseño anatómico. Material suave y ligero. Soporte en brazo y antebrazo.</t>
  </si>
  <si>
    <t>CABESTRILLO ADULTO (UMERUS ECO) TALLA "S" X UND</t>
  </si>
  <si>
    <t>CABESTRILLO ADULTO (UMERUS ECO) TALLA "M" X UND</t>
  </si>
  <si>
    <t>CABESTRILLO ADULTO (UMERUS ECO) TALLA "L" X UND</t>
  </si>
  <si>
    <t>CABESTRILLO ADULTO (UMERUS ECO) TALLA "XL" X UND</t>
  </si>
  <si>
    <t>INMOVILIZADOR DE RODILLA 20" TALLA S X UND.</t>
  </si>
  <si>
    <t>INMOVILIZADOR DE RODILLA 20" TALLA M X UND.</t>
  </si>
  <si>
    <t>INMOVILIZADOR DE RODILLA 20" TALLA L X UND.</t>
  </si>
  <si>
    <t>INMOVILIZADOR DE RODILLA 20" TALLA XL X UND.</t>
  </si>
  <si>
    <t>INMOVILIZADOR DE RODILLA 24" TALLA M X UND.</t>
  </si>
  <si>
    <t>INMOVILIZADOR DE RODILLA 24" M - Marca Sanavit x Und</t>
  </si>
  <si>
    <t>INMOVILIZADOR DE RODILLA 24" TALLA L X UND.</t>
  </si>
  <si>
    <t>INMOVILIZADOR DE RODILLA 24" TALLA XL X UND.</t>
  </si>
  <si>
    <t>FERULA DOBLE P/DEDO TALLA "S" X UNIDAD.</t>
  </si>
  <si>
    <t>FERULA P/DEDO TIPO RANA (S-L) X UNIDAD.</t>
  </si>
  <si>
    <t>SUJETADOR PARA SONDA FOLEY X UND.</t>
  </si>
  <si>
    <t>MMQ</t>
  </si>
  <si>
    <t>SUJETADORES</t>
  </si>
  <si>
    <t>SUJETADOR PARA SONDA NASOGASTRICA X UND</t>
  </si>
  <si>
    <t>DALE</t>
  </si>
  <si>
    <t>SUJETADOR PARA TRAQUEOTOMO X UND.</t>
  </si>
  <si>
    <t>CABESTRILLO JOVEN X UND.</t>
  </si>
  <si>
    <t>CABESTRILLO JOVEN Marca Sanavit x Und</t>
  </si>
  <si>
    <t>CABESTRILLO ADULTO X UND.</t>
  </si>
  <si>
    <t>SUSPENSORIO C/CINTURON 4 CTMOS (TALLA S-M-L-XL) X UND.</t>
  </si>
  <si>
    <t>FERULA SENCILLA P/DEDO TALLA (S,M,L,XL)  X UNIDAD.</t>
  </si>
  <si>
    <t>SUJETADOR DE SONDA NASOGASTRICA  X UND</t>
  </si>
  <si>
    <t>SUJETADOR DE VENOCLISIS TALLA NEONATAL X UND.</t>
  </si>
  <si>
    <t>SUJETADOR DE VENOCLISIS TALLA LARGA (ADULTO) X UND.</t>
  </si>
  <si>
    <t>SUJETADOR DE VENOCLISIS TALLA S (PEDRIATICO) X UND.</t>
  </si>
  <si>
    <t>SUSPENSORIO C/FAJA 18 CM (TALLA S-M-L-XL) X UND.</t>
  </si>
  <si>
    <t>SUSPENSORIO C/FAJA DE 23.5CM TALLA (S,M,L, XL) X UNIDAD.</t>
  </si>
  <si>
    <t>MUÑEQUERA ORT. C/FERULA LARGA DERECHA (M)  X UND.</t>
  </si>
  <si>
    <t>MUÑEQUERA ORT. C/FERULA LARGA IZQUIERDA (S) X UND.</t>
  </si>
  <si>
    <t>MUÑEQUERA ORT. C/FERULA LARGA IZQUIERDA (M) X UND.</t>
  </si>
  <si>
    <t>MUÑE</t>
  </si>
  <si>
    <t>MUÑEQUERA  C/FERULA CORTA ( XS - S - M - L - XL ) DERECHA / IZQUIERDA X UND.</t>
  </si>
  <si>
    <t>SONDA DE ALIMENTACION 5 FR X UNID</t>
  </si>
  <si>
    <t>MUÑEQUERA  C/FERULA P/ PULGAR (XS, S, M, L, XL) DER/ IZQ X UNIDAD.</t>
  </si>
  <si>
    <t>MUÑEQUERA C/FERULA D QUERVAIN (TALLA UNICA-IZQ O DER) X UND.</t>
  </si>
  <si>
    <t>INMOVILIZADOR DE HOMBRO DAMA TALLA "L" X UND.</t>
  </si>
  <si>
    <t>INMOVILIZADOR TIPO BOTA TALLA "S" X UND</t>
  </si>
  <si>
    <t>Una bota walker es un inmovilizador de tobillo. Se trata de una bota que inmoviliza la zona dañada para ayudar a la recuperación de las lesiones, mediante la inmovilización de la articulación tibio-tarsiana.</t>
  </si>
  <si>
    <t>INMOVILIZADOR TIPO BOTA TALLA "L" X UND</t>
  </si>
  <si>
    <t>7281981 / 76270-28</t>
  </si>
  <si>
    <t>INMOVILIZADOR DE HOMBRO DAMA TALLA "M" X UND.</t>
  </si>
  <si>
    <t>SONDA FOLEY 20 FR 2V 100% SILICON X UND.</t>
  </si>
  <si>
    <t>FCS14-20</t>
  </si>
  <si>
    <t>SONDA FOLEY 20 Fr 2V 100% SILICON</t>
  </si>
  <si>
    <t>FAJA ABDOMINAL TALLA "UNICA" X UND.</t>
  </si>
  <si>
    <t>INMOVILIZADOR DE HOMBRO DAMA  TALLA "S" X UND.</t>
  </si>
  <si>
    <t>INMOVILIZADOR DE HOMBRO DAMA TALLA "XL" X UND.</t>
  </si>
  <si>
    <t>SUJETADOR DE SONDA FOLEY X UNID.</t>
  </si>
  <si>
    <t>DYND16800</t>
  </si>
  <si>
    <t>INMOVILIZADOR DE HOMBRO CABALLERO TALLA "M" X UND.</t>
  </si>
  <si>
    <t>INMOVILIZADOR DE HOMBRO CABALLERO TALLA "L" X UND.</t>
  </si>
  <si>
    <t>INMOVILIZADOR DE HOMBRO CABALLERO TALLA "XL" X UND.</t>
  </si>
  <si>
    <t>INMOVILIZADOR DE HOMBRO CABALLERO TALLA "S" X UND.</t>
  </si>
  <si>
    <t>BATA DE PACIENTE 40 GRS. SMS (ADULTO) - COLOR FUCSIA X UND.</t>
  </si>
  <si>
    <t>123-11</t>
  </si>
  <si>
    <t>SANIPAD</t>
  </si>
  <si>
    <t>SUJETADOR PARA TRANSDUCTOR 3 VIAS X UND.</t>
  </si>
  <si>
    <t>FERULA CUADRUPLE P/DEDO (S,M,L) X UNIDAD.</t>
  </si>
  <si>
    <t>SONDA FOLEY 14 FR 2V 100% SILICON X UND.</t>
  </si>
  <si>
    <t>FCS14-14</t>
  </si>
  <si>
    <t>SONDA FOLEY 14 Fr 2V 100% SILICON</t>
  </si>
  <si>
    <t>SONDA FOLEY 16 FR 2V 100% SILICON X UND.</t>
  </si>
  <si>
    <t>FCS14-16</t>
  </si>
  <si>
    <t>SONDA FOLEY 16 Fr 2V 100% SILICON</t>
  </si>
  <si>
    <t>VENDA ORTOBAN YESO (GYPSONA) MEDIDA 3" X 3 YDS. 1 UND</t>
  </si>
  <si>
    <t>000-3</t>
  </si>
  <si>
    <t>GENIACARE</t>
  </si>
  <si>
    <t>VENDA ORTOBAN YESO (GYPSONA) MEDIDA 4" X 3 YDS . 1 UND</t>
  </si>
  <si>
    <t>000-5</t>
  </si>
  <si>
    <t>VENDA ORTOBAN YESO (GYPSONA) MEDIDA 6" X 3 YDS . 1 UND</t>
  </si>
  <si>
    <t>000-7</t>
  </si>
  <si>
    <t>VENDA ORTOBAN YESO (GYPSONA) MEDIDA 8" X 3 YDS. 1UND</t>
  </si>
  <si>
    <t>000-9</t>
  </si>
  <si>
    <t>BULTO X 24 UND</t>
  </si>
  <si>
    <t>ALGODON 500 GRS. EN ROLLO X UND.</t>
  </si>
  <si>
    <t>Bulto x 40 unid</t>
  </si>
  <si>
    <t>ALGODÓN</t>
  </si>
  <si>
    <t>ALGODON</t>
  </si>
  <si>
    <t>es principalmente utilizado para usos sanitarios y quirúrgicos, En estos usos médicos se encarga de prevenir y detener sangrado de lesiones y pinchazos pequeños, como los producidos por las inyecciones y procesos de venopunción.</t>
  </si>
  <si>
    <t>ALMOHADA P/PACIENTE (65 X 45) X UND.</t>
  </si>
  <si>
    <t>SELVA</t>
  </si>
  <si>
    <t>COMPRESAS DE LAPAROTOMIA ESTERILES 18" X 18" (PAQ X 5 UNIDS).</t>
  </si>
  <si>
    <t>MC MEDICAL</t>
  </si>
  <si>
    <t>PAQUETE X 5 UNIDAD</t>
  </si>
  <si>
    <t>GASA ESTERIL PARA QUEMADO 3 X 3 X UND.</t>
  </si>
  <si>
    <t>KERLIX</t>
  </si>
  <si>
    <t>COMPRESAS</t>
  </si>
  <si>
    <t>GASA NO ESTERIL 4" X 4" (PAQ X 100UNDS).</t>
  </si>
  <si>
    <t>Paquete x 100 unid</t>
  </si>
  <si>
    <t>GASA ESTERIL 4" X 4" (SOBRE X 2 UND). CAJA X 25 SOBRES.</t>
  </si>
  <si>
    <t>PROCARE</t>
  </si>
  <si>
    <t>Bulto x 600 Sobres</t>
  </si>
  <si>
    <t>GASA ESTERIL PARA QUEMADO (MEDIDA 4.5" X 4.1 YDS)  X UND.</t>
  </si>
  <si>
    <t>010201</t>
  </si>
  <si>
    <t>GASAS</t>
  </si>
  <si>
    <t>GASA ESTERIL 4" X 8" C / RAYTEC  (PAQUETE X 10 UND).</t>
  </si>
  <si>
    <t>GASA ESTERIL 3" X 3" (SOBRE X 2 UNDS.) CAJA X 25 SOBRES.</t>
  </si>
  <si>
    <t>GASA ESTERIL 4" X 8" C / RAYTEC (PAQUETE X 10 UND).</t>
  </si>
  <si>
    <t>NON21432LF</t>
  </si>
  <si>
    <t>BURETAS DE 150 ML X UND.</t>
  </si>
  <si>
    <t>LASER</t>
  </si>
  <si>
    <t>BURETAS</t>
  </si>
  <si>
    <t>BURETAS DE 100 ML X 5 UND.</t>
  </si>
  <si>
    <t>GM030100</t>
  </si>
  <si>
    <t>BURETAS DE 150 ML X 5 UND.</t>
  </si>
  <si>
    <t>BURETAS DE 150 ML  Marca Grossmed x Und</t>
  </si>
  <si>
    <t>VASO HUMIDIFICADOR X UND.</t>
  </si>
  <si>
    <t>VYAIRE</t>
  </si>
  <si>
    <t>VASO HUMIDIFICADOR MARCA VYAIRE</t>
  </si>
  <si>
    <t>MANOPLAS X UND.</t>
  </si>
  <si>
    <t>SACO X 500 UND</t>
  </si>
  <si>
    <t>INT.PERCUT 8.5 FRX10 P/SWAN GANZ  X UND.</t>
  </si>
  <si>
    <t>SI-09806P</t>
  </si>
  <si>
    <t>ESPECIALES</t>
  </si>
  <si>
    <t>BOLSA DRENABLE COLOSTOMIA CON BASE 51MM X UND.</t>
  </si>
  <si>
    <t>HOLISTER</t>
  </si>
  <si>
    <t>BANDEJA INT P/TRAQUEOTOMIA X UND.</t>
  </si>
  <si>
    <t>G12513-SD</t>
  </si>
  <si>
    <t>COOK MEDICAL</t>
  </si>
  <si>
    <t>BANDEJA</t>
  </si>
  <si>
    <t>KIT DE PIERNERAS X PAR.</t>
  </si>
  <si>
    <t>BATA DE CIRUJANO L -  NO ESTERIL - 50GRS SMS X UND.</t>
  </si>
  <si>
    <t>BANDEJA DE PUNCION LUMBAR PEDIATRICA  X UND</t>
  </si>
  <si>
    <t>BUSSE 645</t>
  </si>
  <si>
    <t>BUSSE</t>
  </si>
  <si>
    <t>BANDEJA DE PUNCION LUMBAR PEDIATRICA</t>
  </si>
  <si>
    <t>BANDEJA DE PUNCION LUMBAR ADULTO X UND</t>
  </si>
  <si>
    <t>BUSSE 648</t>
  </si>
  <si>
    <t>BANDEJA DE PUNCION LUMBAR ADULTO 20G</t>
  </si>
  <si>
    <t>KIT DE LAPAROTOMIA II (40 GRS.SMS) X UND.</t>
  </si>
  <si>
    <t>NUREEL</t>
  </si>
  <si>
    <t>LEN</t>
  </si>
  <si>
    <t>KIT DE LAPAROTOMIA IV KIMBERLY CLARK X UND.</t>
  </si>
  <si>
    <t>KIT DE ARTROSCOPIA DE RODILLA X UND.</t>
  </si>
  <si>
    <t>LAPIZ SUCCION COAGULACION - VALLEY LAB- X UND</t>
  </si>
  <si>
    <t>E3310</t>
  </si>
  <si>
    <t>LAPIZ</t>
  </si>
  <si>
    <t>LAPIZ DE ELECTROCOAGULACION</t>
  </si>
  <si>
    <t>LAPIZ SUCCION COAGULACION X UND.</t>
  </si>
  <si>
    <t>E2608-6</t>
  </si>
  <si>
    <t>BATA DE PACIENTE (ADULTO) 40GRS (SMS) X UND.</t>
  </si>
  <si>
    <t>KIT P/ PACIENTE ( BATA-GORRO-C BOTA)- TELA SMS 40GRS X UND.</t>
  </si>
  <si>
    <t>CIRCUITO DE ANESTESIA COAXIAL ADULTO X UND.</t>
  </si>
  <si>
    <t>PORTEX</t>
  </si>
  <si>
    <t>CIRCUITO</t>
  </si>
  <si>
    <t>MANGUERA CORRUGADA X 30 METROS.</t>
  </si>
  <si>
    <t>MANGUERAS</t>
  </si>
  <si>
    <t>MANGUERA CORRUGADA</t>
  </si>
  <si>
    <t>NARIZ ARTIFICIAL (FLEXIBLE) X UND.</t>
  </si>
  <si>
    <t>002841</t>
  </si>
  <si>
    <t>NARIZ ARTIFICIAL (AIRLIFE) X UND.</t>
  </si>
  <si>
    <t>REF. 4883003</t>
  </si>
  <si>
    <t>FILTRO</t>
  </si>
  <si>
    <t>SUT. SAFIL VIOLET 1 70CM HR26S /CAJA X 36 UNID</t>
  </si>
  <si>
    <t>J335H</t>
  </si>
  <si>
    <t>MASCARILLA 2 LIGAS. CAJA  X 50 UNDS.</t>
  </si>
  <si>
    <t>MASCARA DE VENTURY CON 6 VALVULAS X UND.</t>
  </si>
  <si>
    <t>MASCARAS</t>
  </si>
  <si>
    <t>MASCARILLA 4 TIRAS. CAJA X 50 UND.</t>
  </si>
  <si>
    <t>SAMAR</t>
  </si>
  <si>
    <t>Bulto x 1000 unid</t>
  </si>
  <si>
    <t>MASCARILLA 4 TIRAS X UND</t>
  </si>
  <si>
    <t>FVD</t>
  </si>
  <si>
    <t>MASCARILLAS</t>
  </si>
  <si>
    <t>MASCARA KN95 RESPIRADOR CONTRA PARTÍCULAS (NEGRO) X UNIDAD.</t>
  </si>
  <si>
    <t>MASCARILLA</t>
  </si>
  <si>
    <t>MASCARA KN95 RESPIRADOR CONTRA PARTÍCULAS (BLANCO) X UNIDAD.</t>
  </si>
  <si>
    <t>KN95</t>
  </si>
  <si>
    <t>MASCARA DE OXIGENO ADULTO X UND.</t>
  </si>
  <si>
    <t>HCS4600B</t>
  </si>
  <si>
    <t>MASCARA DE VENTURY ADULTO CON 6 VALVULAS X UND.</t>
  </si>
  <si>
    <t>REF HCSU12</t>
  </si>
  <si>
    <t>MASCARA DE VENTURY ADULTO CON 6 VALVULAS (REF.HCSU120E) MEDLINEX UND</t>
  </si>
  <si>
    <t>MASCARA DE OXIGENO ADULTO CON RESERVORIO X UND.</t>
  </si>
  <si>
    <t>HCS4640B</t>
  </si>
  <si>
    <t>MICRONEBULIZADOR C/MASCARA ADULTO X UND.</t>
  </si>
  <si>
    <t>MICRONEBULIZADOR C/MASCARA PEDIATRICO X UNID.</t>
  </si>
  <si>
    <t>VASO NEBULIZADOR BOCA ANCHA X UND.</t>
  </si>
  <si>
    <t>002002</t>
  </si>
  <si>
    <t>VASO NEBULIZADOR  BOCA ANCHA</t>
  </si>
  <si>
    <t>MICRONEBULIZADOR C/MASCARA PEDIATRICO X UND.</t>
  </si>
  <si>
    <t>MASCARA</t>
  </si>
  <si>
    <t>MASCARA AEROSOL X UND.</t>
  </si>
  <si>
    <t>HCS4630</t>
  </si>
  <si>
    <t>MICRONEBULIZADOR CON MASCARA ADULTO X UND.</t>
  </si>
  <si>
    <t>MICRONEBULIZADOR CON MASCARA PEDIATRICO  X UND.</t>
  </si>
  <si>
    <t>002444</t>
  </si>
  <si>
    <t>MICRONEBULIZADOR CON MASCARA PEDIATRICO X UND.</t>
  </si>
  <si>
    <t>HCSU4486</t>
  </si>
  <si>
    <t>GENERICO CON IVA</t>
  </si>
  <si>
    <t>GENERICO CAMBIO PRESENTACION CON IVA</t>
  </si>
  <si>
    <t>GENERICO</t>
  </si>
  <si>
    <t>BATA DE PACIENTE  40 GRS. SMS (ADULTO) - COLOR AZUL X UND.</t>
  </si>
  <si>
    <t>123-10</t>
  </si>
  <si>
    <t>SABANA DE CAMILLA DOBLADA X UND.</t>
  </si>
  <si>
    <t>QUEST</t>
  </si>
  <si>
    <t>MONO PARA CIRUJANO TALLA "L" 40GRS. SMS X UND.</t>
  </si>
  <si>
    <t>BATA DE CIRUJANO L ESTERIL 40 GRS  X UND.</t>
  </si>
  <si>
    <t>MONO PARA CIRUJANO TALLA "M" 50GR X UND.</t>
  </si>
  <si>
    <t>CUBREBOTAS ANTIRESBALANTES X PAR.</t>
  </si>
  <si>
    <t>PAQUETE X 50 PARES</t>
  </si>
  <si>
    <t>X PAR</t>
  </si>
  <si>
    <t>GORRO DE CIRUJANO (50 GRS) X UND.</t>
  </si>
  <si>
    <t>MEDITEX</t>
  </si>
  <si>
    <t>GORRO DE CIRUJANO. PAQ X 50 UND.</t>
  </si>
  <si>
    <t>MASCARILLA 4 TIRAS X UND.</t>
  </si>
  <si>
    <t>TUBO ENDOTRAQUEAL HI LOW 7.5 C/BALON  X UND.</t>
  </si>
  <si>
    <t>DYND43075</t>
  </si>
  <si>
    <t>TUBO ENDOTRAQUEAL HI LOW 8.0 C/BALON X UND.</t>
  </si>
  <si>
    <t>DYND43080</t>
  </si>
  <si>
    <t>TUBO ENDOTRAQUEAL HI LOW 6.5 C/BALON X UND.</t>
  </si>
  <si>
    <t>TUBO ENDOTRAQUEAL HI LOW 4.0 CON BALON X UND.</t>
  </si>
  <si>
    <t>GOLDENROD (596-5) Filtro de Depósito de Combustible</t>
  </si>
  <si>
    <t>SUT. PROLENE 6-0 CAJA X 36UNID.</t>
  </si>
  <si>
    <t>8318H</t>
  </si>
  <si>
    <t>SUT. PROLENE 6-0, Marca Johnson &amp; Johnson (8318H) x Und</t>
  </si>
  <si>
    <t>GLUCOMETRO C/10 LANCETAS. 1 UNIDAD.</t>
  </si>
  <si>
    <t>06-RE4051-3</t>
  </si>
  <si>
    <t>GLICEMIA</t>
  </si>
  <si>
    <t>GLUCOMETRO SIN TIRAS X UNID.</t>
  </si>
  <si>
    <t>RE4051P-00</t>
  </si>
  <si>
    <t>GLUCOMETRO</t>
  </si>
  <si>
    <t>TUBO ENDOTRAQUEAL  4,0 C/BALON  X UND.</t>
  </si>
  <si>
    <t>SABANA DE CAMILLA 35GRS- SMS ( 1 X 1.80 ) X UND.</t>
  </si>
  <si>
    <t>123-26</t>
  </si>
  <si>
    <t>Caja x 120 unid</t>
  </si>
  <si>
    <t>1530-1</t>
  </si>
  <si>
    <t>TIRA REACTIVA CAJA X 50 UND.</t>
  </si>
  <si>
    <t>TIRA REACTIVA</t>
  </si>
  <si>
    <t>Caja x 30 unid</t>
  </si>
  <si>
    <t>VENDA ELASTICA 7.5CM (3") X UNID</t>
  </si>
  <si>
    <t>ACTIMED</t>
  </si>
  <si>
    <t>Caja x 144 unid</t>
  </si>
  <si>
    <t>TUBO ENDOTRAQUEAL HI LOW 3.5 S/BALON X UND.</t>
  </si>
  <si>
    <t>DYND48035</t>
  </si>
  <si>
    <t>TUBO ENDOTRAQUEAL HI LOW 4.0 S/BALON X UND.</t>
  </si>
  <si>
    <t>DYND48040</t>
  </si>
  <si>
    <t>ELASTICA 7.5CMMTS. 1 UND.</t>
  </si>
  <si>
    <t>ELASTICA 7.5CM</t>
  </si>
  <si>
    <t>VENDA ELASTICA 5CM X 5 MTS. 1 UND.</t>
  </si>
  <si>
    <t>VENDA ELASTICA 5CM</t>
  </si>
  <si>
    <t>VENDA ELASTICA 10CM X 5 MTS. 1 UND.</t>
  </si>
  <si>
    <t>VENDA ELASTICA 10CM X 5 MTS LEROY X UND</t>
  </si>
  <si>
    <t>VENDA ELASTICA (IDEAL) 15CM X 5MTS. 1 UND.</t>
  </si>
  <si>
    <t>VENDA ELASTICA (IDEAL) 20CM X 5MTS. 1 UND.</t>
  </si>
  <si>
    <t>TUBO ENDOTRAQUEAL HI LOW 4.5 S/BALON X UND.</t>
  </si>
  <si>
    <t>DYND48045</t>
  </si>
  <si>
    <t>TUBO ENDOTRAQUEAL HI LOW 5.5 S/BALON X UND.</t>
  </si>
  <si>
    <t>DYND48055</t>
  </si>
  <si>
    <t>VENDA ESMARK COMPRESIVA 4 " X 9" X UND.</t>
  </si>
  <si>
    <t>VENDA ESMARK COMPRESIVA</t>
  </si>
  <si>
    <t>TUBO ENDOTRAQUEAL HI LOW 5.0 S/BALON X UND.</t>
  </si>
  <si>
    <t>TUBO ENDOTRAQUEAL HI LOW 5.0 S/BALON MEDLINE X UND</t>
  </si>
  <si>
    <t>CUIDADO DE HERIDAS</t>
  </si>
  <si>
    <t>DISPOSITIVO DE FIJACION RECARGABLE ARTICULADO X UNIDAD.</t>
  </si>
  <si>
    <t>RELTACKK3X10SW</t>
  </si>
  <si>
    <t>CARTUCHO 10 TACK ABSORBENTE X UNIDAD.</t>
  </si>
  <si>
    <t>RELTACK10R</t>
  </si>
  <si>
    <t>CANULA DE MAYO  (70MM. SZ.2) X UND.</t>
  </si>
  <si>
    <t>CANULA DE MAYO  (70mm. SZ.2) x Und</t>
  </si>
  <si>
    <t>BULTO X 8 CAJAS</t>
  </si>
  <si>
    <t>APOSITO NU-DERM (ALGINATO) 2" X 2"  X UND.</t>
  </si>
  <si>
    <t>AWD202</t>
  </si>
  <si>
    <t>SYSTAGENIX</t>
  </si>
  <si>
    <t>ADHESIVO HY-TAPE 1/2" X 24UND (TUBO).</t>
  </si>
  <si>
    <t>105BLF</t>
  </si>
  <si>
    <t>HY-TAPE</t>
  </si>
  <si>
    <t>ADHESIVO HY-TAPE 1" X UNIDAD.</t>
  </si>
  <si>
    <t>110BLF</t>
  </si>
  <si>
    <t>CINTA CON OXIDO DE ZINC</t>
  </si>
  <si>
    <t>Hy-Tape es perfecto para un uso prolongado y se adhiere de forma segura a la piel grasa o con vello . Se retira fácilmente sin molestias ni irritación y deja poco o ningún residuo. Con Hy-Tape, la piel se mantiene sana e intacta. Hy-Tape está diseñado exclusivamente para uso externo y no es adecuado para procedimientos internos.</t>
  </si>
  <si>
    <t>OXIDO DE ZINC</t>
  </si>
  <si>
    <t>ADHESIVO HY-TAPE 1/2" X FRACCIÓN.</t>
  </si>
  <si>
    <t>5LF</t>
  </si>
  <si>
    <t>CANULA DE MAYO  (60MM. SZ.1) X UND.</t>
  </si>
  <si>
    <t>CANULA DE MAYO  (60mm. SZ.1) x Und</t>
  </si>
  <si>
    <t>TUBO ENDOTRAQUEAL 4.0 CON BALON X UND.</t>
  </si>
  <si>
    <t>100/100/04</t>
  </si>
  <si>
    <t>TUBO ENDOTRAQUEAL 4.5 C/BALON X UND.</t>
  </si>
  <si>
    <t>TUBO ENDOTRAQUEAL  2.0 SIN BALON X UND.</t>
  </si>
  <si>
    <t>5-10404</t>
  </si>
  <si>
    <t>TUBO ENDOTRAQUEAL 2.5 S/BALON X UND.</t>
  </si>
  <si>
    <t>TUBO ENDOTRAQUEAL  2.5 S/BALON  MARCA PORTEX SMITH MEDICAL X UND</t>
  </si>
  <si>
    <t>TUBO ENDOTRAQUEAL 4.5 S/BALON X UND.</t>
  </si>
  <si>
    <t>100/127/04</t>
  </si>
  <si>
    <t>CANULA DE MAYO  (80MM. SZ.3) X UND.</t>
  </si>
  <si>
    <t>N16-281G</t>
  </si>
  <si>
    <t>CANULA DE MAYO (90MM. SZ.4) X UND</t>
  </si>
  <si>
    <t>N16-291G</t>
  </si>
  <si>
    <t>CANULA MAYO AMARILLA</t>
  </si>
  <si>
    <t>CANULA DE MAYO  (100MM. SZ.5) X UND</t>
  </si>
  <si>
    <t>CANULA DE POOLE (CON MANGUERA DE 1.8 MTS) ESTERIL X UND.</t>
  </si>
  <si>
    <t>DYND50172</t>
  </si>
  <si>
    <t>CANULA DE POOLE CON MANGUERA DE 1.8 MTS. ESTERIL  X UND</t>
  </si>
  <si>
    <t>TUBO ENDOTRAQUEAL  5,0 CON BALON REFORZADO X UND.</t>
  </si>
  <si>
    <t>TUBO ENDOTRAQUEAL 3.5 C/BALON X UND.</t>
  </si>
  <si>
    <t>100/100/05</t>
  </si>
  <si>
    <t>TUBO ENDOTRAQUEAL 3.5 C/BALON</t>
  </si>
  <si>
    <t>TUBO ENDOTRAQUEAL 6.0 C/BALON X UND.</t>
  </si>
  <si>
    <t>100/100/06</t>
  </si>
  <si>
    <t>TUBO ENDOTRAQUEAL 5.0 S/BALON X UND.</t>
  </si>
  <si>
    <t>100/111/05</t>
  </si>
  <si>
    <t>TUBO ENDOTRAQUEAL 3.0 S/BALON HI LOW X UND.</t>
  </si>
  <si>
    <t>DYND48030</t>
  </si>
  <si>
    <t>TUBO ENDOTRAQUEAL 5.0 C/BALON X UND.</t>
  </si>
  <si>
    <t>TUBO ENDOTRAQUEAL 5.5 C/BALON X UND.</t>
  </si>
  <si>
    <t>TUBO ENDOTRAQUEAL 5.5 C/BALON</t>
  </si>
  <si>
    <t>RINGER LACTATO 500ML X UND</t>
  </si>
  <si>
    <t>SOLUCIONES</t>
  </si>
  <si>
    <t>TUBO ENDOTRAQUEAL 3.5 S/BALON  X UND.</t>
  </si>
  <si>
    <t>SOLUCION FISIOLOGICA 500 ML X UND</t>
  </si>
  <si>
    <t>TUBO ENDOTRAQUEAL 3.0 C/BALON X UND.</t>
  </si>
  <si>
    <t>100/100/03</t>
  </si>
  <si>
    <t>RESERVORIO 100CC X UND</t>
  </si>
  <si>
    <t>BRANDEN</t>
  </si>
  <si>
    <t>DREN ACANALADO REDONDO DE 19 FR SIN TROCAR X UND.</t>
  </si>
  <si>
    <t>DRENAJE TORAXICO  PLEUR-EVAC AD &amp; PED / X UND.</t>
  </si>
  <si>
    <t>A-8000I-06</t>
  </si>
  <si>
    <t>DREN ACANALADO REDONDO DE 10 FR SIN TROCAR X UND.</t>
  </si>
  <si>
    <t>SET TRANSFER PHARM-ASSITS DISPENSING  REF:PA01 X UNIDAD</t>
  </si>
  <si>
    <t>PA01</t>
  </si>
  <si>
    <t>MONO PARA CIRUJANO TALLA S X UND.</t>
  </si>
  <si>
    <t>DISMED</t>
  </si>
  <si>
    <t>RESERVORIO PARA CANISTER DE SUCCION (BASE A PRESIÓN) 1500CC X UND.</t>
  </si>
  <si>
    <t>RESERVORIO PARA CANISTER DE SUCCION (BASE A PRESIÓN) X UNID</t>
  </si>
  <si>
    <t>65652-631</t>
  </si>
  <si>
    <t>RESERVORIO PARA CANISTER DE SUCCION 1500CC (BASE A PRESIÓN) X UND.</t>
  </si>
  <si>
    <t>RESERVORIO</t>
  </si>
  <si>
    <t>RESERVORIO 400CC X UND.</t>
  </si>
  <si>
    <t>MANGUERA NO CONDUCTIVA 7MM X 30 MTS (GOMA DE SUCCION - PRECORTADO 1.8 MTS. C/ CONECT.)</t>
  </si>
  <si>
    <t>MANGUERA NO CONDUCTIVA 7MM X 1 MTS. (GOMA DE SUCCION)</t>
  </si>
  <si>
    <t>MANGUERA</t>
  </si>
  <si>
    <t>MANGUERA NO CONDUCTIVA 7MM X 30 MTS. (GOMA DE SUCCIÓN).</t>
  </si>
  <si>
    <t>CORTADORA LINEAL TLC 75 MARCA ETHICON-ENDOSURGERY  X UNIDAD</t>
  </si>
  <si>
    <t>TLC 75</t>
  </si>
  <si>
    <t>POLYPROPYLENE (MALLA DE PROLENE (15 X 15 CM) X UND.</t>
  </si>
  <si>
    <t>MALLAS</t>
  </si>
  <si>
    <t>MALLA</t>
  </si>
  <si>
    <t>POLYPROPYLENE - MALLA DE PROLENE (30 X 30 CM) X UND.</t>
  </si>
  <si>
    <t>ELECTRODO ADULTO ECG (CAJA X 50 UNDS)</t>
  </si>
  <si>
    <t>ELECTRODOS</t>
  </si>
  <si>
    <t>ALAMBRE DE KIRSCHER 1.2 X 225MM ( X UND).</t>
  </si>
  <si>
    <t>WIRES KIRSCHER</t>
  </si>
  <si>
    <t>ALAMBRE DE KIRSCHER</t>
  </si>
  <si>
    <t>AGUJA ESPINAL 25G X 3 1/2 X UND.</t>
  </si>
  <si>
    <t>INSUMEDICA</t>
  </si>
  <si>
    <t>AGUJA ESPINAL 25G</t>
  </si>
  <si>
    <t>AGUJA ESPINAL 20G X 3 1/2 X UND.</t>
  </si>
  <si>
    <t>N4629V2</t>
  </si>
  <si>
    <t>AGUJA ESPINAL</t>
  </si>
  <si>
    <t>AGUJA ESPINAL 20G X 3 1/2 X UND</t>
  </si>
  <si>
    <t>MODELO 333</t>
  </si>
  <si>
    <t>AGUJA ESPINAL 20G x 3 1/2 Marca BRAUN x Und</t>
  </si>
  <si>
    <t>AGUJA ESPINAL 18G X 3 1/2 X UND.</t>
  </si>
  <si>
    <t>AGUJA P/LOCALIZACION NERVIOS 50MM 21G X UND.</t>
  </si>
  <si>
    <t>LOCOPLEX</t>
  </si>
  <si>
    <t>AGUJA PARA FISTULA HEMODIALISIS 16G X UND.</t>
  </si>
  <si>
    <t>HC-30W/ UNA AGUJA</t>
  </si>
  <si>
    <t>NIPRO</t>
  </si>
  <si>
    <t>CATETER IV JELCO 14 G X 2 1/4" (RO) CAJA X 50UNDS.</t>
  </si>
  <si>
    <t>REF: 4038</t>
  </si>
  <si>
    <t>CATETER IV JELCO 18 G X 1 1/4" (RO) CAJA X 50UNDS.</t>
  </si>
  <si>
    <t>CATETER IV JELCO 18 G x 1 1/4" Marca Smith Medical  (RO) x Und</t>
  </si>
  <si>
    <t>CATETER IV JELCO 24 G X 3/4" (RO) CAJA X 50UNDS.</t>
  </si>
  <si>
    <t>CATETER IV JELCO 24 G x 3/4"   Marca Smith Medical (RO) x Und</t>
  </si>
  <si>
    <t>CATETER SWAN GANZ 7.5FR X UND.</t>
  </si>
  <si>
    <t>831F75</t>
  </si>
  <si>
    <t>CATETER SWAN GAN</t>
  </si>
  <si>
    <t>CATETER IV JELCO 20G X 1 1/4"(RO) CAJA X 50UNDS.</t>
  </si>
  <si>
    <t>CATETER IV JELCO 20G x 1 1/4"  Marca Smith Medical (RO) x Und</t>
  </si>
  <si>
    <t>CATETER IV JELCO 18 G X 1 1/4" (SERIVA) CAJA X 50 UNDS.</t>
  </si>
  <si>
    <t>REGULADOR DE FLUJO (CUENTA GOTAS) X UND.</t>
  </si>
  <si>
    <t>GM030201</t>
  </si>
  <si>
    <t>REGULADORES</t>
  </si>
  <si>
    <t>JERINGA  5 ML 21X1 1/2 CAJA X 100 UNID.</t>
  </si>
  <si>
    <t>JERINGAS</t>
  </si>
  <si>
    <t>JERINGA 20 ML 21 X 1 1/2</t>
  </si>
  <si>
    <t>JERINGA INSULINA 1 ML 27G X 1/2G CAJA X 100 UNDS.</t>
  </si>
  <si>
    <t>JERINGA 1 CC C/ROSCA M X 25UND.</t>
  </si>
  <si>
    <t>MSS011</t>
  </si>
  <si>
    <t>JERINGA 1 CC C/ROSCA MARCA MERITMEDICAL X UND</t>
  </si>
  <si>
    <t>JERINGA 10 ML 21 X 1 1/2. CAJA X 100UNID.</t>
  </si>
  <si>
    <t>JERINGA   3 ML 21 X 1 1/2 CAJA X 100UNID.</t>
  </si>
  <si>
    <t>JERINGA 60 ML CON ROSCA X  25 UND.</t>
  </si>
  <si>
    <t>SY60WN</t>
  </si>
  <si>
    <t>BULTO X 400 UND</t>
  </si>
  <si>
    <t>JERINGA 60 ML CON ROSCA</t>
  </si>
  <si>
    <t>JERINGA 60 ML TIPO TOMMY X UND.</t>
  </si>
  <si>
    <t>JERINGA 60 ML TIPO TOMMY</t>
  </si>
  <si>
    <t>JERINGA DE ASEPTO BULBO X UND</t>
  </si>
  <si>
    <t>AS011</t>
  </si>
  <si>
    <t>AMSINO</t>
  </si>
  <si>
    <t>JERINGA DE ASEPTO</t>
  </si>
  <si>
    <t>DURAGEN PLUS DURAL 2,5 X 7,5  X UNIDAD.</t>
  </si>
  <si>
    <t>DP1013</t>
  </si>
  <si>
    <t>INTEGRA LIFESCIENCES</t>
  </si>
  <si>
    <t>CENTRO DE CAMA  90 X 60- SUPER ABSORBENTE - PAQ. X 10 UNDS.</t>
  </si>
  <si>
    <t>COTONOIDE 1/2" X 1/2" (SOBRE X 10 UNID).</t>
  </si>
  <si>
    <t>NEUROSPNG0</t>
  </si>
  <si>
    <t>COTONOIDE 3" X 3" (SOBRE X 10UND) .</t>
  </si>
  <si>
    <t>DE ROYAL</t>
  </si>
  <si>
    <t>COTONOIDE 1" X 3" (SOBRE X 10 UNDS).</t>
  </si>
  <si>
    <t>HEMOTASTICOS</t>
  </si>
  <si>
    <t>COTONOIDE 1/2" X 1 1/2" (SOBRE X 10 UNDS.)</t>
  </si>
  <si>
    <t>ESPECULO OTICO ADULTO 4.25MM ( X 34 PIEZAS).</t>
  </si>
  <si>
    <t>WELCH ALLYN</t>
  </si>
  <si>
    <t>Caja x 34 unid</t>
  </si>
  <si>
    <t>ESPECULO</t>
  </si>
  <si>
    <t>ESPECULO OTICO ADULTO</t>
  </si>
  <si>
    <t>ESPECULO OTICO PEDIATRICO 2.75MM ( X 34 PIEZA).</t>
  </si>
  <si>
    <t>ESPECULO OTICO PEDIATRICO</t>
  </si>
  <si>
    <t>BRAZALETE 42 PULGADAS X UNIDAD.</t>
  </si>
  <si>
    <t>ZIMMER</t>
  </si>
  <si>
    <t>BRAZALETE</t>
  </si>
  <si>
    <t>CANULA DE MAYO  (40MM. SZ.00) X UND.</t>
  </si>
  <si>
    <t>CANULA DE MAYO  (50MM. SZ.0) X UND.</t>
  </si>
  <si>
    <t>DERMABOND ETHICON MINI X UND.</t>
  </si>
  <si>
    <t>DHVM12</t>
  </si>
  <si>
    <t>DERMABOND ETHICON MINI (</t>
  </si>
  <si>
    <t>ENGRAPADORA DE PIEL 35 W AZ35W X UND</t>
  </si>
  <si>
    <t>SUT. PDS II 6-0 CAJA 36 X UND.</t>
  </si>
  <si>
    <t>Z123H</t>
  </si>
  <si>
    <t>SUT. PDS II 6-0  Z123H x Und</t>
  </si>
  <si>
    <t>SUT. PDS II 4-0 CAJA X 12 UND.</t>
  </si>
  <si>
    <t>Z496G</t>
  </si>
  <si>
    <t>SUT. PDS II 4-0  Z496G x Und</t>
  </si>
  <si>
    <t>SUT. PDS II 5-0  Z493G X UND</t>
  </si>
  <si>
    <t>Z493G</t>
  </si>
  <si>
    <t>SUT. SURGIPRO CAJA X 36 UND.</t>
  </si>
  <si>
    <t>VP 521X / 8521H</t>
  </si>
  <si>
    <t>SUT. PDS II 1 XLH  CAJA X 12 UND.</t>
  </si>
  <si>
    <t>Z881G</t>
  </si>
  <si>
    <t>SAFELINER  KIT SEMI-RIGIDO 3000CC CON EXTENSION CAJA X 36 UNIDAD.</t>
  </si>
  <si>
    <t>SUCCION</t>
  </si>
  <si>
    <t>ENGRAPADORA DE PIEL QUIRURGICA 35W X UND.</t>
  </si>
  <si>
    <t>SUT. SURGIPRO II 3-0 CAJA X 12UNID.</t>
  </si>
  <si>
    <t>SP-5663G</t>
  </si>
  <si>
    <t>SUT. ACERO HILO P/MARCAPASO 2-0 SH/RECTA. CAJAX12UNID.</t>
  </si>
  <si>
    <t>SUT. POLYGLACTIN VICRYL  2-0  CAJA X 12 UNDS.</t>
  </si>
  <si>
    <t>G18226B0P J317H</t>
  </si>
  <si>
    <t>DEMETECH</t>
  </si>
  <si>
    <t>SUT. SAFIL VIOLET 0 (3,5) 70CM CAJA X 36 UNID.</t>
  </si>
  <si>
    <t>HR37S /  J340H</t>
  </si>
  <si>
    <t>SUT. POLYGLACTIN 910 VICRYL 1  CAJA X 12 UNDS.</t>
  </si>
  <si>
    <t>G1180136B0P J341H</t>
  </si>
  <si>
    <t>SUT. SURGIPRO 6-0 C-16 CAJA X 36UNID.</t>
  </si>
  <si>
    <t>VP555X</t>
  </si>
  <si>
    <t>Caja x 35 unid</t>
  </si>
  <si>
    <t>SUT. SURGIPRO 6-0 C-16/SC-16/A-60-C16/S6/ (VP555X) x Und</t>
  </si>
  <si>
    <t>SUT. POLYSORB 30" 75CM VIOLET CAJA X 36 UNID.</t>
  </si>
  <si>
    <t>CL-813 / J341H</t>
  </si>
  <si>
    <t>SUT. SURGIPRO 7-0 CAJA X 36 UNID.</t>
  </si>
  <si>
    <t>8703H</t>
  </si>
  <si>
    <t>SUT. SURGIPRO 7-0 BV-1 VP713/8703H/20S x Und</t>
  </si>
  <si>
    <t>SUT. CROMICO  GUT.SYNETURE 4-0 UG203 x Und</t>
  </si>
  <si>
    <t>UG203</t>
  </si>
  <si>
    <t>SUT. CROMICO GUT CAJA X 24 UNID.</t>
  </si>
  <si>
    <t>CG-48 BP- 27</t>
  </si>
  <si>
    <t>SUT. CROMICO GUT CG-48 BP- 27x Und</t>
  </si>
  <si>
    <t>SUT.CHROMIC GUT ETHICON 4-0 G121H x Und</t>
  </si>
  <si>
    <t>G121T</t>
  </si>
  <si>
    <t>SUT. VICRYL 1 , AG - CT1 - J341H ETHICON  X UND.</t>
  </si>
  <si>
    <t>J341H</t>
  </si>
  <si>
    <t>SUT. PXX41N MARCA COVIDIEN. CAJA X 6 UND</t>
  </si>
  <si>
    <t>PXX41N</t>
  </si>
  <si>
    <t>SUT. SEDA NEGRA TRENZ 2-0 CAJA X 24 UND.</t>
  </si>
  <si>
    <t>K843T</t>
  </si>
  <si>
    <t>FUNDA DE ALMOHADA x Und</t>
  </si>
  <si>
    <t>SUT. POLYSORB 5/0 AGUJA C-13 CAJA X 36 UNID.</t>
  </si>
  <si>
    <t>SL690</t>
  </si>
  <si>
    <t>SUT. POLYSORB 5/0 AGUJA C-13 REF SL690 (COVIDIEN) x Und</t>
  </si>
  <si>
    <t>SUT. CATGUT CROMICO 3/0 (3) 75CM HR26 / CAJA X 36UND</t>
  </si>
  <si>
    <t>SUT. CATGUT CROMICO 1 (5) 75CM  CAJA X 24 UNDS.</t>
  </si>
  <si>
    <t>813T  HR37S</t>
  </si>
  <si>
    <t>SUT. ETHICON 0 CAJA X 36 UND.</t>
  </si>
  <si>
    <t>G128H</t>
  </si>
  <si>
    <t>SUT. ETHICON G128H x Und</t>
  </si>
  <si>
    <t>SOLUCION OPA/28. 1 GALON.</t>
  </si>
  <si>
    <t>OPA-28</t>
  </si>
  <si>
    <t>SUT. COV V-LOC 180 ABSORBIBLE. 0 GS-21 (30 CM) CAJAX 12UNID.</t>
  </si>
  <si>
    <t>L0316</t>
  </si>
  <si>
    <t>SUT. COV V-LOC 180 ABSORBIBLE. 0 GS-21 (30 Cm.) REF:L0316 x Und</t>
  </si>
  <si>
    <t>SUT. COV V-LOC 180 ABSORBIBLE. 0 GS-21 (15 CM) CAJA X 12 UNID.</t>
  </si>
  <si>
    <t>REF:L0306</t>
  </si>
  <si>
    <t>SUT. MONOSOF 2-0 18" 45CM CAJA X 36 UNDS.</t>
  </si>
  <si>
    <t>(SN 764-164T)</t>
  </si>
  <si>
    <t>SUT. MONOSOF 2-0 18" 45CM  (SN 764-164T) x Und./\Presentacion Caja x 36 Unds.</t>
  </si>
  <si>
    <t>ECHELON FLEX POWERED PLUS STAPPLER MARCA ETHICON (PLEE45A) X UNIDAD</t>
  </si>
  <si>
    <t>PLEE45A</t>
  </si>
  <si>
    <t>SUT. MONOSOF 4-0(1,5) 45CM 18" CAJA X 36 UND.</t>
  </si>
  <si>
    <t>SN-662-14502T</t>
  </si>
  <si>
    <t>SUT. ETHILON 7-0, P-1  CAJA X 12 UND.</t>
  </si>
  <si>
    <t>1696G</t>
  </si>
  <si>
    <t>SUT. ETHILON 7-0, P-1 1696G X UND</t>
  </si>
  <si>
    <t>SUT. SOFSILK 0 3.5M 30" 75CM CAJA X 36 UNID.</t>
  </si>
  <si>
    <t>GS 834 / K834H</t>
  </si>
  <si>
    <t>SUT. SURGIPRO II. MONOFILAMENT 3-0 CAJA X 24UNID.</t>
  </si>
  <si>
    <t>SP-5663 / 8184T</t>
  </si>
  <si>
    <t>SUT. PROLENE 4-0, 2 SH. CAJA X 36 UND.</t>
  </si>
  <si>
    <t>8521H</t>
  </si>
  <si>
    <t>CERA PARA HUESO 2.5G CAJA X 12 UNDS.</t>
  </si>
  <si>
    <t>BW2.5</t>
  </si>
  <si>
    <t>SUT. COV V-LOC 180 ABSORBIBLE. 2-0 CAJA X 12 UNID.</t>
  </si>
  <si>
    <t>L0315 GS-21</t>
  </si>
  <si>
    <t>SUT. COV V-LOC 90 ABSORBIBLE. 3-0  CAJA X 12 UNID.</t>
  </si>
  <si>
    <t>GU-46 M1744</t>
  </si>
  <si>
    <t>SUT. COV V-LOC 90 ABSORBIBLE. 3-0 GU-46 REF:M1744  x Und</t>
  </si>
  <si>
    <t>SUT. COV V-LOC 90 ABSORBIBLE. 3-0 V-20 CAJA X 12 UNID.</t>
  </si>
  <si>
    <t>M0604</t>
  </si>
  <si>
    <t>SUT. COV V-LOC 90 ABSORBIBLE. 3-0 V-20 REF:M0604 x Und</t>
  </si>
  <si>
    <t>SUT. ETHIBOND 2-0 SH/SH PXX82 SIN TELFA X UND</t>
  </si>
  <si>
    <t>SUT. ETHIBOND 2-0SH SIN TELFA. CAJA X 36 UND.</t>
  </si>
  <si>
    <t>X563H</t>
  </si>
  <si>
    <t>SUT. ETHIBOND 2-0SH X563H SIN TELFA x Und</t>
  </si>
  <si>
    <t>SOLUCION CIDEX OPA X UND</t>
  </si>
  <si>
    <t>ASP</t>
  </si>
  <si>
    <t>SOLUCION CIDEX OPA COD.20391 X UND</t>
  </si>
  <si>
    <t>SUT. CHROMIC CATGUT 70CM  1/2  CAJA X 24 UNDS.</t>
  </si>
  <si>
    <t>812T CT-1</t>
  </si>
  <si>
    <t>SUT. CHROMIC CATGUT CROMICO 1 CAJA X 12 UNDS.</t>
  </si>
  <si>
    <t>813T CC1120136B0P</t>
  </si>
  <si>
    <t>SUT. CHROMIC CATGUT CROMICO 2-0 CAJA X 12 UNDS.</t>
  </si>
  <si>
    <t>811T CC1122036BOP</t>
  </si>
  <si>
    <t>SUT. CHROMIC CATGUT CROMICO 3-0 CAJA X 12 UNDS.</t>
  </si>
  <si>
    <t>810T CC1123036BOP</t>
  </si>
  <si>
    <t>SUT. CHROMIC CATGUT CROMICO 4-0 CAJA X 12 UNDS.</t>
  </si>
  <si>
    <t>U203T CC1124017B0P</t>
  </si>
  <si>
    <t>SUT. PLAIN CATGUT  2-0 CAJA X 12 UNDS.</t>
  </si>
  <si>
    <t>843T CP1132036BOP</t>
  </si>
  <si>
    <t>SUT. PLAIN  CATGUT 3-0  CAJA X 12 UNDS.</t>
  </si>
  <si>
    <t>842 CP1133036BOP</t>
  </si>
  <si>
    <t>SUT. NYLON ETHILON 2-0 CAJA X 12 UNDS.</t>
  </si>
  <si>
    <t>164T NL162026F4P</t>
  </si>
  <si>
    <t>SUT. NYLON ETHILON 2-0  CAJA X 12 UNDS.</t>
  </si>
  <si>
    <t>628H</t>
  </si>
  <si>
    <t>SUT. NYLON ETHILON 3-0  CAJA X 12 UNDS.</t>
  </si>
  <si>
    <t>627H NL263060A4P</t>
  </si>
  <si>
    <t>SUT. NYLON MONOFILAMENT ETHILON 3-0 CAJA X 12 UNDS.</t>
  </si>
  <si>
    <t>163T NL163024F4P</t>
  </si>
  <si>
    <t>SUT. NYLON ETHILON 3-0 CAJA X 12 UNDS.</t>
  </si>
  <si>
    <t>14503T</t>
  </si>
  <si>
    <t>SUT. NYLON ETHILON 4-0  CAJA X 12 UNDS.</t>
  </si>
  <si>
    <t>14502T NL164019F4P</t>
  </si>
  <si>
    <t>SUT. NYLON ETHILON 5-0 CAJA X 12 UNDS.</t>
  </si>
  <si>
    <t>14501T NL165019F4P</t>
  </si>
  <si>
    <t>SUT. NYLON ETHILON 6-0 CAJA X 12 UNDS.</t>
  </si>
  <si>
    <t>160T</t>
  </si>
  <si>
    <t>SUT. NYLON ETHILON 10-0 CAJA X 12 UNDS.</t>
  </si>
  <si>
    <t>7718G  NL86100065G7P</t>
  </si>
  <si>
    <t>SUT. POLYGLACTIN VICRYL  0  CAJA X 12 UNDS.</t>
  </si>
  <si>
    <t>J340H G1180036B0P</t>
  </si>
  <si>
    <t>SUT. POLYGLACTIN VICRYL  2-0   CAJA X 12 UNDS.</t>
  </si>
  <si>
    <t>J339H</t>
  </si>
  <si>
    <t>SUT. POLYGLACTIN VICRYL  3-0 CAJA X 12 UNDS.</t>
  </si>
  <si>
    <t>J123H G1173019F4P</t>
  </si>
  <si>
    <t>SUT. POLYGLACTIN VICRYL 3-0 CAJA X 12 UNDS.</t>
  </si>
  <si>
    <t>J316H G1183026B0P</t>
  </si>
  <si>
    <t>SUT. POLYGLACTIN VICRYL  3-0  CAJA X 12 UNDS.</t>
  </si>
  <si>
    <t>J338H G283036B0P</t>
  </si>
  <si>
    <t>SUT. POLYGLACTIN VICRYL  4-0  CAJA X 12 UNDS.</t>
  </si>
  <si>
    <t>J122H G1174019F4P</t>
  </si>
  <si>
    <t>SUT. POLIGLECAPRONE MONOCRYL 3-0 CAJA X 12 UNDS.</t>
  </si>
  <si>
    <t>Y427H MO1173019F13M</t>
  </si>
  <si>
    <t>SUT. POLIGLECAPRONE MONOCRYL 4-0 CAJA X 12 UNDS.</t>
  </si>
  <si>
    <t>Y426H MO1174019F13M</t>
  </si>
  <si>
    <t>POLYPROPYLENE  PROLENE 2-0  CAJA X 12 UNDS.</t>
  </si>
  <si>
    <t>8623H  PM292060A4P</t>
  </si>
  <si>
    <t>POLYPROPYLENE PROLENE 3-0  CAJA X 12 UNDS.</t>
  </si>
  <si>
    <t>8184T PM193024F4P</t>
  </si>
  <si>
    <t>POLYPROPYLENE  PROLENE 3-0  CAJA X 12 UNDS.</t>
  </si>
  <si>
    <t>8622H PM293060A4P</t>
  </si>
  <si>
    <t>POLYPROPYLENE  PROLENE 4-0  CAJA X 12 UNDS.</t>
  </si>
  <si>
    <t>8183T PM194019F4P</t>
  </si>
  <si>
    <t>POLYPROPILENE PROLENE 6-0  CAJA X 12 UNDS.</t>
  </si>
  <si>
    <t>8160T PM196016F4P</t>
  </si>
  <si>
    <t>RAPID ABSORBABLE 3-0 RAPID CAJA X 12 UNDS.</t>
  </si>
  <si>
    <t>VR9923G PGR273019F13M</t>
  </si>
  <si>
    <t>PGR1173019F13M</t>
  </si>
  <si>
    <t>SILK SK SEDA 0  CAJA X 12 UNDS.</t>
  </si>
  <si>
    <t>K860H 260026F4P</t>
  </si>
  <si>
    <t>SILK SK SEDA 0 CAJA X 12 UNDS.</t>
  </si>
  <si>
    <t>K834H 260026B0P</t>
  </si>
  <si>
    <t>SILK SK SEDA 1 - NO NEEDLE - CAJA X 12 UNDS.</t>
  </si>
  <si>
    <t>SA87T</t>
  </si>
  <si>
    <t>SILK SK SEDA 2-0  CAJA X 12 UNDS.</t>
  </si>
  <si>
    <t>K833H 262026B0P</t>
  </si>
  <si>
    <t>SILK SEDA 2-0  CAJA X 12 UNDS.</t>
  </si>
  <si>
    <t>623H SK262060A4P</t>
  </si>
  <si>
    <t>SILK SEDA 2 CAJA X 12 UNDS.</t>
  </si>
  <si>
    <t>K843H SK262036B0P</t>
  </si>
  <si>
    <t>SILK  SEDA 3-0 / NO NEEDLE  / CAJA X 12 UNDS.</t>
  </si>
  <si>
    <t>SA84T SK10X2630</t>
  </si>
  <si>
    <t>POLYESTER BRAIDED WITHOUT COVERING 5-0 CAJA X 12 UNDS.</t>
  </si>
  <si>
    <t>1760G</t>
  </si>
  <si>
    <t>POLYESTER BRAIDED WITHOUT  COVERING  6-0  CAJA X 12 UNDS.</t>
  </si>
  <si>
    <t>1722G PT15600,8E9P</t>
  </si>
  <si>
    <t>POLYDIOXANONE  4.0  CAJA X 12 UNDS.</t>
  </si>
  <si>
    <t>PX1184019F4P</t>
  </si>
  <si>
    <t>SUT.BIOSYN 5-0 SM-5624 CAJA X 12 UND</t>
  </si>
  <si>
    <t>SUT. SOFSILK 2-0 30" 75CM CAJA X 36 UND.</t>
  </si>
  <si>
    <t>GS 833 / K833H</t>
  </si>
  <si>
    <t>SUT. SEDA NEGRA TRENZ 1 PERMA-HAND CAJA X 12 UND</t>
  </si>
  <si>
    <t>SA87G</t>
  </si>
  <si>
    <t>SUT. SEDA NEGRA TRENZ 1 PERMA-HAND (SA87G) x Und.</t>
  </si>
  <si>
    <t>SUT. MONOSYN VIOLETA 3-0 GS60 70CM / CAJA X 36</t>
  </si>
  <si>
    <t>Y523H</t>
  </si>
  <si>
    <t>SUT.PDS II Z317H X UND./\PRESENTACION CAJA X 36</t>
  </si>
  <si>
    <t>Z317H</t>
  </si>
  <si>
    <t>SUT.PDS II 4-0 Z310H ETHICON X UNIDAD</t>
  </si>
  <si>
    <t>Z310H</t>
  </si>
  <si>
    <t>SUT.SEDA NEGRA TRENZ 4.0 CAJA X 36 UND.</t>
  </si>
  <si>
    <t>267H</t>
  </si>
  <si>
    <t>MASCARA DE VENTURY  ADULTO CON 6 VALVULAS X UNID.</t>
  </si>
  <si>
    <t>HCSU120E</t>
  </si>
  <si>
    <t>SET LINEA ART.AXILAR 20G  X UND.</t>
  </si>
  <si>
    <t>NS-04100</t>
  </si>
  <si>
    <t>GUANTES DE EXAMEN DE LATEX TALLA "L" CAJA X 100 UNDS.</t>
  </si>
  <si>
    <t>GUANTES</t>
  </si>
  <si>
    <t>GUANTE</t>
  </si>
  <si>
    <t>GUANTE DE NITRILO TALLA "S" COLOR AZUL CAJA X 100 UNDS.</t>
  </si>
  <si>
    <t>TRAQUEOTOMO NEONATAL C/BALON 3.5  X UNIDAD.</t>
  </si>
  <si>
    <t>3.5NCF</t>
  </si>
  <si>
    <t>GUANTE DE NITRILO TALLA "M" COLOR AZUL CAJA X 100 UNDS.</t>
  </si>
  <si>
    <t>GUAN</t>
  </si>
  <si>
    <t>GUANTES ESTERIL LATEX BIOGEL 7.0 X 50 UND</t>
  </si>
  <si>
    <t>BIOGEL</t>
  </si>
  <si>
    <t>GUANTES DE CIRUJANO N° 8.0 CAJA X 50 UNID.</t>
  </si>
  <si>
    <t>APOSITO DUODERM 2.5"X2.5"  X 5UND.</t>
  </si>
  <si>
    <t>CONVATEC</t>
  </si>
  <si>
    <t>TRAQUEOSTOMO Nª 6 X UND</t>
  </si>
  <si>
    <t>TRAQUEOSTOMO Nª 9 1/2 X UND</t>
  </si>
  <si>
    <t>TRAQUEOSTOMO DE CRISTAL Nª 8.0  CON BALON X UND</t>
  </si>
  <si>
    <t>7CN80H</t>
  </si>
  <si>
    <t>TRAQUEOSTOMO NEONATAL C/BALON 3.5 X UND</t>
  </si>
  <si>
    <t>3.5CNF</t>
  </si>
  <si>
    <t>GUANTES DE NITRILO TALLA "S" COLOR NEGRO. CAJA X 100 UNDS.</t>
  </si>
  <si>
    <t>GM050421</t>
  </si>
  <si>
    <t>GUANTES DE NITRILO TALLA "S" GROSSMED</t>
  </si>
  <si>
    <t>GUANTES DE NITRILO TALLA "M" COLOR AZUL. CAJA X 100 UNDS.</t>
  </si>
  <si>
    <t>S/REF</t>
  </si>
  <si>
    <t>GUANTES ESTERIL LATEX BIOGEL 7.5  (CAJA X  50UNDS).</t>
  </si>
  <si>
    <t>SURGEONS</t>
  </si>
  <si>
    <t>GUANTES ESTERIL LATEX BIOGEL</t>
  </si>
  <si>
    <t>TRAQUEOTOMO CRISTAL 7.0  CON BALON  X UND</t>
  </si>
  <si>
    <t>5CN70H</t>
  </si>
  <si>
    <t>GUANTES ESTERIL LATEX BIOGEL 6.5 (CAJA X 50UNDS).</t>
  </si>
  <si>
    <t>TRAQUEOTOMO FENESTRADO S/BALON 8.0 X UND</t>
  </si>
  <si>
    <t>TRAQUEOTOMO FENESTRADO 6.0 X UND.</t>
  </si>
  <si>
    <t>TRAQUEOTOMO 8.0 CON BALON X UND.</t>
  </si>
  <si>
    <t>TRAQUEOSTOMO FENESTRADO 7.0 X UND</t>
  </si>
  <si>
    <t>TRAQUEOTOMO DESCARTABLE PEDIATRICO 5.5</t>
  </si>
  <si>
    <t>5.5PCF</t>
  </si>
  <si>
    <t>TRAQUEOTOMO DE CRISTAL 6.0 CON BALON  X UND</t>
  </si>
  <si>
    <t>TRAQUEOTOMO DESCARTABLE PEDIATRICO 4.0</t>
  </si>
  <si>
    <t>4.0NCF</t>
  </si>
  <si>
    <t>TRAQUEOTOMO DE CRISTAL 6.5 CON BALON X UND</t>
  </si>
  <si>
    <t>TRAQUEOSTOMO DE CRISTAL Nª 6.5 X UND</t>
  </si>
  <si>
    <t>4CN65H</t>
  </si>
  <si>
    <t>TRAQUEOTOMO DESCARTABLE PEDIATRICO 3.0</t>
  </si>
  <si>
    <t>3.0NCF</t>
  </si>
  <si>
    <t>GUANTES DE EXAMEN DE LATEX TALLA "S" CAJA X 100 UNDS.</t>
  </si>
  <si>
    <t>GUANTE DE NITRILO TALLA "L" COLOR AZUL. CAJA X 100 UNDS.</t>
  </si>
  <si>
    <t>GM050413</t>
  </si>
  <si>
    <t>GUANTE DE NITRILO TALLA "L"</t>
  </si>
  <si>
    <t>GUANTES DE CIRUJANO N° 6.5. CAJA X 50 UNDS.</t>
  </si>
  <si>
    <t>GUANTES DE CIRUJANO N° 7.5. CAJA X 50 UNDS.</t>
  </si>
  <si>
    <t>GUANTES DE CIRUJANO N° 7.0. CAJA X 50 UNDS.</t>
  </si>
  <si>
    <t>GUANTES DE EXAMEN DE LATEX TALLA "M" CAJA X 100 UNDS.</t>
  </si>
  <si>
    <t>GUANTES DE EXAMEN DE NITRILO TALLA "L" COLOR AZUL.  CAJA X 100 UNDS.</t>
  </si>
  <si>
    <t>MASCARA DE VENTURY CON 6 VALVULAS REF: 263050210 - MARCA MEDEX X UND.</t>
  </si>
  <si>
    <t>JOHNSON'S BABY BEDTIME OIL C/ AROMAS NATURALES TRANQUILOS (10.1 FL OZ) X UND.</t>
  </si>
  <si>
    <t>JOHNSON'S BABY BARRA JABÓN SUAVE P/ BAÑO BEBÉ HIPOALERGÉNICA, 3OZ X UND</t>
  </si>
  <si>
    <t>JOHNSON'S BABY CARE ESSENTIALS - LAVADO CORPORAL, CHAMPÚ, LOCIÓN Y PASTA DE ÓXIDO DE ZINC</t>
  </si>
  <si>
    <t>JOHNSON Y JOHNSON BEBÉ ORO CHAMPÚ 200 ML – POR JOHNSON 'S BABY</t>
  </si>
  <si>
    <t>JOHNSON'S LOCIÓN HIDRATANTE ROSA PARA BEBÉS C/ ACEITE DE COCO, 27.1 ONZAS LÍQUIDAS</t>
  </si>
  <si>
    <t>Eucerin Original loción curativa 8.4 oz</t>
  </si>
  <si>
    <t>CARGADOR - ENCHUFE PARA BOMBA X UNIDAD.</t>
  </si>
  <si>
    <t>9.10.01.00</t>
  </si>
  <si>
    <t>CARGADOR - ENCHUFE PARA BOMBA SINOMAT X UNIDAD</t>
  </si>
  <si>
    <t>PANTALLA PARA BOMBA SINOMAT  X UNIDAD.</t>
  </si>
  <si>
    <t>SN-S1 LCD SCREEN</t>
  </si>
  <si>
    <t>SINOMEDICAL</t>
  </si>
  <si>
    <t>REVISION BOMBA DE INFUSION.</t>
  </si>
  <si>
    <t>REVISION BOMBA DE INFUSION</t>
  </si>
  <si>
    <t>INSTALACION DE PANTALLA X UNIDAD</t>
  </si>
  <si>
    <t>CALIBRACION DE BOMBA SINOMAT</t>
  </si>
  <si>
    <t>PROTECTOR DE YESO PARA 1/2 PIERNA X 2 UNDS.</t>
  </si>
  <si>
    <t>WATERPROFF</t>
  </si>
  <si>
    <t>CAJA X 2 UND</t>
  </si>
  <si>
    <t>PROTECTOR YESO</t>
  </si>
  <si>
    <t>PROTECTOR DE YESO PARA 1/2 BRAZO X 3 UNDS.</t>
  </si>
  <si>
    <t>Caja x 3 unid</t>
  </si>
  <si>
    <t>PICADOR DE PASTILLA MARCA MEDLINE X UNIDAD</t>
  </si>
  <si>
    <t>PICADOR DE PASTILLA X UNIDAD.</t>
  </si>
  <si>
    <t>OTROS EUROCARE</t>
  </si>
  <si>
    <t>PICADOR DE PASTILLA MARCA MC KENSSO X UNIDAD</t>
  </si>
  <si>
    <t>HYPAFIX TRANSPARENTE-BSN</t>
  </si>
  <si>
    <t>REUTILIZAR</t>
  </si>
  <si>
    <t>REUTILIZZAR</t>
  </si>
  <si>
    <t>BANDEJA INTRODUCTOR PARA TRAQUEOTOMIA  (REF G12513-SD) X UND</t>
  </si>
  <si>
    <t>G12513</t>
  </si>
  <si>
    <t>SUPERVEN</t>
  </si>
  <si>
    <t>BOLSA DE NUTRICION PARENTERAL 2000ML  X UND.</t>
  </si>
  <si>
    <t>CARTUCHO AUTOSUTURA TA 30 3.5 AZUL (REF TA3035L) X UND</t>
  </si>
  <si>
    <t>CATETER IV JELCO 20G X 1 1/4" (SERIVA) CAJA X 50 UNDS.</t>
  </si>
  <si>
    <t>CONECTOR CLAVE CON ESPIGA</t>
  </si>
  <si>
    <t>RE</t>
  </si>
  <si>
    <t>ESPECULO OTICO ADULTO WELCH ALLYN 4.25mm Ref:52434 x Und</t>
  </si>
  <si>
    <t>REUTILIZAAR</t>
  </si>
  <si>
    <t>ESPECULO OTICO PEDIATRICO WELCH ALLYN 2.75mm Ref:52432-u x Und</t>
  </si>
  <si>
    <t>FLOTRAC SENSOR CATETER MHD85-SD</t>
  </si>
  <si>
    <t>MHD65</t>
  </si>
  <si>
    <t>GUANTE DE NITRILO TALLA "L" GROSSMED COLOR AZU. CAJA X 100 UNDS.</t>
  </si>
  <si>
    <t>GUANTES DE CIRUJANO # 6.5 x Und</t>
  </si>
  <si>
    <t>SOSFT</t>
  </si>
  <si>
    <t>GUANTES DE CIRUJANO Nro. 8 x Und</t>
  </si>
  <si>
    <t>GUANTES DE EXAMEN DE LATEX TALLA "L"  CAJA X 100 UNDS.</t>
  </si>
  <si>
    <t>CHITO GLOVE</t>
  </si>
  <si>
    <t>GUANTES DE EXAMEN DE LATEX TALLA "S" Marca Ekomax/\Presentacion Caja x 100 Unds.</t>
  </si>
  <si>
    <t>EKOMAX</t>
  </si>
  <si>
    <t>INT.PERCUT 8.5 FRX10 SI-09806 P/SWAN GANZ</t>
  </si>
  <si>
    <t>09806</t>
  </si>
  <si>
    <t>MASCARA DE VENTURY ADULTO CON 6 VALVULAS (REF.HCSU120E) MEDLINEx Und</t>
  </si>
  <si>
    <t>SET LINEA ART.AXILAR 20G ARR-NS-04100-SN</t>
  </si>
  <si>
    <t>SOLUCION CIDEX OPA ( CAJA X 4).</t>
  </si>
  <si>
    <t>SONDA DE ALIMENTACION DOBB HOFF 12Fr - (Nasoduodenal) - Ref. 8884711253 x Und</t>
  </si>
  <si>
    <t>SN 764-164T</t>
  </si>
  <si>
    <t>SUT. SEDA NEGRA TRENZ 2-0 MH K843T x Und</t>
  </si>
  <si>
    <t>REUTIILIZAR</t>
  </si>
  <si>
    <t>SUT. SAFIL VIOLET 1 (4) 70CM CAJA X 36 UNID.</t>
  </si>
  <si>
    <t>SUT. Safil Violet 1 (4) 70cm Hr37s (M) Braun C1048097 (J341H) x Und</t>
  </si>
  <si>
    <t>EURODERM ROLL 10 CM X 10 MT. (HYPAFIX TRANSPARENTE) X UND. REF 715602</t>
  </si>
  <si>
    <t>TUBO ENDOTRAQUEAL  5,5 C/BALON REFORZADO X UND.</t>
  </si>
  <si>
    <t>TUBO ENDOTRAQUEAL 3.5 C/BALON MARCA AIRCARE SMITH MEDICAL x Und</t>
  </si>
  <si>
    <t>TUBO ENDOTRAQUEAL 5,5 C/BALON //C ESTILETA MEDLINE x Und</t>
  </si>
  <si>
    <t>DYNJAETC55</t>
  </si>
  <si>
    <t>TUBO ENDOTRAQUEAL 5.5 C/BALON MARCA AIRCARE SMITH MEDICAL x Und</t>
  </si>
  <si>
    <t>TUBO ENDOTRAQUEAL HI LOW 4.0 S/BALON MEDLINE x Und</t>
  </si>
  <si>
    <t>Bulto x 1600 unid</t>
  </si>
  <si>
    <t>AGUJA PARA FISTULA HEMODIALISIS 16G x Und (REFHC-30W/ UNA AGUJA)</t>
  </si>
  <si>
    <t>GASA ESTERIL 4" x 8" C / RAYTEC  Marca MEDLINE Paquete x 10 Und.</t>
  </si>
  <si>
    <t>OBTURADOR AMARILLO</t>
  </si>
  <si>
    <t>AGUJA P/LOCALIZACION NERVIOS 50MM 21G X UND</t>
  </si>
  <si>
    <t>AGUJA P/LOCALIZACION NERVIOS 50MM 21G x Und</t>
  </si>
  <si>
    <t>BANDEJA INT P/TRAQUEOTOMIA G12513-SD x Und</t>
  </si>
  <si>
    <t>BOLSA DE NUTRICION PARENTERAL 2000ml - Marca Victus REF 4002782 x Und</t>
  </si>
  <si>
    <t>SUEST</t>
  </si>
  <si>
    <t>CARTUCHO AUTOSUTURA TA 30 3.5 AZUL TA3035L x Und</t>
  </si>
  <si>
    <t>CONECTOR CLAVE C/ESPIGA</t>
  </si>
  <si>
    <t>SOLUCION CIDEX OPA COD.20391 x Und</t>
  </si>
  <si>
    <t>SUT. Vicryl 1 J341H ETHICON  x Und</t>
  </si>
  <si>
    <t>VASO HUMIDIFICADOR MARCA MC KESSON x Und</t>
  </si>
  <si>
    <t>SET TRANSFER PHARM-ASSITS DISPENSING  REF:PA01</t>
  </si>
  <si>
    <t>SONDA DE ALIMENTACION DOBB HOFF 10FR (NASODUODENAL) - REF. 8884711006 X UND</t>
  </si>
  <si>
    <t>VASO HUMIDIFICADOR MARCA MC KESSON X UND</t>
  </si>
  <si>
    <t>POLYPROPILENE PROLENE 6-0 CAJA X 12 UNDS.</t>
  </si>
  <si>
    <t>SONDA DE ALIMENTACION 5 FR. MARCA COVIDIEN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</si>
</sst>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43" fontId="0" fillId="2" borderId="0" xfId="1" applyFont="1" applyFill="1"/>
    <xf numFmtId="0" fontId="1" fillId="2" borderId="0" xfId="0" applyFont="1" applyFill="1"/>
    <xf numFmtId="43" fontId="1" fillId="2" borderId="0" xfId="1" applyFont="1" applyFill="1"/>
    <xf numFmtId="43" fontId="0" fillId="2" borderId="0" xfId="0" applyNumberFormat="1" applyFill="1"/>
    <xf numFmtId="0" fontId="0" fillId="0" borderId="0" xfId="0" applyAlignme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oral_1sventas\master_prod_15todos(30-11-24)_ng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_prod_15todos(30-11-24)_n"/>
      <sheetName val="master_prod_15todos(30-11-2 (2)"/>
      <sheetName val="SIN EXISTENCIA NO LO CREE"/>
    </sheetNames>
    <sheetDataSet>
      <sheetData sheetId="0"/>
      <sheetData sheetId="1">
        <row r="2">
          <cell r="B2">
            <v>250210129</v>
          </cell>
          <cell r="C2" t="str">
            <v>110BLF</v>
          </cell>
          <cell r="D2" t="str">
            <v>ADHESIVO HY-TAPE 1" Marca Hy-Tape x Und</v>
          </cell>
          <cell r="E2" t="str">
            <v>HY-TAPE</v>
          </cell>
          <cell r="F2" t="str">
            <v>OXIDO DE ZINC</v>
          </cell>
          <cell r="G2" t="str">
            <v/>
          </cell>
          <cell r="H2" t="str">
            <v/>
          </cell>
          <cell r="I2" t="str">
            <v/>
          </cell>
          <cell r="J2">
            <v>1</v>
          </cell>
          <cell r="K2">
            <v>1</v>
          </cell>
          <cell r="L2" t="str">
            <v>C</v>
          </cell>
          <cell r="M2">
            <v>320</v>
          </cell>
          <cell r="N2" t="str">
            <v>C</v>
          </cell>
          <cell r="O2">
            <v>279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338</v>
          </cell>
          <cell r="U2">
            <v>18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168.75</v>
          </cell>
          <cell r="AB2">
            <v>281.25</v>
          </cell>
          <cell r="AC2">
            <v>0</v>
          </cell>
          <cell r="AD2">
            <v>281.25</v>
          </cell>
          <cell r="AE2">
            <v>0</v>
          </cell>
          <cell r="AF2">
            <v>3.75</v>
          </cell>
          <cell r="AG2">
            <v>0.6</v>
          </cell>
        </row>
        <row r="3">
          <cell r="B3">
            <v>251850415</v>
          </cell>
          <cell r="C3" t="str">
            <v>MODELO 333</v>
          </cell>
          <cell r="D3" t="str">
            <v>AGUJA ESPINAL 20G x 3 1/2 Marca BRAUN x Und</v>
          </cell>
          <cell r="E3" t="str">
            <v>BRAUN</v>
          </cell>
          <cell r="F3" t="str">
            <v/>
          </cell>
          <cell r="G3" t="str">
            <v/>
          </cell>
          <cell r="H3" t="str">
            <v/>
          </cell>
          <cell r="I3" t="str">
            <v>UND</v>
          </cell>
          <cell r="J3">
            <v>1</v>
          </cell>
          <cell r="K3">
            <v>1</v>
          </cell>
          <cell r="L3" t="str">
            <v>C</v>
          </cell>
          <cell r="M3">
            <v>314</v>
          </cell>
          <cell r="N3" t="str">
            <v>C</v>
          </cell>
          <cell r="O3">
            <v>250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5</v>
          </cell>
          <cell r="U3">
            <v>74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20</v>
          </cell>
          <cell r="AA3">
            <v>179.1</v>
          </cell>
          <cell r="AB3">
            <v>255.86</v>
          </cell>
          <cell r="AC3">
            <v>0</v>
          </cell>
          <cell r="AD3">
            <v>255.86</v>
          </cell>
          <cell r="AE3">
            <v>0</v>
          </cell>
          <cell r="AF3">
            <v>3.98</v>
          </cell>
          <cell r="AG3">
            <v>0.7</v>
          </cell>
        </row>
        <row r="4">
          <cell r="B4">
            <v>251850413</v>
          </cell>
          <cell r="C4" t="str">
            <v>N4629V2</v>
          </cell>
          <cell r="D4" t="str">
            <v>AGUJA ESPINAL 20G x 3 1/2 Marca MC KESSON x Und</v>
          </cell>
          <cell r="E4" t="str">
            <v>MC KESSON</v>
          </cell>
          <cell r="F4" t="str">
            <v/>
          </cell>
          <cell r="G4" t="str">
            <v/>
          </cell>
          <cell r="H4" t="str">
            <v/>
          </cell>
          <cell r="I4" t="str">
            <v>CJX25</v>
          </cell>
          <cell r="J4">
            <v>1</v>
          </cell>
          <cell r="K4">
            <v>1</v>
          </cell>
          <cell r="L4" t="str">
            <v>C</v>
          </cell>
          <cell r="M4">
            <v>243</v>
          </cell>
          <cell r="N4" t="str">
            <v>C</v>
          </cell>
          <cell r="O4">
            <v>216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5</v>
          </cell>
          <cell r="U4">
            <v>28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11</v>
          </cell>
          <cell r="AA4">
            <v>179.1</v>
          </cell>
          <cell r="AB4">
            <v>255.86</v>
          </cell>
          <cell r="AC4">
            <v>0</v>
          </cell>
          <cell r="AD4">
            <v>255.86</v>
          </cell>
          <cell r="AE4">
            <v>0</v>
          </cell>
          <cell r="AF4">
            <v>3.98</v>
          </cell>
          <cell r="AG4">
            <v>0.7</v>
          </cell>
        </row>
        <row r="5">
          <cell r="B5">
            <v>251850214</v>
          </cell>
          <cell r="C5" t="str">
            <v/>
          </cell>
          <cell r="D5" t="str">
            <v>AGUJA ESPINAL 25G x 3 1/2  Marca Insumedica x Und</v>
          </cell>
          <cell r="E5" t="str">
            <v>INSUMEDICA</v>
          </cell>
          <cell r="F5" t="str">
            <v/>
          </cell>
          <cell r="G5" t="str">
            <v/>
          </cell>
          <cell r="H5" t="str">
            <v/>
          </cell>
          <cell r="I5" t="str">
            <v>CJX50</v>
          </cell>
          <cell r="J5">
            <v>1</v>
          </cell>
          <cell r="K5">
            <v>1</v>
          </cell>
          <cell r="L5" t="str">
            <v>C</v>
          </cell>
          <cell r="M5">
            <v>269</v>
          </cell>
          <cell r="N5" t="str">
            <v>C</v>
          </cell>
          <cell r="O5">
            <v>235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</v>
          </cell>
          <cell r="U5">
            <v>198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100</v>
          </cell>
          <cell r="AA5">
            <v>54</v>
          </cell>
          <cell r="AB5">
            <v>77.14</v>
          </cell>
          <cell r="AC5">
            <v>0</v>
          </cell>
          <cell r="AD5">
            <v>77.14</v>
          </cell>
          <cell r="AE5">
            <v>0</v>
          </cell>
          <cell r="AF5">
            <v>1.2</v>
          </cell>
          <cell r="AG5">
            <v>0.7</v>
          </cell>
        </row>
        <row r="6">
          <cell r="B6">
            <v>251850602</v>
          </cell>
          <cell r="C6" t="str">
            <v/>
          </cell>
          <cell r="D6" t="str">
            <v>AGUJA P/LOCALIZACION NERVIOS 50MM 21G x Und</v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>UND</v>
          </cell>
          <cell r="J6">
            <v>1</v>
          </cell>
          <cell r="K6">
            <v>1</v>
          </cell>
          <cell r="L6" t="str">
            <v>C</v>
          </cell>
          <cell r="M6">
            <v>72</v>
          </cell>
          <cell r="N6" t="str">
            <v>B</v>
          </cell>
          <cell r="O6">
            <v>12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129</v>
          </cell>
          <cell r="U6">
            <v>85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10</v>
          </cell>
          <cell r="AA6">
            <v>883.35</v>
          </cell>
          <cell r="AB6">
            <v>1261.93</v>
          </cell>
          <cell r="AC6">
            <v>0</v>
          </cell>
          <cell r="AD6">
            <v>1261.93</v>
          </cell>
          <cell r="AE6">
            <v>0</v>
          </cell>
          <cell r="AF6">
            <v>19.63</v>
          </cell>
          <cell r="AG6">
            <v>0.7</v>
          </cell>
        </row>
        <row r="7">
          <cell r="B7">
            <v>251850204</v>
          </cell>
          <cell r="C7" t="str">
            <v/>
          </cell>
          <cell r="D7" t="str">
            <v>ALAMBRE DE KIRSCHER 1.2 x 225 mm x Und</v>
          </cell>
          <cell r="E7" t="str">
            <v>WIRES KIRSCHER</v>
          </cell>
          <cell r="F7" t="str">
            <v/>
          </cell>
          <cell r="G7" t="str">
            <v>TRAUMATOLOGIA ALAMBRES</v>
          </cell>
          <cell r="H7" t="str">
            <v/>
          </cell>
          <cell r="I7" t="str">
            <v>UND</v>
          </cell>
          <cell r="J7">
            <v>1</v>
          </cell>
          <cell r="K7">
            <v>1</v>
          </cell>
          <cell r="L7" t="str">
            <v>C</v>
          </cell>
          <cell r="M7">
            <v>409</v>
          </cell>
          <cell r="N7" t="str">
            <v>C</v>
          </cell>
          <cell r="O7">
            <v>400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7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</v>
          </cell>
          <cell r="AA7">
            <v>138.18600000000001</v>
          </cell>
          <cell r="AB7">
            <v>153.54</v>
          </cell>
          <cell r="AC7">
            <v>0</v>
          </cell>
          <cell r="AD7">
            <v>153.54</v>
          </cell>
          <cell r="AE7">
            <v>0</v>
          </cell>
          <cell r="AF7">
            <v>3.0708000000000002</v>
          </cell>
          <cell r="AG7">
            <v>0.9</v>
          </cell>
        </row>
        <row r="8">
          <cell r="B8">
            <v>241020110</v>
          </cell>
          <cell r="C8" t="str">
            <v/>
          </cell>
          <cell r="D8" t="str">
            <v>ALCOHOL ANTISEPTICO Frasco x 120 Ml.  Marca El Guardian x Und.</v>
          </cell>
          <cell r="E8" t="str">
            <v>LABORATORIO FARMA QUIMICA</v>
          </cell>
          <cell r="F8" t="str">
            <v/>
          </cell>
          <cell r="G8" t="str">
            <v/>
          </cell>
          <cell r="H8" t="str">
            <v/>
          </cell>
          <cell r="I8" t="str">
            <v>CJX72</v>
          </cell>
          <cell r="J8">
            <v>1</v>
          </cell>
          <cell r="K8">
            <v>1</v>
          </cell>
          <cell r="L8" t="str">
            <v>C</v>
          </cell>
          <cell r="M8">
            <v>217</v>
          </cell>
          <cell r="N8" t="str">
            <v>C</v>
          </cell>
          <cell r="O8">
            <v>155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188</v>
          </cell>
          <cell r="U8">
            <v>84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276</v>
          </cell>
          <cell r="AA8">
            <v>23.742000000000001</v>
          </cell>
          <cell r="AB8">
            <v>29.68</v>
          </cell>
          <cell r="AC8">
            <v>0</v>
          </cell>
          <cell r="AD8">
            <v>29.68</v>
          </cell>
          <cell r="AE8">
            <v>0</v>
          </cell>
          <cell r="AF8">
            <v>0.52759999999999996</v>
          </cell>
          <cell r="AG8">
            <v>0.8</v>
          </cell>
        </row>
        <row r="9">
          <cell r="B9">
            <v>241020109</v>
          </cell>
          <cell r="C9" t="str">
            <v/>
          </cell>
          <cell r="D9" t="str">
            <v>ALCOHOL ANTISEPTICO Galón (3,785 L) Marca El Guardian x Und.</v>
          </cell>
          <cell r="E9" t="str">
            <v>LABORATORIO FARMA QUIMICA</v>
          </cell>
          <cell r="F9" t="str">
            <v/>
          </cell>
          <cell r="G9" t="str">
            <v>ALCOHOL</v>
          </cell>
          <cell r="H9" t="str">
            <v/>
          </cell>
          <cell r="I9" t="str">
            <v/>
          </cell>
          <cell r="J9">
            <v>1</v>
          </cell>
          <cell r="K9">
            <v>1</v>
          </cell>
          <cell r="L9" t="str">
            <v>C</v>
          </cell>
          <cell r="M9">
            <v>84</v>
          </cell>
          <cell r="N9" t="str">
            <v>C</v>
          </cell>
          <cell r="O9">
            <v>69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185</v>
          </cell>
          <cell r="U9">
            <v>20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496.35</v>
          </cell>
          <cell r="AB9">
            <v>620.44000000000005</v>
          </cell>
          <cell r="AC9">
            <v>0</v>
          </cell>
          <cell r="AD9">
            <v>620.44000000000005</v>
          </cell>
          <cell r="AE9">
            <v>0</v>
          </cell>
          <cell r="AF9">
            <v>11.03</v>
          </cell>
          <cell r="AG9">
            <v>0.8</v>
          </cell>
        </row>
        <row r="10">
          <cell r="B10">
            <v>240900102</v>
          </cell>
          <cell r="C10" t="str">
            <v>CPRM1126P</v>
          </cell>
          <cell r="D10" t="str">
            <v>AMBU (RESUCITADOR) ADULTO C/VALVULA PEEP MEDLINE x Und</v>
          </cell>
          <cell r="E10" t="str">
            <v>MEDLINE</v>
          </cell>
          <cell r="F10" t="str">
            <v/>
          </cell>
          <cell r="G10" t="str">
            <v>OTROS OTROS</v>
          </cell>
          <cell r="H10" t="str">
            <v/>
          </cell>
          <cell r="I10" t="str">
            <v>CJX6</v>
          </cell>
          <cell r="J10">
            <v>1</v>
          </cell>
          <cell r="K10">
            <v>1</v>
          </cell>
          <cell r="L10" t="str">
            <v>C</v>
          </cell>
          <cell r="M10">
            <v>83</v>
          </cell>
          <cell r="N10" t="str">
            <v>B</v>
          </cell>
          <cell r="O10">
            <v>16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76</v>
          </cell>
          <cell r="U10">
            <v>554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30</v>
          </cell>
          <cell r="AA10">
            <v>1195.2</v>
          </cell>
          <cell r="AB10">
            <v>1707.43</v>
          </cell>
          <cell r="AC10">
            <v>0</v>
          </cell>
          <cell r="AD10">
            <v>1707.43</v>
          </cell>
          <cell r="AE10">
            <v>0</v>
          </cell>
          <cell r="AF10">
            <v>26.56</v>
          </cell>
          <cell r="AG10">
            <v>0.7</v>
          </cell>
        </row>
        <row r="11">
          <cell r="B11">
            <v>240900101</v>
          </cell>
          <cell r="C11" t="str">
            <v>5367</v>
          </cell>
          <cell r="D11" t="str">
            <v>AMBU (RESUCITADOR) PEDIATRICO</v>
          </cell>
          <cell r="E11" t="str">
            <v>HUDDSON</v>
          </cell>
          <cell r="F11" t="str">
            <v/>
          </cell>
          <cell r="G11" t="str">
            <v>OTROS OTROS</v>
          </cell>
          <cell r="H11" t="str">
            <v/>
          </cell>
          <cell r="I11" t="str">
            <v>UND</v>
          </cell>
          <cell r="J11">
            <v>1</v>
          </cell>
          <cell r="K11">
            <v>1</v>
          </cell>
          <cell r="L11" t="str">
            <v/>
          </cell>
          <cell r="M11">
            <v>0</v>
          </cell>
          <cell r="N11" t="str">
            <v/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5</v>
          </cell>
          <cell r="U11">
            <v>12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1040.4000000000001</v>
          </cell>
          <cell r="AB11">
            <v>1300.5</v>
          </cell>
          <cell r="AC11">
            <v>0</v>
          </cell>
          <cell r="AD11">
            <v>1300.5</v>
          </cell>
          <cell r="AE11">
            <v>0</v>
          </cell>
          <cell r="AF11">
            <v>23.12</v>
          </cell>
          <cell r="AG11">
            <v>0.8</v>
          </cell>
        </row>
        <row r="12">
          <cell r="B12">
            <v>250210125</v>
          </cell>
          <cell r="C12" t="str">
            <v/>
          </cell>
          <cell r="D12" t="str">
            <v>APOSITO ADAPTIC 3" x 8" Ref. 2015 x Und</v>
          </cell>
          <cell r="E12" t="str">
            <v>ADAPTIC</v>
          </cell>
          <cell r="F12" t="str">
            <v/>
          </cell>
          <cell r="G12" t="str">
            <v>ADAPTIC</v>
          </cell>
          <cell r="H12" t="str">
            <v/>
          </cell>
          <cell r="I12" t="str">
            <v>CJX24</v>
          </cell>
          <cell r="J12">
            <v>1</v>
          </cell>
          <cell r="K12">
            <v>1</v>
          </cell>
          <cell r="L12" t="str">
            <v>C</v>
          </cell>
          <cell r="M12">
            <v>228</v>
          </cell>
          <cell r="N12" t="str">
            <v>C</v>
          </cell>
          <cell r="O12">
            <v>118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105</v>
          </cell>
          <cell r="U12">
            <v>157</v>
          </cell>
          <cell r="V12">
            <v>0</v>
          </cell>
          <cell r="W12">
            <v>0</v>
          </cell>
          <cell r="X12">
            <v>0</v>
          </cell>
          <cell r="Y12">
            <v>50</v>
          </cell>
          <cell r="Z12">
            <v>50</v>
          </cell>
          <cell r="AA12">
            <v>85.5</v>
          </cell>
          <cell r="AB12">
            <v>122.14</v>
          </cell>
          <cell r="AC12">
            <v>0</v>
          </cell>
          <cell r="AD12">
            <v>122.14</v>
          </cell>
          <cell r="AE12">
            <v>0</v>
          </cell>
          <cell r="AF12">
            <v>1.9</v>
          </cell>
          <cell r="AG12">
            <v>0.7</v>
          </cell>
        </row>
        <row r="13">
          <cell r="B13">
            <v>242400606</v>
          </cell>
          <cell r="C13" t="str">
            <v/>
          </cell>
          <cell r="D13" t="str">
            <v>BANDEJA DE PUNCION LUMBAR ADULTO MARCA BUSSE x Und</v>
          </cell>
          <cell r="E13" t="str">
            <v>BUSSE</v>
          </cell>
          <cell r="F13" t="str">
            <v/>
          </cell>
          <cell r="G13" t="str">
            <v/>
          </cell>
          <cell r="H13" t="str">
            <v/>
          </cell>
          <cell r="I13" t="str">
            <v>UND</v>
          </cell>
          <cell r="J13">
            <v>1</v>
          </cell>
          <cell r="K13">
            <v>1</v>
          </cell>
          <cell r="L13" t="str">
            <v>C</v>
          </cell>
          <cell r="M13">
            <v>134</v>
          </cell>
          <cell r="N13" t="str">
            <v>C</v>
          </cell>
          <cell r="O13">
            <v>160</v>
          </cell>
          <cell r="P13">
            <v>0</v>
          </cell>
          <cell r="Q13">
            <v>9</v>
          </cell>
          <cell r="R13">
            <v>9</v>
          </cell>
          <cell r="S13">
            <v>0</v>
          </cell>
          <cell r="T13">
            <v>5</v>
          </cell>
          <cell r="U13">
            <v>54</v>
          </cell>
          <cell r="V13">
            <v>0</v>
          </cell>
          <cell r="W13">
            <v>0</v>
          </cell>
          <cell r="X13">
            <v>0</v>
          </cell>
          <cell r="Y13">
            <v>9</v>
          </cell>
          <cell r="Z13">
            <v>14</v>
          </cell>
          <cell r="AA13">
            <v>1539</v>
          </cell>
          <cell r="AB13">
            <v>2565</v>
          </cell>
          <cell r="AC13">
            <v>0</v>
          </cell>
          <cell r="AD13">
            <v>2565</v>
          </cell>
          <cell r="AE13">
            <v>0</v>
          </cell>
          <cell r="AF13">
            <v>34.200000000000003</v>
          </cell>
          <cell r="AG13">
            <v>0.6</v>
          </cell>
        </row>
        <row r="14">
          <cell r="B14">
            <v>242400604</v>
          </cell>
          <cell r="C14" t="str">
            <v/>
          </cell>
          <cell r="D14" t="str">
            <v>BANDEJA DE PUNCION LUMBAR PEDIATRICA MARCA BUSSE x Und</v>
          </cell>
          <cell r="E14" t="str">
            <v>BUSSE</v>
          </cell>
          <cell r="F14" t="str">
            <v/>
          </cell>
          <cell r="G14" t="str">
            <v/>
          </cell>
          <cell r="H14" t="str">
            <v/>
          </cell>
          <cell r="I14" t="str">
            <v>UND</v>
          </cell>
          <cell r="J14">
            <v>1</v>
          </cell>
          <cell r="K14">
            <v>1</v>
          </cell>
          <cell r="L14" t="str">
            <v>C</v>
          </cell>
          <cell r="M14">
            <v>163</v>
          </cell>
          <cell r="N14" t="str">
            <v>C</v>
          </cell>
          <cell r="O14">
            <v>208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37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15</v>
          </cell>
          <cell r="AA14">
            <v>1530</v>
          </cell>
          <cell r="AB14">
            <v>2550</v>
          </cell>
          <cell r="AC14">
            <v>0</v>
          </cell>
          <cell r="AD14">
            <v>2550</v>
          </cell>
          <cell r="AE14">
            <v>0</v>
          </cell>
          <cell r="AF14">
            <v>34</v>
          </cell>
          <cell r="AG14">
            <v>0.6</v>
          </cell>
        </row>
        <row r="15">
          <cell r="B15">
            <v>242350910</v>
          </cell>
          <cell r="C15" t="str">
            <v/>
          </cell>
          <cell r="D15" t="str">
            <v>BANDEJA INT P/TRAQUEOTOMIA G12513-SD x Und</v>
          </cell>
          <cell r="E15" t="str">
            <v>0</v>
          </cell>
          <cell r="F15" t="str">
            <v/>
          </cell>
          <cell r="G15" t="str">
            <v/>
          </cell>
          <cell r="H15" t="str">
            <v/>
          </cell>
          <cell r="I15" t="str">
            <v>UND</v>
          </cell>
          <cell r="J15">
            <v>1</v>
          </cell>
          <cell r="K15">
            <v>1</v>
          </cell>
          <cell r="L15" t="str">
            <v>C</v>
          </cell>
          <cell r="M15">
            <v>55</v>
          </cell>
          <cell r="N15" t="str">
            <v>C</v>
          </cell>
          <cell r="O15">
            <v>156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5</v>
          </cell>
          <cell r="U15">
            <v>2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28305</v>
          </cell>
          <cell r="AB15">
            <v>29794.74</v>
          </cell>
          <cell r="AC15">
            <v>0</v>
          </cell>
          <cell r="AD15">
            <v>29794.74</v>
          </cell>
          <cell r="AE15">
            <v>0</v>
          </cell>
          <cell r="AF15">
            <v>629</v>
          </cell>
          <cell r="AG15">
            <v>0.95</v>
          </cell>
        </row>
        <row r="16">
          <cell r="B16">
            <v>242400405</v>
          </cell>
          <cell r="C16" t="str">
            <v/>
          </cell>
          <cell r="D16" t="str">
            <v>BATA DE CIRUJANO L -  NO ESTERIL 50Grs. SSMMS (Protección) Marca MMQ x Und</v>
          </cell>
          <cell r="E16" t="str">
            <v>MMQ</v>
          </cell>
          <cell r="F16" t="str">
            <v/>
          </cell>
          <cell r="G16" t="str">
            <v>LENCERIA BATAS DE CIRUJANO</v>
          </cell>
          <cell r="H16" t="str">
            <v/>
          </cell>
          <cell r="I16" t="str">
            <v>CJX50</v>
          </cell>
          <cell r="J16">
            <v>1</v>
          </cell>
          <cell r="K16">
            <v>1</v>
          </cell>
          <cell r="L16" t="str">
            <v>C</v>
          </cell>
          <cell r="M16">
            <v>411</v>
          </cell>
          <cell r="N16" t="str">
            <v>C</v>
          </cell>
          <cell r="O16">
            <v>401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5</v>
          </cell>
          <cell r="U16">
            <v>296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49.5</v>
          </cell>
          <cell r="AB16">
            <v>52.11</v>
          </cell>
          <cell r="AC16">
            <v>0</v>
          </cell>
          <cell r="AD16">
            <v>52.11</v>
          </cell>
          <cell r="AE16">
            <v>0</v>
          </cell>
          <cell r="AF16">
            <v>1.1000000000000001</v>
          </cell>
          <cell r="AG16">
            <v>0.95</v>
          </cell>
        </row>
        <row r="17">
          <cell r="B17">
            <v>243300206</v>
          </cell>
          <cell r="C17" t="str">
            <v/>
          </cell>
          <cell r="D17" t="str">
            <v>BATA DE CIRUJANO L ESTERIL 40 Grs.  Marca Dexx Medical x Und./\Presentacion Bulto x 40 Unds.</v>
          </cell>
          <cell r="E17" t="str">
            <v>DEXX MEDICAL</v>
          </cell>
          <cell r="F17" t="str">
            <v/>
          </cell>
          <cell r="G17" t="str">
            <v>LENCERIA BATAS DE CIRUJANO</v>
          </cell>
          <cell r="H17" t="str">
            <v/>
          </cell>
          <cell r="I17" t="str">
            <v>UND</v>
          </cell>
          <cell r="J17">
            <v>1</v>
          </cell>
          <cell r="K17">
            <v>1</v>
          </cell>
          <cell r="L17" t="str">
            <v>C</v>
          </cell>
          <cell r="M17">
            <v>59</v>
          </cell>
          <cell r="N17" t="str">
            <v>C</v>
          </cell>
          <cell r="O17">
            <v>132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241</v>
          </cell>
          <cell r="U17">
            <v>47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120</v>
          </cell>
          <cell r="AA17">
            <v>62.9955</v>
          </cell>
          <cell r="AB17">
            <v>66.31</v>
          </cell>
          <cell r="AC17">
            <v>0</v>
          </cell>
          <cell r="AD17">
            <v>66.31</v>
          </cell>
          <cell r="AE17">
            <v>0</v>
          </cell>
          <cell r="AF17">
            <v>1.3998999999999999</v>
          </cell>
          <cell r="AG17">
            <v>0.95</v>
          </cell>
        </row>
        <row r="18">
          <cell r="B18">
            <v>242000602</v>
          </cell>
          <cell r="C18" t="str">
            <v/>
          </cell>
          <cell r="D18" t="str">
            <v>BATA DE CIRUJANO XL ESTERIL Marca Medic-Art x Und</v>
          </cell>
          <cell r="E18" t="str">
            <v>MEDIC-ART</v>
          </cell>
          <cell r="F18" t="str">
            <v/>
          </cell>
          <cell r="G18" t="str">
            <v>LENCERIA BATAS DE CIRUJANO</v>
          </cell>
          <cell r="H18" t="str">
            <v/>
          </cell>
          <cell r="I18" t="str">
            <v>CJX40</v>
          </cell>
          <cell r="J18">
            <v>1</v>
          </cell>
          <cell r="K18">
            <v>1</v>
          </cell>
          <cell r="L18" t="str">
            <v>C</v>
          </cell>
          <cell r="M18">
            <v>394</v>
          </cell>
          <cell r="N18" t="str">
            <v>C</v>
          </cell>
          <cell r="O18">
            <v>389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5</v>
          </cell>
          <cell r="U18">
            <v>17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2000</v>
          </cell>
          <cell r="AA18">
            <v>42.3</v>
          </cell>
          <cell r="AB18">
            <v>44.53</v>
          </cell>
          <cell r="AC18">
            <v>0</v>
          </cell>
          <cell r="AD18">
            <v>44.53</v>
          </cell>
          <cell r="AE18">
            <v>0</v>
          </cell>
          <cell r="AF18">
            <v>0.94</v>
          </cell>
          <cell r="AG18">
            <v>0.95</v>
          </cell>
        </row>
        <row r="19">
          <cell r="B19">
            <v>242460111</v>
          </cell>
          <cell r="C19" t="str">
            <v/>
          </cell>
          <cell r="D19" t="str">
            <v>BATA DE PACIENTE (Adulto) 40Grs. Marca Dexx Medical (SMS) x Und</v>
          </cell>
          <cell r="E19" t="str">
            <v>MMQ</v>
          </cell>
          <cell r="F19" t="str">
            <v/>
          </cell>
          <cell r="G19" t="str">
            <v>LENCERIA BATAS DE PACIENTE</v>
          </cell>
          <cell r="H19" t="str">
            <v/>
          </cell>
          <cell r="I19" t="str">
            <v>CJX50</v>
          </cell>
          <cell r="J19">
            <v>1</v>
          </cell>
          <cell r="K19">
            <v>1</v>
          </cell>
          <cell r="L19" t="str">
            <v>C</v>
          </cell>
          <cell r="M19">
            <v>233</v>
          </cell>
          <cell r="N19" t="str">
            <v>C</v>
          </cell>
          <cell r="O19">
            <v>153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232</v>
          </cell>
          <cell r="U19">
            <v>118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4375</v>
          </cell>
          <cell r="AA19">
            <v>17.9955</v>
          </cell>
          <cell r="AB19">
            <v>18.940000000000001</v>
          </cell>
          <cell r="AC19">
            <v>0</v>
          </cell>
          <cell r="AD19">
            <v>18.940000000000001</v>
          </cell>
          <cell r="AE19">
            <v>0</v>
          </cell>
          <cell r="AF19">
            <v>0.39989999999999998</v>
          </cell>
          <cell r="AG19">
            <v>0.95010000000000006</v>
          </cell>
        </row>
        <row r="20">
          <cell r="B20">
            <v>241250114</v>
          </cell>
          <cell r="C20" t="str">
            <v/>
          </cell>
          <cell r="D20" t="str">
            <v>BOLSA DE NUTRICION ENTERAL 500ml x Und</v>
          </cell>
          <cell r="E20" t="str">
            <v>BEXEN</v>
          </cell>
          <cell r="F20" t="str">
            <v/>
          </cell>
          <cell r="G20" t="str">
            <v>BOLSAS NUTRICION</v>
          </cell>
          <cell r="H20" t="str">
            <v/>
          </cell>
          <cell r="I20" t="str">
            <v>UND</v>
          </cell>
          <cell r="J20">
            <v>1</v>
          </cell>
          <cell r="K20">
            <v>1</v>
          </cell>
          <cell r="L20" t="str">
            <v>C</v>
          </cell>
          <cell r="M20">
            <v>387</v>
          </cell>
          <cell r="N20" t="str">
            <v>C</v>
          </cell>
          <cell r="O20">
            <v>387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5</v>
          </cell>
          <cell r="U20">
            <v>23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</v>
          </cell>
          <cell r="AA20">
            <v>450</v>
          </cell>
          <cell r="AB20">
            <v>500</v>
          </cell>
          <cell r="AC20">
            <v>0</v>
          </cell>
          <cell r="AD20">
            <v>500</v>
          </cell>
          <cell r="AE20">
            <v>0</v>
          </cell>
          <cell r="AF20">
            <v>10</v>
          </cell>
          <cell r="AG20">
            <v>0.9</v>
          </cell>
        </row>
        <row r="21">
          <cell r="B21">
            <v>241270318</v>
          </cell>
          <cell r="C21" t="str">
            <v/>
          </cell>
          <cell r="D21" t="str">
            <v>BOLSA DE NUTRICION PARENTERAL 1000ml - Marca BRAUN REF 2112348 x Und</v>
          </cell>
          <cell r="E21" t="str">
            <v>BRAUN</v>
          </cell>
          <cell r="F21" t="str">
            <v/>
          </cell>
          <cell r="G21" t="str">
            <v/>
          </cell>
          <cell r="H21" t="str">
            <v/>
          </cell>
          <cell r="I21" t="str">
            <v>UND</v>
          </cell>
          <cell r="J21">
            <v>1</v>
          </cell>
          <cell r="K21">
            <v>1</v>
          </cell>
          <cell r="L21" t="str">
            <v>C</v>
          </cell>
          <cell r="M21">
            <v>192</v>
          </cell>
          <cell r="N21" t="str">
            <v>C</v>
          </cell>
          <cell r="O21">
            <v>230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5</v>
          </cell>
          <cell r="U21">
            <v>6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200</v>
          </cell>
          <cell r="AA21">
            <v>342</v>
          </cell>
          <cell r="AB21">
            <v>380</v>
          </cell>
          <cell r="AC21">
            <v>0</v>
          </cell>
          <cell r="AD21">
            <v>380</v>
          </cell>
          <cell r="AE21">
            <v>0</v>
          </cell>
          <cell r="AF21">
            <v>7.6</v>
          </cell>
          <cell r="AG21">
            <v>0.9</v>
          </cell>
        </row>
        <row r="22">
          <cell r="B22">
            <v>241250318</v>
          </cell>
          <cell r="C22" t="str">
            <v/>
          </cell>
          <cell r="D22" t="str">
            <v>BOLSA DE NUTRICION PARENTERAL 2000ml - Marca BRAUN REF 2112349 x Und</v>
          </cell>
          <cell r="E22" t="str">
            <v>BRAUN</v>
          </cell>
          <cell r="F22" t="str">
            <v/>
          </cell>
          <cell r="G22" t="str">
            <v/>
          </cell>
          <cell r="H22" t="str">
            <v/>
          </cell>
          <cell r="I22" t="str">
            <v>UND</v>
          </cell>
          <cell r="J22">
            <v>1</v>
          </cell>
          <cell r="K22">
            <v>1</v>
          </cell>
          <cell r="L22" t="str">
            <v>C</v>
          </cell>
          <cell r="M22">
            <v>193</v>
          </cell>
          <cell r="N22" t="str">
            <v>C</v>
          </cell>
          <cell r="O22">
            <v>142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5</v>
          </cell>
          <cell r="U22">
            <v>57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405</v>
          </cell>
          <cell r="AA22">
            <v>955.8</v>
          </cell>
          <cell r="AB22">
            <v>1062</v>
          </cell>
          <cell r="AC22">
            <v>0</v>
          </cell>
          <cell r="AD22">
            <v>1062</v>
          </cell>
          <cell r="AE22">
            <v>0</v>
          </cell>
          <cell r="AF22">
            <v>21.24</v>
          </cell>
          <cell r="AG22">
            <v>0.9</v>
          </cell>
        </row>
        <row r="23">
          <cell r="B23">
            <v>241250320</v>
          </cell>
          <cell r="C23" t="str">
            <v>4002782</v>
          </cell>
          <cell r="D23" t="str">
            <v>BOLSA DE NUTRICION PARENTERAL 2000ml - Marca Victus REF 4002782 x Und</v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>UND</v>
          </cell>
          <cell r="J23">
            <v>1</v>
          </cell>
          <cell r="K23">
            <v>1</v>
          </cell>
          <cell r="L23" t="str">
            <v>C</v>
          </cell>
          <cell r="M23">
            <v>119</v>
          </cell>
          <cell r="N23" t="str">
            <v>B</v>
          </cell>
          <cell r="O23">
            <v>32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</v>
          </cell>
          <cell r="U23">
            <v>177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</v>
          </cell>
          <cell r="AA23">
            <v>955.8</v>
          </cell>
          <cell r="AB23">
            <v>1062</v>
          </cell>
          <cell r="AC23">
            <v>0</v>
          </cell>
          <cell r="AD23">
            <v>1062</v>
          </cell>
          <cell r="AE23">
            <v>0</v>
          </cell>
          <cell r="AF23">
            <v>21.24</v>
          </cell>
          <cell r="AG23">
            <v>0.9</v>
          </cell>
        </row>
        <row r="24">
          <cell r="B24">
            <v>241250319</v>
          </cell>
          <cell r="C24" t="str">
            <v/>
          </cell>
          <cell r="D24" t="str">
            <v>BOLSA DE NUTRICION PARENTERAL 3000ml - Marca BRAUN REF 2112350 x Und</v>
          </cell>
          <cell r="E24" t="str">
            <v>BRAUN</v>
          </cell>
          <cell r="F24" t="str">
            <v/>
          </cell>
          <cell r="G24" t="str">
            <v/>
          </cell>
          <cell r="H24" t="str">
            <v/>
          </cell>
          <cell r="I24" t="str">
            <v>UND</v>
          </cell>
          <cell r="J24">
            <v>1</v>
          </cell>
          <cell r="K24">
            <v>1</v>
          </cell>
          <cell r="L24" t="str">
            <v>C</v>
          </cell>
          <cell r="M24">
            <v>189</v>
          </cell>
          <cell r="N24" t="str">
            <v>C</v>
          </cell>
          <cell r="O24">
            <v>248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5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1</v>
          </cell>
          <cell r="Z24">
            <v>40</v>
          </cell>
          <cell r="AA24">
            <v>921.375</v>
          </cell>
          <cell r="AB24">
            <v>1023.75</v>
          </cell>
          <cell r="AC24">
            <v>0</v>
          </cell>
          <cell r="AD24">
            <v>1023.75</v>
          </cell>
          <cell r="AE24">
            <v>0</v>
          </cell>
          <cell r="AF24">
            <v>20.475000000000001</v>
          </cell>
          <cell r="AG24">
            <v>0.9</v>
          </cell>
        </row>
        <row r="25">
          <cell r="B25">
            <v>241250219</v>
          </cell>
          <cell r="C25" t="str">
            <v/>
          </cell>
          <cell r="D25" t="str">
            <v>BOLSA DE NUTRICION PARENTERAL 3500ml - Marca Bexen x Und</v>
          </cell>
          <cell r="E25" t="str">
            <v>BEXEN</v>
          </cell>
          <cell r="F25" t="str">
            <v/>
          </cell>
          <cell r="G25" t="str">
            <v>BOLSAS NUTRICION</v>
          </cell>
          <cell r="H25" t="str">
            <v/>
          </cell>
          <cell r="I25" t="str">
            <v>CJX20</v>
          </cell>
          <cell r="J25">
            <v>1</v>
          </cell>
          <cell r="K25">
            <v>1</v>
          </cell>
          <cell r="L25" t="str">
            <v>C</v>
          </cell>
          <cell r="M25">
            <v>67</v>
          </cell>
          <cell r="N25" t="str">
            <v>C</v>
          </cell>
          <cell r="O25">
            <v>52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256</v>
          </cell>
          <cell r="U25">
            <v>20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</v>
          </cell>
          <cell r="AA25">
            <v>763.2</v>
          </cell>
          <cell r="AB25">
            <v>848</v>
          </cell>
          <cell r="AC25">
            <v>0</v>
          </cell>
          <cell r="AD25">
            <v>848</v>
          </cell>
          <cell r="AE25">
            <v>0</v>
          </cell>
          <cell r="AF25">
            <v>16.96</v>
          </cell>
          <cell r="AG25">
            <v>0.9</v>
          </cell>
        </row>
        <row r="26">
          <cell r="B26">
            <v>242350811</v>
          </cell>
          <cell r="C26" t="str">
            <v>89811</v>
          </cell>
          <cell r="D26" t="str">
            <v>BOLSA DRENABLE COLOSTOMIA CON BASE x Und</v>
          </cell>
          <cell r="E26" t="str">
            <v>HOLISTER</v>
          </cell>
          <cell r="F26" t="str">
            <v/>
          </cell>
          <cell r="G26" t="str">
            <v/>
          </cell>
          <cell r="H26" t="str">
            <v/>
          </cell>
          <cell r="I26" t="str">
            <v>UND</v>
          </cell>
          <cell r="J26">
            <v>1</v>
          </cell>
          <cell r="K26">
            <v>1</v>
          </cell>
          <cell r="L26" t="str">
            <v>C</v>
          </cell>
          <cell r="M26">
            <v>182</v>
          </cell>
          <cell r="N26" t="str">
            <v>C</v>
          </cell>
          <cell r="O26">
            <v>181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29</v>
          </cell>
          <cell r="U26">
            <v>22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20</v>
          </cell>
          <cell r="AA26">
            <v>484.65</v>
          </cell>
          <cell r="AB26">
            <v>692.36</v>
          </cell>
          <cell r="AC26">
            <v>0</v>
          </cell>
          <cell r="AD26">
            <v>692.36</v>
          </cell>
          <cell r="AE26">
            <v>0</v>
          </cell>
          <cell r="AF26">
            <v>10.77</v>
          </cell>
          <cell r="AG26">
            <v>0.7</v>
          </cell>
        </row>
        <row r="27">
          <cell r="B27">
            <v>241250108</v>
          </cell>
          <cell r="C27" t="str">
            <v>65651-920</v>
          </cell>
          <cell r="D27" t="str">
            <v>BOLSA RECOLECTORA DE DESECHOS DE 1500 CC Medi-Vac Marca Cardinal Health x Und</v>
          </cell>
          <cell r="E27" t="str">
            <v>CARDINAL HEALTH</v>
          </cell>
          <cell r="F27" t="str">
            <v/>
          </cell>
          <cell r="G27" t="str">
            <v/>
          </cell>
          <cell r="H27" t="str">
            <v/>
          </cell>
          <cell r="I27" t="str">
            <v>CJX50</v>
          </cell>
          <cell r="J27">
            <v>1</v>
          </cell>
          <cell r="K27">
            <v>1</v>
          </cell>
          <cell r="L27" t="str">
            <v>C</v>
          </cell>
          <cell r="M27">
            <v>242</v>
          </cell>
          <cell r="N27" t="str">
            <v>C</v>
          </cell>
          <cell r="O27">
            <v>101</v>
          </cell>
          <cell r="P27">
            <v>0</v>
          </cell>
          <cell r="Q27">
            <v>20</v>
          </cell>
          <cell r="R27">
            <v>20</v>
          </cell>
          <cell r="S27">
            <v>0</v>
          </cell>
          <cell r="T27">
            <v>53</v>
          </cell>
          <cell r="U27">
            <v>270</v>
          </cell>
          <cell r="V27">
            <v>0</v>
          </cell>
          <cell r="W27">
            <v>0</v>
          </cell>
          <cell r="X27">
            <v>0</v>
          </cell>
          <cell r="Y27">
            <v>70</v>
          </cell>
          <cell r="Z27">
            <v>500</v>
          </cell>
          <cell r="AA27">
            <v>178.2</v>
          </cell>
          <cell r="AB27">
            <v>324</v>
          </cell>
          <cell r="AC27">
            <v>0</v>
          </cell>
          <cell r="AD27">
            <v>324</v>
          </cell>
          <cell r="AE27">
            <v>0</v>
          </cell>
          <cell r="AF27">
            <v>3.96</v>
          </cell>
          <cell r="AG27">
            <v>0.55000000000000004</v>
          </cell>
        </row>
        <row r="28">
          <cell r="B28">
            <v>241270105</v>
          </cell>
          <cell r="C28" t="str">
            <v>65651-930</v>
          </cell>
          <cell r="D28" t="str">
            <v>BOLSA RECOLECTORA DE DESECHOS DE 3000 CC Medi-Vac Marca Cardinal Health x Und</v>
          </cell>
          <cell r="E28" t="str">
            <v>CARDINAL HEALTH</v>
          </cell>
          <cell r="F28" t="str">
            <v/>
          </cell>
          <cell r="G28" t="str">
            <v/>
          </cell>
          <cell r="H28" t="str">
            <v/>
          </cell>
          <cell r="I28" t="str">
            <v>CJX50</v>
          </cell>
          <cell r="J28">
            <v>1</v>
          </cell>
          <cell r="K28">
            <v>1</v>
          </cell>
          <cell r="L28" t="str">
            <v>C</v>
          </cell>
          <cell r="M28">
            <v>234</v>
          </cell>
          <cell r="N28" t="str">
            <v>B</v>
          </cell>
          <cell r="O28">
            <v>31</v>
          </cell>
          <cell r="P28">
            <v>0</v>
          </cell>
          <cell r="Q28">
            <v>6</v>
          </cell>
          <cell r="R28">
            <v>6</v>
          </cell>
          <cell r="S28">
            <v>0</v>
          </cell>
          <cell r="T28">
            <v>85</v>
          </cell>
          <cell r="U28">
            <v>2075</v>
          </cell>
          <cell r="V28">
            <v>0</v>
          </cell>
          <cell r="W28">
            <v>0</v>
          </cell>
          <cell r="X28">
            <v>0</v>
          </cell>
          <cell r="Y28">
            <v>56</v>
          </cell>
          <cell r="Z28">
            <v>125</v>
          </cell>
          <cell r="AA28">
            <v>178.2</v>
          </cell>
          <cell r="AB28">
            <v>324</v>
          </cell>
          <cell r="AC28">
            <v>0</v>
          </cell>
          <cell r="AD28">
            <v>324</v>
          </cell>
          <cell r="AE28">
            <v>0</v>
          </cell>
          <cell r="AF28">
            <v>3.96</v>
          </cell>
          <cell r="AG28">
            <v>0.55000000000000004</v>
          </cell>
        </row>
        <row r="29">
          <cell r="B29">
            <v>241261102</v>
          </cell>
          <cell r="C29" t="str">
            <v/>
          </cell>
          <cell r="D29" t="str">
            <v>BOLSA RECOLECTORA ORINA URINOMETRO 250 Ml. Marca Romsons x Und</v>
          </cell>
          <cell r="E29" t="str">
            <v>ROMSONS</v>
          </cell>
          <cell r="F29" t="str">
            <v/>
          </cell>
          <cell r="G29" t="str">
            <v>RECOLECTOR URINEMETER</v>
          </cell>
          <cell r="H29" t="str">
            <v/>
          </cell>
          <cell r="I29" t="str">
            <v>UND</v>
          </cell>
          <cell r="J29">
            <v>1</v>
          </cell>
          <cell r="K29">
            <v>1</v>
          </cell>
          <cell r="L29" t="str">
            <v>C</v>
          </cell>
          <cell r="M29">
            <v>404</v>
          </cell>
          <cell r="N29" t="str">
            <v>C</v>
          </cell>
          <cell r="O29">
            <v>396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5</v>
          </cell>
          <cell r="U29">
            <v>194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200</v>
          </cell>
          <cell r="AA29">
            <v>118.35</v>
          </cell>
          <cell r="AB29">
            <v>147.94</v>
          </cell>
          <cell r="AC29">
            <v>0</v>
          </cell>
          <cell r="AD29">
            <v>147.94</v>
          </cell>
          <cell r="AE29">
            <v>0</v>
          </cell>
          <cell r="AF29">
            <v>2.63</v>
          </cell>
          <cell r="AG29">
            <v>0.8</v>
          </cell>
        </row>
        <row r="30">
          <cell r="B30">
            <v>241260105</v>
          </cell>
          <cell r="C30" t="str">
            <v>DYND17403</v>
          </cell>
          <cell r="D30" t="str">
            <v>BOLSA RECOLECTORA ORINA URINOMETRO 2500 ml. Marca MEDLINE x Und</v>
          </cell>
          <cell r="E30" t="str">
            <v>MEDLINE</v>
          </cell>
          <cell r="F30" t="str">
            <v/>
          </cell>
          <cell r="G30" t="str">
            <v>BOLSAS URIMETER</v>
          </cell>
          <cell r="H30" t="str">
            <v/>
          </cell>
          <cell r="I30" t="str">
            <v>CJX10</v>
          </cell>
          <cell r="J30">
            <v>1</v>
          </cell>
          <cell r="K30">
            <v>1</v>
          </cell>
          <cell r="L30" t="str">
            <v>C</v>
          </cell>
          <cell r="M30">
            <v>13</v>
          </cell>
          <cell r="N30" t="str">
            <v>C</v>
          </cell>
          <cell r="O30">
            <v>31</v>
          </cell>
          <cell r="P30">
            <v>0</v>
          </cell>
          <cell r="Q30">
            <v>165</v>
          </cell>
          <cell r="R30">
            <v>165</v>
          </cell>
          <cell r="S30">
            <v>0</v>
          </cell>
          <cell r="T30">
            <v>5</v>
          </cell>
          <cell r="U30">
            <v>226</v>
          </cell>
          <cell r="V30">
            <v>0</v>
          </cell>
          <cell r="W30">
            <v>0</v>
          </cell>
          <cell r="X30">
            <v>0</v>
          </cell>
          <cell r="Y30">
            <v>165</v>
          </cell>
          <cell r="Z30">
            <v>190</v>
          </cell>
          <cell r="AA30">
            <v>638.1</v>
          </cell>
          <cell r="AB30">
            <v>1063.5</v>
          </cell>
          <cell r="AC30">
            <v>0</v>
          </cell>
          <cell r="AD30">
            <v>1063.5</v>
          </cell>
          <cell r="AE30">
            <v>0</v>
          </cell>
          <cell r="AF30">
            <v>14.18</v>
          </cell>
          <cell r="AG30">
            <v>0.6</v>
          </cell>
        </row>
        <row r="31">
          <cell r="B31">
            <v>242001205</v>
          </cell>
          <cell r="C31" t="str">
            <v/>
          </cell>
          <cell r="D31" t="str">
            <v>BOMBA DE INFUSION  x Und</v>
          </cell>
          <cell r="E31" t="str">
            <v>SINOMAT</v>
          </cell>
          <cell r="F31" t="str">
            <v/>
          </cell>
          <cell r="G31" t="str">
            <v>KIT DE VIA MACROGOTEROS</v>
          </cell>
          <cell r="H31" t="str">
            <v/>
          </cell>
          <cell r="I31" t="str">
            <v>UND</v>
          </cell>
          <cell r="J31">
            <v>1</v>
          </cell>
          <cell r="K31">
            <v>1</v>
          </cell>
          <cell r="L31" t="str">
            <v>C</v>
          </cell>
          <cell r="M31">
            <v>8</v>
          </cell>
          <cell r="N31" t="str">
            <v>C</v>
          </cell>
          <cell r="O31">
            <v>126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8000</v>
          </cell>
          <cell r="AA31">
            <v>22962.15</v>
          </cell>
          <cell r="AB31">
            <v>33767.870000000003</v>
          </cell>
          <cell r="AC31">
            <v>0</v>
          </cell>
          <cell r="AD31">
            <v>33767.870000000003</v>
          </cell>
          <cell r="AE31">
            <v>0</v>
          </cell>
          <cell r="AF31">
            <v>510.27</v>
          </cell>
          <cell r="AG31">
            <v>0.68</v>
          </cell>
        </row>
        <row r="32">
          <cell r="B32">
            <v>242350106</v>
          </cell>
          <cell r="C32" t="str">
            <v>GM030100</v>
          </cell>
          <cell r="D32" t="str">
            <v>BURETAS DE 100 ML Marca Grossmed x Und</v>
          </cell>
          <cell r="E32" t="str">
            <v>GROSSMED</v>
          </cell>
          <cell r="F32" t="str">
            <v/>
          </cell>
          <cell r="G32" t="str">
            <v/>
          </cell>
          <cell r="H32" t="str">
            <v/>
          </cell>
          <cell r="I32" t="str">
            <v>CJX5</v>
          </cell>
          <cell r="J32">
            <v>5</v>
          </cell>
          <cell r="K32">
            <v>1</v>
          </cell>
          <cell r="L32" t="str">
            <v>C</v>
          </cell>
          <cell r="M32">
            <v>282</v>
          </cell>
          <cell r="N32" t="str">
            <v>C</v>
          </cell>
          <cell r="O32">
            <v>29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5</v>
          </cell>
          <cell r="U32">
            <v>3300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2150</v>
          </cell>
          <cell r="AA32">
            <v>42.75</v>
          </cell>
          <cell r="AB32">
            <v>50.29</v>
          </cell>
          <cell r="AC32">
            <v>0</v>
          </cell>
          <cell r="AD32">
            <v>50.29</v>
          </cell>
          <cell r="AE32">
            <v>0</v>
          </cell>
          <cell r="AF32">
            <v>0.95</v>
          </cell>
          <cell r="AG32">
            <v>0.85</v>
          </cell>
        </row>
        <row r="33">
          <cell r="B33">
            <v>242350108</v>
          </cell>
          <cell r="C33" t="str">
            <v/>
          </cell>
          <cell r="D33" t="str">
            <v>BURETAS DE 150 ML  Marca Grossmed x Und</v>
          </cell>
          <cell r="E33" t="str">
            <v>GROSSMED</v>
          </cell>
          <cell r="F33" t="str">
            <v/>
          </cell>
          <cell r="G33" t="str">
            <v/>
          </cell>
          <cell r="H33" t="str">
            <v/>
          </cell>
          <cell r="I33" t="str">
            <v>CJX5</v>
          </cell>
          <cell r="J33">
            <v>5</v>
          </cell>
          <cell r="K33">
            <v>1</v>
          </cell>
          <cell r="L33" t="str">
            <v>C</v>
          </cell>
          <cell r="M33">
            <v>15</v>
          </cell>
          <cell r="N33" t="str">
            <v>C</v>
          </cell>
          <cell r="O33">
            <v>33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5</v>
          </cell>
          <cell r="U33">
            <v>2950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600</v>
          </cell>
          <cell r="AA33">
            <v>45</v>
          </cell>
          <cell r="AB33">
            <v>52.94</v>
          </cell>
          <cell r="AC33">
            <v>0</v>
          </cell>
          <cell r="AD33">
            <v>52.94</v>
          </cell>
          <cell r="AE33">
            <v>0</v>
          </cell>
          <cell r="AF33">
            <v>1</v>
          </cell>
          <cell r="AG33">
            <v>0.85</v>
          </cell>
        </row>
        <row r="34">
          <cell r="B34">
            <v>242350105</v>
          </cell>
          <cell r="C34" t="str">
            <v/>
          </cell>
          <cell r="D34" t="str">
            <v>BURETAS DE 150 ML  Marca Laser x Und</v>
          </cell>
          <cell r="E34" t="str">
            <v>LASER</v>
          </cell>
          <cell r="F34" t="str">
            <v/>
          </cell>
          <cell r="G34" t="str">
            <v>BURETAS BURETAS</v>
          </cell>
          <cell r="H34" t="str">
            <v/>
          </cell>
          <cell r="I34" t="str">
            <v>CJX100</v>
          </cell>
          <cell r="J34">
            <v>1</v>
          </cell>
          <cell r="K34">
            <v>1</v>
          </cell>
          <cell r="L34" t="str">
            <v>C</v>
          </cell>
          <cell r="M34">
            <v>272</v>
          </cell>
          <cell r="N34" t="str">
            <v>C</v>
          </cell>
          <cell r="O34">
            <v>178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5</v>
          </cell>
          <cell r="U34">
            <v>167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3110</v>
          </cell>
          <cell r="AA34">
            <v>45</v>
          </cell>
          <cell r="AB34">
            <v>52.94</v>
          </cell>
          <cell r="AC34">
            <v>0</v>
          </cell>
          <cell r="AD34">
            <v>52.94</v>
          </cell>
          <cell r="AE34">
            <v>0</v>
          </cell>
          <cell r="AF34">
            <v>1</v>
          </cell>
          <cell r="AG34">
            <v>0.85</v>
          </cell>
        </row>
        <row r="35">
          <cell r="B35">
            <v>242201302</v>
          </cell>
          <cell r="C35" t="str">
            <v>7281940</v>
          </cell>
          <cell r="D35" t="str">
            <v>CABESTRILLO ADULTO (UMERUS CONFORT) Talla "M" - Marca BSN Medical x Und</v>
          </cell>
          <cell r="E35" t="str">
            <v>BSN MEDICAL</v>
          </cell>
          <cell r="F35" t="str">
            <v/>
          </cell>
          <cell r="G35" t="str">
            <v>TRAUMATOLOGIA INMOVILIZADOR HOMBRO</v>
          </cell>
          <cell r="H35" t="str">
            <v/>
          </cell>
          <cell r="I35" t="str">
            <v>UND</v>
          </cell>
          <cell r="J35">
            <v>1</v>
          </cell>
          <cell r="K35">
            <v>1</v>
          </cell>
          <cell r="L35" t="str">
            <v>C</v>
          </cell>
          <cell r="M35">
            <v>299</v>
          </cell>
          <cell r="N35" t="str">
            <v>C</v>
          </cell>
          <cell r="O35">
            <v>282</v>
          </cell>
          <cell r="P35">
            <v>0</v>
          </cell>
          <cell r="Q35">
            <v>17</v>
          </cell>
          <cell r="R35">
            <v>17</v>
          </cell>
          <cell r="S35">
            <v>0</v>
          </cell>
          <cell r="T35">
            <v>5</v>
          </cell>
          <cell r="U35">
            <v>74</v>
          </cell>
          <cell r="V35">
            <v>0</v>
          </cell>
          <cell r="W35">
            <v>0</v>
          </cell>
          <cell r="X35">
            <v>0</v>
          </cell>
          <cell r="Y35">
            <v>17</v>
          </cell>
          <cell r="Z35">
            <v>37</v>
          </cell>
          <cell r="AA35">
            <v>297</v>
          </cell>
          <cell r="AB35">
            <v>371.25</v>
          </cell>
          <cell r="AC35">
            <v>0</v>
          </cell>
          <cell r="AD35">
            <v>371.25</v>
          </cell>
          <cell r="AE35">
            <v>0</v>
          </cell>
          <cell r="AF35">
            <v>6.6</v>
          </cell>
          <cell r="AG35">
            <v>0.8</v>
          </cell>
        </row>
        <row r="36">
          <cell r="B36">
            <v>242201312</v>
          </cell>
          <cell r="C36" t="str">
            <v>7281968</v>
          </cell>
          <cell r="D36" t="str">
            <v>CABESTRILLO ADULTO (UMERUS ECO) Talla XL - Marca BSN Medical x Und</v>
          </cell>
          <cell r="E36" t="str">
            <v>BSN MEDICAL</v>
          </cell>
          <cell r="F36" t="str">
            <v/>
          </cell>
          <cell r="G36" t="str">
            <v>TRAUMATOLOGIA INMOVILIZADOR HOMBRO</v>
          </cell>
          <cell r="H36" t="str">
            <v/>
          </cell>
          <cell r="I36" t="str">
            <v>UND</v>
          </cell>
          <cell r="J36">
            <v>1</v>
          </cell>
          <cell r="K36">
            <v>1</v>
          </cell>
          <cell r="L36" t="str">
            <v>C</v>
          </cell>
          <cell r="M36">
            <v>326</v>
          </cell>
          <cell r="N36" t="str">
            <v>C</v>
          </cell>
          <cell r="O36">
            <v>280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</v>
          </cell>
          <cell r="U36">
            <v>22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4</v>
          </cell>
          <cell r="AA36">
            <v>297</v>
          </cell>
          <cell r="AB36">
            <v>371.25</v>
          </cell>
          <cell r="AC36">
            <v>0</v>
          </cell>
          <cell r="AD36">
            <v>371.25</v>
          </cell>
          <cell r="AE36">
            <v>0</v>
          </cell>
          <cell r="AF36">
            <v>6.6</v>
          </cell>
          <cell r="AG36">
            <v>0.8</v>
          </cell>
        </row>
        <row r="37">
          <cell r="B37">
            <v>242201371</v>
          </cell>
          <cell r="C37" t="str">
            <v>1901</v>
          </cell>
          <cell r="D37" t="str">
            <v>CABESTRILLO ADULTO Marca Sanavit x Und</v>
          </cell>
          <cell r="E37" t="str">
            <v>SANAVIT</v>
          </cell>
          <cell r="F37" t="str">
            <v/>
          </cell>
          <cell r="G37" t="str">
            <v>TRAUMATOLOGIA CABESTRILLOS</v>
          </cell>
          <cell r="H37" t="str">
            <v/>
          </cell>
          <cell r="I37" t="str">
            <v>UND</v>
          </cell>
          <cell r="J37">
            <v>1</v>
          </cell>
          <cell r="K37">
            <v>1</v>
          </cell>
          <cell r="L37" t="str">
            <v>C</v>
          </cell>
          <cell r="M37">
            <v>238</v>
          </cell>
          <cell r="N37" t="str">
            <v>C</v>
          </cell>
          <cell r="O37">
            <v>242</v>
          </cell>
          <cell r="P37">
            <v>0</v>
          </cell>
          <cell r="Q37">
            <v>6</v>
          </cell>
          <cell r="R37">
            <v>6</v>
          </cell>
          <cell r="S37">
            <v>0</v>
          </cell>
          <cell r="T37">
            <v>61</v>
          </cell>
          <cell r="U37">
            <v>2</v>
          </cell>
          <cell r="V37">
            <v>0</v>
          </cell>
          <cell r="W37">
            <v>0</v>
          </cell>
          <cell r="X37">
            <v>0</v>
          </cell>
          <cell r="Y37">
            <v>6</v>
          </cell>
          <cell r="Z37">
            <v>50</v>
          </cell>
          <cell r="AA37">
            <v>360</v>
          </cell>
          <cell r="AB37">
            <v>424.29</v>
          </cell>
          <cell r="AC37">
            <v>0</v>
          </cell>
          <cell r="AD37">
            <v>424.29</v>
          </cell>
          <cell r="AE37">
            <v>0</v>
          </cell>
          <cell r="AF37">
            <v>8</v>
          </cell>
          <cell r="AG37">
            <v>0.84849999999999992</v>
          </cell>
        </row>
        <row r="38">
          <cell r="B38">
            <v>242201366</v>
          </cell>
          <cell r="C38" t="str">
            <v>1901</v>
          </cell>
          <cell r="D38" t="str">
            <v>CABESTRILLO JOVEN Marca Sanavit x Und</v>
          </cell>
          <cell r="E38" t="str">
            <v>SANAVIT</v>
          </cell>
          <cell r="F38" t="str">
            <v/>
          </cell>
          <cell r="G38" t="str">
            <v>TRAUMATOLOGIA INMOVILIZADOR RODILLA</v>
          </cell>
          <cell r="H38" t="str">
            <v/>
          </cell>
          <cell r="I38" t="str">
            <v>UND</v>
          </cell>
          <cell r="J38">
            <v>1</v>
          </cell>
          <cell r="K38">
            <v>1</v>
          </cell>
          <cell r="L38" t="str">
            <v>C</v>
          </cell>
          <cell r="M38">
            <v>60</v>
          </cell>
          <cell r="N38" t="str">
            <v>C</v>
          </cell>
          <cell r="O38">
            <v>185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5</v>
          </cell>
          <cell r="U38">
            <v>8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</v>
          </cell>
          <cell r="AA38">
            <v>360</v>
          </cell>
          <cell r="AB38">
            <v>553.85</v>
          </cell>
          <cell r="AC38">
            <v>0</v>
          </cell>
          <cell r="AD38">
            <v>553.85</v>
          </cell>
          <cell r="AE38">
            <v>0</v>
          </cell>
          <cell r="AF38">
            <v>8</v>
          </cell>
          <cell r="AG38">
            <v>0.65</v>
          </cell>
        </row>
        <row r="39">
          <cell r="B39">
            <v>252520108</v>
          </cell>
          <cell r="C39" t="str">
            <v/>
          </cell>
          <cell r="D39" t="str">
            <v>CANULA DE MAYO  (40mm. SZ.00) x Und</v>
          </cell>
          <cell r="E39" t="str">
            <v>HUDDSON</v>
          </cell>
          <cell r="F39" t="str">
            <v/>
          </cell>
          <cell r="G39" t="str">
            <v/>
          </cell>
          <cell r="H39" t="str">
            <v/>
          </cell>
          <cell r="I39" t="str">
            <v>UND</v>
          </cell>
          <cell r="J39">
            <v>1</v>
          </cell>
          <cell r="K39">
            <v>1</v>
          </cell>
          <cell r="L39" t="str">
            <v>C</v>
          </cell>
          <cell r="M39">
            <v>388</v>
          </cell>
          <cell r="N39" t="str">
            <v>C</v>
          </cell>
          <cell r="O39">
            <v>388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5</v>
          </cell>
          <cell r="U39">
            <v>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10</v>
          </cell>
          <cell r="AA39">
            <v>9.4725000000000001</v>
          </cell>
          <cell r="AB39">
            <v>13.53</v>
          </cell>
          <cell r="AC39">
            <v>0</v>
          </cell>
          <cell r="AD39">
            <v>13.53</v>
          </cell>
          <cell r="AE39">
            <v>0</v>
          </cell>
          <cell r="AF39">
            <v>0.21049999999999999</v>
          </cell>
          <cell r="AG39">
            <v>0.7</v>
          </cell>
        </row>
        <row r="40">
          <cell r="B40">
            <v>250220102</v>
          </cell>
          <cell r="C40" t="str">
            <v>1156</v>
          </cell>
          <cell r="D40" t="str">
            <v>CANULA DE MAYO  (60mm. SZ.1) x Und</v>
          </cell>
          <cell r="E40" t="str">
            <v>HUDDSON</v>
          </cell>
          <cell r="F40" t="str">
            <v/>
          </cell>
          <cell r="G40" t="str">
            <v>CANULAS DE MAYO</v>
          </cell>
          <cell r="H40" t="str">
            <v/>
          </cell>
          <cell r="I40" t="str">
            <v>CJX10</v>
          </cell>
          <cell r="J40">
            <v>1</v>
          </cell>
          <cell r="K40">
            <v>1</v>
          </cell>
          <cell r="L40" t="str">
            <v>C</v>
          </cell>
          <cell r="M40">
            <v>328</v>
          </cell>
          <cell r="N40" t="str">
            <v>C</v>
          </cell>
          <cell r="O40">
            <v>260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5</v>
          </cell>
          <cell r="U40">
            <v>659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200</v>
          </cell>
          <cell r="AA40">
            <v>11.4435</v>
          </cell>
          <cell r="AB40">
            <v>16.350000000000001</v>
          </cell>
          <cell r="AC40">
            <v>0</v>
          </cell>
          <cell r="AD40">
            <v>16.350000000000001</v>
          </cell>
          <cell r="AE40">
            <v>0</v>
          </cell>
          <cell r="AF40">
            <v>0.25430000000000003</v>
          </cell>
          <cell r="AG40">
            <v>0.7</v>
          </cell>
        </row>
        <row r="41">
          <cell r="B41">
            <v>250210101</v>
          </cell>
          <cell r="C41" t="str">
            <v/>
          </cell>
          <cell r="D41" t="str">
            <v>CANULA DE MAYO  (70mm. SZ.2) x Und</v>
          </cell>
          <cell r="E41" t="str">
            <v>HUDDSON</v>
          </cell>
          <cell r="F41" t="str">
            <v/>
          </cell>
          <cell r="G41" t="str">
            <v>CANULAS DE MAYO</v>
          </cell>
          <cell r="H41" t="str">
            <v/>
          </cell>
          <cell r="I41" t="str">
            <v>UND</v>
          </cell>
          <cell r="J41">
            <v>1</v>
          </cell>
          <cell r="K41">
            <v>1</v>
          </cell>
          <cell r="L41" t="str">
            <v>C</v>
          </cell>
          <cell r="M41">
            <v>405</v>
          </cell>
          <cell r="N41" t="str">
            <v>C</v>
          </cell>
          <cell r="O41">
            <v>272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</v>
          </cell>
          <cell r="U41">
            <v>2010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250</v>
          </cell>
          <cell r="AA41">
            <v>11.4435</v>
          </cell>
          <cell r="AB41">
            <v>16.350000000000001</v>
          </cell>
          <cell r="AC41">
            <v>0</v>
          </cell>
          <cell r="AD41">
            <v>16.350000000000001</v>
          </cell>
          <cell r="AE41">
            <v>0</v>
          </cell>
          <cell r="AF41">
            <v>0.25430000000000003</v>
          </cell>
          <cell r="AG41">
            <v>0.7</v>
          </cell>
        </row>
        <row r="42">
          <cell r="B42">
            <v>250450204</v>
          </cell>
          <cell r="C42" t="str">
            <v>N16-281G</v>
          </cell>
          <cell r="D42" t="str">
            <v>CANULA DE MAYO  (80mm. SZ.3) x Und</v>
          </cell>
          <cell r="E42" t="str">
            <v>MCKESSON</v>
          </cell>
          <cell r="F42" t="str">
            <v/>
          </cell>
          <cell r="G42" t="str">
            <v>CANULAS DE MAYO</v>
          </cell>
          <cell r="H42" t="str">
            <v/>
          </cell>
          <cell r="I42" t="str">
            <v>CJX50</v>
          </cell>
          <cell r="J42">
            <v>1</v>
          </cell>
          <cell r="K42">
            <v>1</v>
          </cell>
          <cell r="L42" t="str">
            <v>C</v>
          </cell>
          <cell r="M42">
            <v>237</v>
          </cell>
          <cell r="N42" t="str">
            <v>C</v>
          </cell>
          <cell r="O42">
            <v>65</v>
          </cell>
          <cell r="P42">
            <v>0</v>
          </cell>
          <cell r="Q42">
            <v>200</v>
          </cell>
          <cell r="R42">
            <v>200</v>
          </cell>
          <cell r="S42">
            <v>0</v>
          </cell>
          <cell r="T42">
            <v>73</v>
          </cell>
          <cell r="U42">
            <v>450</v>
          </cell>
          <cell r="V42">
            <v>300</v>
          </cell>
          <cell r="W42">
            <v>0</v>
          </cell>
          <cell r="X42">
            <v>0</v>
          </cell>
          <cell r="Y42">
            <v>200</v>
          </cell>
          <cell r="Z42">
            <v>350</v>
          </cell>
          <cell r="AA42">
            <v>46.6875</v>
          </cell>
          <cell r="AB42">
            <v>66.69</v>
          </cell>
          <cell r="AC42">
            <v>0</v>
          </cell>
          <cell r="AD42">
            <v>66.69</v>
          </cell>
          <cell r="AE42">
            <v>0</v>
          </cell>
          <cell r="AF42">
            <v>1.0375000000000001</v>
          </cell>
          <cell r="AG42">
            <v>0.7</v>
          </cell>
        </row>
        <row r="43">
          <cell r="B43">
            <v>250450205</v>
          </cell>
          <cell r="C43" t="str">
            <v>N16-291G</v>
          </cell>
          <cell r="D43" t="str">
            <v>CANULA DE MAYO  (90mm. SZ.4) x Und</v>
          </cell>
          <cell r="E43" t="str">
            <v>MC KESSON</v>
          </cell>
          <cell r="F43" t="str">
            <v/>
          </cell>
          <cell r="G43" t="str">
            <v>CANULAS DE MAYO</v>
          </cell>
          <cell r="H43" t="str">
            <v/>
          </cell>
          <cell r="I43" t="str">
            <v>CJX50</v>
          </cell>
          <cell r="J43">
            <v>1</v>
          </cell>
          <cell r="K43">
            <v>1</v>
          </cell>
          <cell r="L43" t="str">
            <v>C</v>
          </cell>
          <cell r="M43">
            <v>61</v>
          </cell>
          <cell r="N43" t="str">
            <v>C</v>
          </cell>
          <cell r="O43">
            <v>64</v>
          </cell>
          <cell r="P43">
            <v>0</v>
          </cell>
          <cell r="Q43">
            <v>70</v>
          </cell>
          <cell r="R43">
            <v>70</v>
          </cell>
          <cell r="S43">
            <v>0</v>
          </cell>
          <cell r="T43">
            <v>11</v>
          </cell>
          <cell r="U43">
            <v>746</v>
          </cell>
          <cell r="V43">
            <v>300</v>
          </cell>
          <cell r="W43">
            <v>50</v>
          </cell>
          <cell r="X43">
            <v>0</v>
          </cell>
          <cell r="Y43">
            <v>70</v>
          </cell>
          <cell r="Z43">
            <v>112</v>
          </cell>
          <cell r="AA43">
            <v>46.6875</v>
          </cell>
          <cell r="AB43">
            <v>66.69</v>
          </cell>
          <cell r="AC43">
            <v>0</v>
          </cell>
          <cell r="AD43">
            <v>66.69</v>
          </cell>
          <cell r="AE43">
            <v>0</v>
          </cell>
          <cell r="AF43">
            <v>1.0375000000000001</v>
          </cell>
          <cell r="AG43">
            <v>0.7</v>
          </cell>
        </row>
        <row r="44">
          <cell r="B44">
            <v>250450208</v>
          </cell>
          <cell r="C44" t="str">
            <v>DYND50172</v>
          </cell>
          <cell r="D44" t="str">
            <v>CANULA DE POOLE CON MANGUERA de 1.8 Mts. Esteril  Marca Med Lines x Und</v>
          </cell>
          <cell r="E44" t="str">
            <v>MEDLINE</v>
          </cell>
          <cell r="F44" t="str">
            <v/>
          </cell>
          <cell r="G44" t="str">
            <v>CANULAS POOLE CON MANGUERA</v>
          </cell>
          <cell r="H44" t="str">
            <v/>
          </cell>
          <cell r="I44" t="str">
            <v>CJX20</v>
          </cell>
          <cell r="J44">
            <v>1</v>
          </cell>
          <cell r="K44">
            <v>1</v>
          </cell>
          <cell r="L44" t="str">
            <v>C</v>
          </cell>
          <cell r="M44">
            <v>284</v>
          </cell>
          <cell r="N44" t="str">
            <v>C</v>
          </cell>
          <cell r="O44">
            <v>123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5</v>
          </cell>
          <cell r="U44">
            <v>739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2460</v>
          </cell>
          <cell r="AA44">
            <v>270.89999999999998</v>
          </cell>
          <cell r="AB44">
            <v>338.63</v>
          </cell>
          <cell r="AC44">
            <v>0</v>
          </cell>
          <cell r="AD44">
            <v>338.63</v>
          </cell>
          <cell r="AE44">
            <v>0</v>
          </cell>
          <cell r="AF44">
            <v>6.02</v>
          </cell>
          <cell r="AG44">
            <v>0.8</v>
          </cell>
        </row>
        <row r="45">
          <cell r="B45">
            <v>240451303</v>
          </cell>
          <cell r="C45" t="str">
            <v>DYND50138</v>
          </cell>
          <cell r="D45" t="str">
            <v>CANULA DE YANKAUER C/TUBO 3.0 Mts. Marca Medline x Und</v>
          </cell>
          <cell r="E45" t="str">
            <v>MEDLINE</v>
          </cell>
          <cell r="F45" t="str">
            <v/>
          </cell>
          <cell r="G45" t="str">
            <v/>
          </cell>
          <cell r="H45" t="str">
            <v/>
          </cell>
          <cell r="I45" t="str">
            <v>CJX20</v>
          </cell>
          <cell r="J45">
            <v>1</v>
          </cell>
          <cell r="K45">
            <v>1</v>
          </cell>
          <cell r="L45" t="str">
            <v>C</v>
          </cell>
          <cell r="M45">
            <v>250</v>
          </cell>
          <cell r="N45" t="str">
            <v>C</v>
          </cell>
          <cell r="O45">
            <v>28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5</v>
          </cell>
          <cell r="U45">
            <v>1444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190</v>
          </cell>
          <cell r="AA45">
            <v>180.9</v>
          </cell>
          <cell r="AB45">
            <v>226.13</v>
          </cell>
          <cell r="AC45">
            <v>0</v>
          </cell>
          <cell r="AD45">
            <v>226.13</v>
          </cell>
          <cell r="AE45">
            <v>0</v>
          </cell>
          <cell r="AF45">
            <v>4.0199999999999996</v>
          </cell>
          <cell r="AG45">
            <v>0.8</v>
          </cell>
        </row>
        <row r="46">
          <cell r="B46">
            <v>240450302</v>
          </cell>
          <cell r="C46" t="str">
            <v>HCS4511B</v>
          </cell>
          <cell r="D46" t="str">
            <v>CANULA NASAL ADULTO Marca Medline x Und</v>
          </cell>
          <cell r="E46" t="str">
            <v>MEDLINE</v>
          </cell>
          <cell r="F46" t="str">
            <v/>
          </cell>
          <cell r="G46" t="str">
            <v>CANULAS NASALES</v>
          </cell>
          <cell r="H46" t="str">
            <v/>
          </cell>
          <cell r="I46" t="str">
            <v>CJX50</v>
          </cell>
          <cell r="J46">
            <v>1</v>
          </cell>
          <cell r="K46">
            <v>1</v>
          </cell>
          <cell r="L46" t="str">
            <v>C</v>
          </cell>
          <cell r="M46">
            <v>66</v>
          </cell>
          <cell r="N46" t="str">
            <v>C</v>
          </cell>
          <cell r="O46">
            <v>41</v>
          </cell>
          <cell r="P46">
            <v>0</v>
          </cell>
          <cell r="Q46">
            <v>600</v>
          </cell>
          <cell r="R46">
            <v>600</v>
          </cell>
          <cell r="S46">
            <v>0</v>
          </cell>
          <cell r="T46">
            <v>5</v>
          </cell>
          <cell r="U46">
            <v>2805</v>
          </cell>
          <cell r="V46">
            <v>0</v>
          </cell>
          <cell r="W46">
            <v>0</v>
          </cell>
          <cell r="X46">
            <v>0</v>
          </cell>
          <cell r="Y46">
            <v>600</v>
          </cell>
          <cell r="Z46">
            <v>1100</v>
          </cell>
          <cell r="AA46">
            <v>26.55</v>
          </cell>
          <cell r="AB46">
            <v>44.25</v>
          </cell>
          <cell r="AC46">
            <v>0</v>
          </cell>
          <cell r="AD46">
            <v>44.25</v>
          </cell>
          <cell r="AE46">
            <v>0</v>
          </cell>
          <cell r="AF46">
            <v>0.59</v>
          </cell>
          <cell r="AG46">
            <v>0.6</v>
          </cell>
        </row>
        <row r="47">
          <cell r="B47">
            <v>240450305</v>
          </cell>
          <cell r="C47" t="str">
            <v>1685</v>
          </cell>
          <cell r="D47" t="str">
            <v>CANULA NASAL INFANTE CPAP NRO.1 MARCA HUDDSON x Und</v>
          </cell>
          <cell r="E47" t="str">
            <v>HUDDSON</v>
          </cell>
          <cell r="F47" t="str">
            <v/>
          </cell>
          <cell r="G47" t="str">
            <v/>
          </cell>
          <cell r="H47" t="str">
            <v/>
          </cell>
          <cell r="I47" t="str">
            <v>CJX10</v>
          </cell>
          <cell r="J47">
            <v>1</v>
          </cell>
          <cell r="K47">
            <v>1</v>
          </cell>
          <cell r="L47" t="str">
            <v>C</v>
          </cell>
          <cell r="M47">
            <v>385</v>
          </cell>
          <cell r="N47" t="str">
            <v>C</v>
          </cell>
          <cell r="O47">
            <v>385</v>
          </cell>
          <cell r="P47">
            <v>0</v>
          </cell>
          <cell r="Q47">
            <v>3</v>
          </cell>
          <cell r="R47">
            <v>3</v>
          </cell>
          <cell r="S47">
            <v>0</v>
          </cell>
          <cell r="T47">
            <v>5</v>
          </cell>
          <cell r="U47">
            <v>2</v>
          </cell>
          <cell r="V47">
            <v>0</v>
          </cell>
          <cell r="W47">
            <v>0</v>
          </cell>
          <cell r="X47">
            <v>0</v>
          </cell>
          <cell r="Y47">
            <v>3</v>
          </cell>
          <cell r="Z47">
            <v>3</v>
          </cell>
          <cell r="AA47">
            <v>1097.5274999999999</v>
          </cell>
          <cell r="AB47">
            <v>1371.91</v>
          </cell>
          <cell r="AC47">
            <v>0</v>
          </cell>
          <cell r="AD47">
            <v>1371.91</v>
          </cell>
          <cell r="AE47">
            <v>0</v>
          </cell>
          <cell r="AF47">
            <v>24.389500000000002</v>
          </cell>
          <cell r="AG47">
            <v>0.8</v>
          </cell>
        </row>
        <row r="48">
          <cell r="B48">
            <v>272100150</v>
          </cell>
          <cell r="C48" t="str">
            <v>9.10.01.00</v>
          </cell>
          <cell r="D48" t="str">
            <v>CARGADOR//ENCHUFE BOMBA SINOMAT X UNIDAD</v>
          </cell>
          <cell r="E48" t="str">
            <v>SINOMAT</v>
          </cell>
          <cell r="F48" t="str">
            <v/>
          </cell>
          <cell r="G48" t="str">
            <v/>
          </cell>
          <cell r="H48" t="str">
            <v/>
          </cell>
          <cell r="I48" t="str">
            <v>UND</v>
          </cell>
          <cell r="J48">
            <v>1</v>
          </cell>
          <cell r="K48">
            <v>1</v>
          </cell>
          <cell r="L48" t="str">
            <v>C</v>
          </cell>
          <cell r="M48">
            <v>348</v>
          </cell>
          <cell r="N48" t="str">
            <v>C</v>
          </cell>
          <cell r="O48">
            <v>263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147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</v>
          </cell>
          <cell r="AA48">
            <v>1125</v>
          </cell>
          <cell r="AB48">
            <v>2250</v>
          </cell>
          <cell r="AC48">
            <v>0</v>
          </cell>
          <cell r="AD48">
            <v>2250</v>
          </cell>
          <cell r="AE48">
            <v>0</v>
          </cell>
          <cell r="AF48">
            <v>25</v>
          </cell>
          <cell r="AG48">
            <v>0.5</v>
          </cell>
        </row>
        <row r="49">
          <cell r="B49">
            <v>240350113</v>
          </cell>
          <cell r="C49" t="str">
            <v/>
          </cell>
          <cell r="D49" t="str">
            <v>CARTUCHO AUTOSUTURA TA 30 3.5 AZUL TA3035L x Und</v>
          </cell>
          <cell r="E49" t="str">
            <v/>
          </cell>
          <cell r="F49" t="str">
            <v/>
          </cell>
          <cell r="G49" t="str">
            <v>OTROS OTROS</v>
          </cell>
          <cell r="H49" t="str">
            <v/>
          </cell>
          <cell r="I49" t="str">
            <v>UND</v>
          </cell>
          <cell r="J49">
            <v>1</v>
          </cell>
          <cell r="K49">
            <v>1</v>
          </cell>
          <cell r="L49" t="str">
            <v>C</v>
          </cell>
          <cell r="M49">
            <v>169</v>
          </cell>
          <cell r="N49" t="str">
            <v>C</v>
          </cell>
          <cell r="O49">
            <v>237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</v>
          </cell>
          <cell r="U49">
            <v>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6</v>
          </cell>
          <cell r="AA49">
            <v>562.5</v>
          </cell>
          <cell r="AB49">
            <v>703.13</v>
          </cell>
          <cell r="AC49">
            <v>0</v>
          </cell>
          <cell r="AD49">
            <v>703.13</v>
          </cell>
          <cell r="AE49">
            <v>0</v>
          </cell>
          <cell r="AF49">
            <v>12.5</v>
          </cell>
          <cell r="AG49">
            <v>0.8</v>
          </cell>
        </row>
        <row r="50">
          <cell r="B50">
            <v>241260107</v>
          </cell>
          <cell r="C50" t="str">
            <v>241260107</v>
          </cell>
          <cell r="D50" t="str">
            <v>CASSETTE STERRAD 100S  Ref: 10113 Marca Jhonsons &amp; Jhonsons x Und./\Presentacion Caja x 05 Unds.</v>
          </cell>
          <cell r="E50" t="str">
            <v>J&amp;J</v>
          </cell>
          <cell r="F50" t="str">
            <v/>
          </cell>
          <cell r="G50" t="str">
            <v/>
          </cell>
          <cell r="H50" t="str">
            <v/>
          </cell>
          <cell r="I50" t="str">
            <v>UND</v>
          </cell>
          <cell r="J50">
            <v>5</v>
          </cell>
          <cell r="K50">
            <v>1</v>
          </cell>
          <cell r="L50" t="str">
            <v>C</v>
          </cell>
          <cell r="M50">
            <v>1</v>
          </cell>
          <cell r="N50" t="str">
            <v>C</v>
          </cell>
          <cell r="O50">
            <v>7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279</v>
          </cell>
          <cell r="U50">
            <v>7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4500</v>
          </cell>
          <cell r="AB50">
            <v>6923.08</v>
          </cell>
          <cell r="AC50">
            <v>0</v>
          </cell>
          <cell r="AD50">
            <v>6923.08</v>
          </cell>
          <cell r="AE50">
            <v>0</v>
          </cell>
          <cell r="AF50">
            <v>100</v>
          </cell>
          <cell r="AG50">
            <v>0.65</v>
          </cell>
        </row>
        <row r="51">
          <cell r="B51">
            <v>241950402</v>
          </cell>
          <cell r="C51" t="str">
            <v/>
          </cell>
          <cell r="D51" t="str">
            <v>CAT. SWN GANZ COMBO 7.5 FR REF 774HF75 x Und</v>
          </cell>
          <cell r="E51" t="str">
            <v>EDWARDS LIFESCIENCE</v>
          </cell>
          <cell r="F51" t="str">
            <v/>
          </cell>
          <cell r="G51" t="str">
            <v/>
          </cell>
          <cell r="H51" t="str">
            <v/>
          </cell>
          <cell r="I51" t="str">
            <v>UND</v>
          </cell>
          <cell r="J51">
            <v>1</v>
          </cell>
          <cell r="K51">
            <v>1</v>
          </cell>
          <cell r="L51" t="str">
            <v>C</v>
          </cell>
          <cell r="M51">
            <v>69</v>
          </cell>
          <cell r="N51" t="str">
            <v>C</v>
          </cell>
          <cell r="O51">
            <v>174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5</v>
          </cell>
          <cell r="U51">
            <v>2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6</v>
          </cell>
          <cell r="AA51">
            <v>10687.5</v>
          </cell>
          <cell r="AB51">
            <v>13359.38</v>
          </cell>
          <cell r="AC51">
            <v>0</v>
          </cell>
          <cell r="AD51">
            <v>13359.38</v>
          </cell>
          <cell r="AE51">
            <v>0</v>
          </cell>
          <cell r="AF51">
            <v>237.5</v>
          </cell>
          <cell r="AG51">
            <v>0.8</v>
          </cell>
        </row>
        <row r="52">
          <cell r="B52">
            <v>241951202</v>
          </cell>
          <cell r="C52" t="str">
            <v>CV-12702</v>
          </cell>
          <cell r="D52" t="str">
            <v>CATETER BILUMEN 7.0Fr x 16 cm. Marca Arrow x Und</v>
          </cell>
          <cell r="E52" t="str">
            <v>ARROW</v>
          </cell>
          <cell r="F52" t="str">
            <v/>
          </cell>
          <cell r="G52" t="str">
            <v>CATETER   BILUMEN</v>
          </cell>
          <cell r="H52" t="str">
            <v/>
          </cell>
          <cell r="I52" t="str">
            <v>CJX10</v>
          </cell>
          <cell r="J52">
            <v>1</v>
          </cell>
          <cell r="K52">
            <v>1</v>
          </cell>
          <cell r="L52" t="str">
            <v>C</v>
          </cell>
          <cell r="M52">
            <v>136</v>
          </cell>
          <cell r="N52" t="str">
            <v>C</v>
          </cell>
          <cell r="O52">
            <v>146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</v>
          </cell>
          <cell r="U52">
            <v>18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50</v>
          </cell>
          <cell r="AA52">
            <v>1036.1835000000001</v>
          </cell>
          <cell r="AB52">
            <v>1219.04</v>
          </cell>
          <cell r="AC52">
            <v>0</v>
          </cell>
          <cell r="AD52">
            <v>1219.04</v>
          </cell>
          <cell r="AE52">
            <v>0</v>
          </cell>
          <cell r="AF52">
            <v>23.026299999999999</v>
          </cell>
          <cell r="AG52">
            <v>0.85</v>
          </cell>
        </row>
        <row r="53">
          <cell r="B53">
            <v>241950102</v>
          </cell>
          <cell r="C53" t="str">
            <v>CV-16702</v>
          </cell>
          <cell r="D53" t="str">
            <v>CATETER BILUMEN 7.0Fr x 20 cm. Marca Arrow x Und</v>
          </cell>
          <cell r="E53" t="str">
            <v>ARROW</v>
          </cell>
          <cell r="F53" t="str">
            <v/>
          </cell>
          <cell r="G53" t="str">
            <v>CATETER   BILUMEN</v>
          </cell>
          <cell r="H53" t="str">
            <v/>
          </cell>
          <cell r="I53" t="str">
            <v>CJX10</v>
          </cell>
          <cell r="J53">
            <v>1</v>
          </cell>
          <cell r="K53">
            <v>1</v>
          </cell>
          <cell r="L53" t="str">
            <v/>
          </cell>
          <cell r="M53">
            <v>0</v>
          </cell>
          <cell r="N53" t="str">
            <v/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</v>
          </cell>
          <cell r="U53">
            <v>21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984.375</v>
          </cell>
          <cell r="AB53">
            <v>1158.0899999999999</v>
          </cell>
          <cell r="AC53">
            <v>0</v>
          </cell>
          <cell r="AD53">
            <v>1158.0899999999999</v>
          </cell>
          <cell r="AE53">
            <v>0</v>
          </cell>
          <cell r="AF53">
            <v>21.875</v>
          </cell>
          <cell r="AG53">
            <v>0.85</v>
          </cell>
        </row>
        <row r="54">
          <cell r="B54">
            <v>241010209</v>
          </cell>
          <cell r="C54" t="str">
            <v>12072230</v>
          </cell>
          <cell r="D54" t="str">
            <v>CATETER DOBLE J PUNTA ABIERTA 7 Fr. x 22Cm - 30Cm - Marca Forsure x Und</v>
          </cell>
          <cell r="E54" t="str">
            <v>FORSURE</v>
          </cell>
          <cell r="F54" t="str">
            <v/>
          </cell>
          <cell r="G54" t="str">
            <v/>
          </cell>
          <cell r="H54" t="str">
            <v/>
          </cell>
          <cell r="I54" t="str">
            <v>CJX5</v>
          </cell>
          <cell r="J54">
            <v>1</v>
          </cell>
          <cell r="K54">
            <v>1</v>
          </cell>
          <cell r="L54" t="str">
            <v>C</v>
          </cell>
          <cell r="M54">
            <v>126</v>
          </cell>
          <cell r="N54" t="str">
            <v>C</v>
          </cell>
          <cell r="O54">
            <v>154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5</v>
          </cell>
          <cell r="U54">
            <v>11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20</v>
          </cell>
          <cell r="AA54">
            <v>2025</v>
          </cell>
          <cell r="AB54">
            <v>2382.35</v>
          </cell>
          <cell r="AC54">
            <v>0</v>
          </cell>
          <cell r="AD54">
            <v>2382.35</v>
          </cell>
          <cell r="AE54">
            <v>0</v>
          </cell>
          <cell r="AF54">
            <v>45</v>
          </cell>
          <cell r="AG54">
            <v>0.85</v>
          </cell>
        </row>
        <row r="55">
          <cell r="B55">
            <v>251950501</v>
          </cell>
          <cell r="C55" t="str">
            <v/>
          </cell>
          <cell r="D55" t="str">
            <v>CATETER IV JELCO 14 G x 2 1/4" Marca Smith Medical (RO) x Und</v>
          </cell>
          <cell r="E55" t="str">
            <v>SMITH MEDICAL</v>
          </cell>
          <cell r="F55" t="str">
            <v/>
          </cell>
          <cell r="G55" t="str">
            <v>CATETER   JELCO</v>
          </cell>
          <cell r="H55" t="str">
            <v/>
          </cell>
          <cell r="I55" t="str">
            <v>CJX50</v>
          </cell>
          <cell r="J55">
            <v>50</v>
          </cell>
          <cell r="K55">
            <v>1</v>
          </cell>
          <cell r="L55" t="str">
            <v>B</v>
          </cell>
          <cell r="M55">
            <v>8</v>
          </cell>
          <cell r="N55" t="str">
            <v>C</v>
          </cell>
          <cell r="O55">
            <v>80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241</v>
          </cell>
          <cell r="U55">
            <v>200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450</v>
          </cell>
          <cell r="AA55">
            <v>54</v>
          </cell>
          <cell r="AB55">
            <v>67.5</v>
          </cell>
          <cell r="AC55">
            <v>0</v>
          </cell>
          <cell r="AD55">
            <v>67.5</v>
          </cell>
          <cell r="AE55">
            <v>0</v>
          </cell>
          <cell r="AF55">
            <v>1.2</v>
          </cell>
          <cell r="AG55">
            <v>0.8</v>
          </cell>
        </row>
        <row r="56">
          <cell r="B56">
            <v>251950503</v>
          </cell>
          <cell r="C56" t="str">
            <v/>
          </cell>
          <cell r="D56" t="str">
            <v>CATETER IV JELCO 18 G x 1 1/4" Marca Smith Medical  (RO) x Und</v>
          </cell>
          <cell r="E56" t="str">
            <v>SMITH MEDICAL</v>
          </cell>
          <cell r="F56" t="str">
            <v/>
          </cell>
          <cell r="G56" t="str">
            <v>CATETER   JELCO</v>
          </cell>
          <cell r="H56" t="str">
            <v/>
          </cell>
          <cell r="I56" t="str">
            <v>CJX50</v>
          </cell>
          <cell r="J56">
            <v>50</v>
          </cell>
          <cell r="K56">
            <v>1</v>
          </cell>
          <cell r="L56" t="str">
            <v>C</v>
          </cell>
          <cell r="M56">
            <v>244</v>
          </cell>
          <cell r="N56" t="str">
            <v>B</v>
          </cell>
          <cell r="O56">
            <v>20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45</v>
          </cell>
          <cell r="U56">
            <v>2700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3600</v>
          </cell>
          <cell r="AA56">
            <v>29.25</v>
          </cell>
          <cell r="AB56">
            <v>36.56</v>
          </cell>
          <cell r="AC56">
            <v>0</v>
          </cell>
          <cell r="AD56">
            <v>36.56</v>
          </cell>
          <cell r="AE56">
            <v>0</v>
          </cell>
          <cell r="AF56">
            <v>0.65</v>
          </cell>
          <cell r="AG56">
            <v>0.8</v>
          </cell>
        </row>
        <row r="57">
          <cell r="B57">
            <v>251951504</v>
          </cell>
          <cell r="C57" t="str">
            <v/>
          </cell>
          <cell r="D57" t="str">
            <v>CATETER IV JELCO 20G x 1 1/4"  Marca Smith Medical (RO) x Und</v>
          </cell>
          <cell r="E57" t="str">
            <v>SMITH MEDICAL</v>
          </cell>
          <cell r="F57" t="str">
            <v/>
          </cell>
          <cell r="G57" t="str">
            <v>CATETER   JELCO</v>
          </cell>
          <cell r="H57" t="str">
            <v/>
          </cell>
          <cell r="I57" t="str">
            <v>CJX50</v>
          </cell>
          <cell r="J57">
            <v>50</v>
          </cell>
          <cell r="K57">
            <v>1</v>
          </cell>
          <cell r="L57" t="str">
            <v>C</v>
          </cell>
          <cell r="M57">
            <v>221</v>
          </cell>
          <cell r="N57" t="str">
            <v>A</v>
          </cell>
          <cell r="O57">
            <v>23</v>
          </cell>
          <cell r="P57">
            <v>0</v>
          </cell>
          <cell r="Q57">
            <v>150</v>
          </cell>
          <cell r="R57">
            <v>150</v>
          </cell>
          <cell r="S57">
            <v>0</v>
          </cell>
          <cell r="T57">
            <v>45</v>
          </cell>
          <cell r="U57">
            <v>4450</v>
          </cell>
          <cell r="V57">
            <v>0</v>
          </cell>
          <cell r="W57">
            <v>0</v>
          </cell>
          <cell r="X57">
            <v>0</v>
          </cell>
          <cell r="Y57">
            <v>150</v>
          </cell>
          <cell r="Z57">
            <v>7150</v>
          </cell>
          <cell r="AA57">
            <v>29.25</v>
          </cell>
          <cell r="AB57">
            <v>36.56</v>
          </cell>
          <cell r="AC57">
            <v>0</v>
          </cell>
          <cell r="AD57">
            <v>36.56</v>
          </cell>
          <cell r="AE57">
            <v>0</v>
          </cell>
          <cell r="AF57">
            <v>0.65</v>
          </cell>
          <cell r="AG57">
            <v>0.8</v>
          </cell>
        </row>
        <row r="58">
          <cell r="B58">
            <v>241950205</v>
          </cell>
          <cell r="C58" t="str">
            <v/>
          </cell>
          <cell r="D58" t="str">
            <v>CATETER IV JELCO 22G x 1 1/4"  Marca Smith Medical (RO) x Und</v>
          </cell>
          <cell r="E58" t="str">
            <v/>
          </cell>
          <cell r="F58" t="str">
            <v/>
          </cell>
          <cell r="G58" t="str">
            <v>CATETER   JELCO</v>
          </cell>
          <cell r="H58" t="str">
            <v/>
          </cell>
          <cell r="I58" t="str">
            <v>UND</v>
          </cell>
          <cell r="J58">
            <v>1</v>
          </cell>
          <cell r="K58">
            <v>1</v>
          </cell>
          <cell r="L58" t="str">
            <v>C</v>
          </cell>
          <cell r="M58">
            <v>210</v>
          </cell>
          <cell r="N58" t="str">
            <v>A</v>
          </cell>
          <cell r="O58">
            <v>16</v>
          </cell>
          <cell r="P58">
            <v>0</v>
          </cell>
          <cell r="Q58">
            <v>50</v>
          </cell>
          <cell r="R58">
            <v>50</v>
          </cell>
          <cell r="S58">
            <v>0</v>
          </cell>
          <cell r="T58">
            <v>45</v>
          </cell>
          <cell r="U58">
            <v>5750</v>
          </cell>
          <cell r="V58">
            <v>0</v>
          </cell>
          <cell r="W58">
            <v>0</v>
          </cell>
          <cell r="X58">
            <v>0</v>
          </cell>
          <cell r="Y58">
            <v>50</v>
          </cell>
          <cell r="Z58">
            <v>6150</v>
          </cell>
          <cell r="AA58">
            <v>29.25</v>
          </cell>
          <cell r="AB58">
            <v>36.56</v>
          </cell>
          <cell r="AC58">
            <v>0</v>
          </cell>
          <cell r="AD58">
            <v>36.56</v>
          </cell>
          <cell r="AE58">
            <v>0</v>
          </cell>
          <cell r="AF58">
            <v>0.65</v>
          </cell>
          <cell r="AG58">
            <v>0.8</v>
          </cell>
        </row>
        <row r="59">
          <cell r="B59">
            <v>251950506</v>
          </cell>
          <cell r="C59" t="str">
            <v/>
          </cell>
          <cell r="D59" t="str">
            <v>CATETER IV JELCO 24 G x 3/4"   Marca Smith Medical (RO) x Und</v>
          </cell>
          <cell r="E59" t="str">
            <v>SMITH MEDICAL</v>
          </cell>
          <cell r="F59" t="str">
            <v/>
          </cell>
          <cell r="G59" t="str">
            <v>CATETER   JELCO</v>
          </cell>
          <cell r="H59" t="str">
            <v/>
          </cell>
          <cell r="I59" t="str">
            <v>CJX50</v>
          </cell>
          <cell r="J59">
            <v>50</v>
          </cell>
          <cell r="K59">
            <v>1</v>
          </cell>
          <cell r="L59" t="str">
            <v>C</v>
          </cell>
          <cell r="M59">
            <v>245</v>
          </cell>
          <cell r="N59" t="str">
            <v>B</v>
          </cell>
          <cell r="O59">
            <v>17</v>
          </cell>
          <cell r="P59">
            <v>0</v>
          </cell>
          <cell r="Q59">
            <v>500</v>
          </cell>
          <cell r="R59">
            <v>500</v>
          </cell>
          <cell r="S59">
            <v>0</v>
          </cell>
          <cell r="T59">
            <v>45</v>
          </cell>
          <cell r="U59">
            <v>2350</v>
          </cell>
          <cell r="V59">
            <v>0</v>
          </cell>
          <cell r="W59">
            <v>0</v>
          </cell>
          <cell r="X59">
            <v>0</v>
          </cell>
          <cell r="Y59">
            <v>550</v>
          </cell>
          <cell r="Z59">
            <v>9900</v>
          </cell>
          <cell r="AA59">
            <v>29.25</v>
          </cell>
          <cell r="AB59">
            <v>36.56</v>
          </cell>
          <cell r="AC59">
            <v>0</v>
          </cell>
          <cell r="AD59">
            <v>36.56</v>
          </cell>
          <cell r="AE59">
            <v>0</v>
          </cell>
          <cell r="AF59">
            <v>0.65</v>
          </cell>
          <cell r="AG59">
            <v>0.8</v>
          </cell>
        </row>
        <row r="60">
          <cell r="B60">
            <v>251950906</v>
          </cell>
          <cell r="C60" t="str">
            <v>831F75</v>
          </cell>
          <cell r="D60" t="str">
            <v>CATETER SWAN GANZ REF 831F75 7.5FR x Und</v>
          </cell>
          <cell r="E60" t="str">
            <v>EDWARDS LIFESCIENCE</v>
          </cell>
          <cell r="F60" t="str">
            <v/>
          </cell>
          <cell r="G60" t="str">
            <v/>
          </cell>
          <cell r="H60" t="str">
            <v/>
          </cell>
          <cell r="I60" t="str">
            <v>UND</v>
          </cell>
          <cell r="J60">
            <v>1</v>
          </cell>
          <cell r="K60">
            <v>1</v>
          </cell>
          <cell r="L60" t="str">
            <v>C</v>
          </cell>
          <cell r="M60">
            <v>27</v>
          </cell>
          <cell r="N60" t="str">
            <v>C</v>
          </cell>
          <cell r="O60">
            <v>158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5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2</v>
          </cell>
          <cell r="AA60">
            <v>1068.75</v>
          </cell>
          <cell r="AB60">
            <v>1335.94</v>
          </cell>
          <cell r="AC60">
            <v>0</v>
          </cell>
          <cell r="AD60">
            <v>1335.94</v>
          </cell>
          <cell r="AE60">
            <v>0</v>
          </cell>
          <cell r="AF60">
            <v>23.75</v>
          </cell>
          <cell r="AG60">
            <v>0.8</v>
          </cell>
        </row>
        <row r="61">
          <cell r="B61">
            <v>241951321</v>
          </cell>
          <cell r="C61" t="str">
            <v>4283505</v>
          </cell>
          <cell r="D61" t="str">
            <v>CATETER UMBILICAL DOBLE LUMEN 3.5 Fr. Marca UTAH MEDICAL x Und</v>
          </cell>
          <cell r="E61" t="str">
            <v>UTAH MEDICAL</v>
          </cell>
          <cell r="F61" t="str">
            <v/>
          </cell>
          <cell r="G61" t="str">
            <v>DOBLE LUMEN</v>
          </cell>
          <cell r="H61" t="str">
            <v/>
          </cell>
          <cell r="I61" t="str">
            <v>CJX10</v>
          </cell>
          <cell r="J61">
            <v>1</v>
          </cell>
          <cell r="K61">
            <v>1</v>
          </cell>
          <cell r="L61" t="str">
            <v>C</v>
          </cell>
          <cell r="M61">
            <v>312</v>
          </cell>
          <cell r="N61" t="str">
            <v>C</v>
          </cell>
          <cell r="O61">
            <v>267</v>
          </cell>
          <cell r="P61">
            <v>0</v>
          </cell>
          <cell r="Q61">
            <v>4</v>
          </cell>
          <cell r="R61">
            <v>4</v>
          </cell>
          <cell r="S61">
            <v>0</v>
          </cell>
          <cell r="T61">
            <v>5</v>
          </cell>
          <cell r="U61">
            <v>32</v>
          </cell>
          <cell r="V61">
            <v>0</v>
          </cell>
          <cell r="W61">
            <v>0</v>
          </cell>
          <cell r="X61">
            <v>0</v>
          </cell>
          <cell r="Y61">
            <v>4</v>
          </cell>
          <cell r="Z61">
            <v>19</v>
          </cell>
          <cell r="AA61">
            <v>1257.1559999999999</v>
          </cell>
          <cell r="AB61">
            <v>1676.21</v>
          </cell>
          <cell r="AC61">
            <v>0</v>
          </cell>
          <cell r="AD61">
            <v>1676.21</v>
          </cell>
          <cell r="AE61">
            <v>0</v>
          </cell>
          <cell r="AF61">
            <v>27.936800000000002</v>
          </cell>
          <cell r="AG61">
            <v>0.75</v>
          </cell>
        </row>
        <row r="62">
          <cell r="B62">
            <v>241951319</v>
          </cell>
          <cell r="C62" t="str">
            <v>4285005</v>
          </cell>
          <cell r="D62" t="str">
            <v>CATETER UMBILICAL DOBLE LUMEN 5 Fr x 38 Cm. Marca UTAH MEDICAL x Und</v>
          </cell>
          <cell r="E62" t="str">
            <v>UTAH MEDICAL</v>
          </cell>
          <cell r="F62" t="str">
            <v/>
          </cell>
          <cell r="G62" t="str">
            <v>CATETER   UMBILICAL</v>
          </cell>
          <cell r="H62" t="str">
            <v/>
          </cell>
          <cell r="I62" t="str">
            <v>CJX10</v>
          </cell>
          <cell r="J62">
            <v>1</v>
          </cell>
          <cell r="K62">
            <v>1</v>
          </cell>
          <cell r="L62" t="str">
            <v>C</v>
          </cell>
          <cell r="M62">
            <v>311</v>
          </cell>
          <cell r="N62" t="str">
            <v>C</v>
          </cell>
          <cell r="O62">
            <v>266</v>
          </cell>
          <cell r="P62">
            <v>0</v>
          </cell>
          <cell r="Q62">
            <v>4</v>
          </cell>
          <cell r="R62">
            <v>4</v>
          </cell>
          <cell r="S62">
            <v>0</v>
          </cell>
          <cell r="T62">
            <v>5</v>
          </cell>
          <cell r="U62">
            <v>33</v>
          </cell>
          <cell r="V62">
            <v>0</v>
          </cell>
          <cell r="W62">
            <v>0</v>
          </cell>
          <cell r="X62">
            <v>0</v>
          </cell>
          <cell r="Y62">
            <v>4</v>
          </cell>
          <cell r="Z62">
            <v>10</v>
          </cell>
          <cell r="AA62">
            <v>1257.1559999999999</v>
          </cell>
          <cell r="AB62">
            <v>1676.21</v>
          </cell>
          <cell r="AC62">
            <v>0</v>
          </cell>
          <cell r="AD62">
            <v>1676.21</v>
          </cell>
          <cell r="AE62">
            <v>0</v>
          </cell>
          <cell r="AF62">
            <v>27.936800000000002</v>
          </cell>
          <cell r="AG62">
            <v>0.75</v>
          </cell>
        </row>
        <row r="63">
          <cell r="B63">
            <v>241951323</v>
          </cell>
          <cell r="C63" t="str">
            <v>8.888E+9</v>
          </cell>
          <cell r="D63" t="str">
            <v>CATETER UMBILICAL SIMPLE LUMEN 5 Fr. Marca Covidien x Und</v>
          </cell>
          <cell r="E63" t="str">
            <v>COVIDIEN</v>
          </cell>
          <cell r="F63" t="str">
            <v/>
          </cell>
          <cell r="G63" t="str">
            <v/>
          </cell>
          <cell r="H63" t="str">
            <v/>
          </cell>
          <cell r="I63" t="str">
            <v>UND</v>
          </cell>
          <cell r="J63">
            <v>1</v>
          </cell>
          <cell r="K63">
            <v>1</v>
          </cell>
          <cell r="L63" t="str">
            <v>C</v>
          </cell>
          <cell r="M63">
            <v>417</v>
          </cell>
          <cell r="N63" t="str">
            <v>C</v>
          </cell>
          <cell r="O63">
            <v>81</v>
          </cell>
          <cell r="P63">
            <v>0</v>
          </cell>
          <cell r="Q63">
            <v>4</v>
          </cell>
          <cell r="R63">
            <v>4</v>
          </cell>
          <cell r="S63">
            <v>0</v>
          </cell>
          <cell r="T63">
            <v>5</v>
          </cell>
          <cell r="U63">
            <v>24</v>
          </cell>
          <cell r="V63">
            <v>0</v>
          </cell>
          <cell r="W63">
            <v>0</v>
          </cell>
          <cell r="X63">
            <v>0</v>
          </cell>
          <cell r="Y63">
            <v>4</v>
          </cell>
          <cell r="Z63">
            <v>4</v>
          </cell>
          <cell r="AA63">
            <v>787.5</v>
          </cell>
          <cell r="AB63">
            <v>1050</v>
          </cell>
          <cell r="AC63">
            <v>0</v>
          </cell>
          <cell r="AD63">
            <v>1050</v>
          </cell>
          <cell r="AE63">
            <v>0</v>
          </cell>
          <cell r="AF63">
            <v>17.5</v>
          </cell>
          <cell r="AG63">
            <v>0.75</v>
          </cell>
        </row>
        <row r="64">
          <cell r="B64">
            <v>241951318</v>
          </cell>
          <cell r="C64" t="str">
            <v>4385005</v>
          </cell>
          <cell r="D64" t="str">
            <v>CATETER UMBILICAL TRILPLE LUMEN 5.0 Fr. Marca UTAH MEDICAL x Und</v>
          </cell>
          <cell r="E64" t="str">
            <v>UTAH MEDICAL</v>
          </cell>
          <cell r="F64" t="str">
            <v/>
          </cell>
          <cell r="G64" t="str">
            <v>CATETER   UMBILICAL</v>
          </cell>
          <cell r="H64" t="str">
            <v/>
          </cell>
          <cell r="I64" t="str">
            <v>CJX10</v>
          </cell>
          <cell r="J64">
            <v>1</v>
          </cell>
          <cell r="K64">
            <v>1</v>
          </cell>
          <cell r="L64" t="str">
            <v>C</v>
          </cell>
          <cell r="M64">
            <v>413</v>
          </cell>
          <cell r="N64" t="str">
            <v>C</v>
          </cell>
          <cell r="O64">
            <v>403</v>
          </cell>
          <cell r="P64">
            <v>0</v>
          </cell>
          <cell r="Q64">
            <v>4</v>
          </cell>
          <cell r="R64">
            <v>4</v>
          </cell>
          <cell r="S64">
            <v>0</v>
          </cell>
          <cell r="T64">
            <v>5</v>
          </cell>
          <cell r="U64">
            <v>16</v>
          </cell>
          <cell r="V64">
            <v>0</v>
          </cell>
          <cell r="W64">
            <v>0</v>
          </cell>
          <cell r="X64">
            <v>0</v>
          </cell>
          <cell r="Y64">
            <v>4</v>
          </cell>
          <cell r="Z64">
            <v>4</v>
          </cell>
          <cell r="AA64">
            <v>1650.15</v>
          </cell>
          <cell r="AB64">
            <v>2200.1999999999998</v>
          </cell>
          <cell r="AC64">
            <v>0</v>
          </cell>
          <cell r="AD64">
            <v>2200.1999999999998</v>
          </cell>
          <cell r="AE64">
            <v>0</v>
          </cell>
          <cell r="AF64">
            <v>36.67</v>
          </cell>
          <cell r="AG64">
            <v>0.75</v>
          </cell>
        </row>
        <row r="65">
          <cell r="B65">
            <v>252300303</v>
          </cell>
          <cell r="C65" t="str">
            <v>252300303</v>
          </cell>
          <cell r="D65" t="str">
            <v>CENTRO DE CAMA  MARCA DESCART MEDICAL x Und./\Presentacion Bulto x 300 Unds.</v>
          </cell>
          <cell r="E65" t="str">
            <v>DEXX MEDICAL</v>
          </cell>
          <cell r="F65" t="str">
            <v/>
          </cell>
          <cell r="G65" t="str">
            <v>LENCERIA CENTRO DE CAMA</v>
          </cell>
          <cell r="H65" t="str">
            <v/>
          </cell>
          <cell r="I65" t="str">
            <v>BTOX10</v>
          </cell>
          <cell r="J65">
            <v>10</v>
          </cell>
          <cell r="K65">
            <v>1</v>
          </cell>
          <cell r="L65" t="str">
            <v>C</v>
          </cell>
          <cell r="M65">
            <v>240</v>
          </cell>
          <cell r="N65" t="str">
            <v>C</v>
          </cell>
          <cell r="O65">
            <v>70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252</v>
          </cell>
          <cell r="U65">
            <v>600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600</v>
          </cell>
          <cell r="AA65">
            <v>16.263000000000002</v>
          </cell>
          <cell r="AB65">
            <v>20.329999999999998</v>
          </cell>
          <cell r="AC65">
            <v>0</v>
          </cell>
          <cell r="AD65">
            <v>20.329999999999998</v>
          </cell>
          <cell r="AE65">
            <v>0</v>
          </cell>
          <cell r="AF65">
            <v>0.3614</v>
          </cell>
          <cell r="AG65">
            <v>0.79989999999999994</v>
          </cell>
        </row>
        <row r="66">
          <cell r="B66">
            <v>240600310</v>
          </cell>
          <cell r="C66" t="str">
            <v>DYNCSDS12</v>
          </cell>
          <cell r="D66" t="str">
            <v>CIRCUITO DE SUCCION CERRADO Nº12 - Marca Medline x Und</v>
          </cell>
          <cell r="E66" t="str">
            <v>MEDLINE</v>
          </cell>
          <cell r="F66" t="str">
            <v/>
          </cell>
          <cell r="G66" t="str">
            <v>CIRCUITOS SUCCION</v>
          </cell>
          <cell r="H66" t="str">
            <v/>
          </cell>
          <cell r="I66" t="str">
            <v>CJX10</v>
          </cell>
          <cell r="J66">
            <v>1</v>
          </cell>
          <cell r="K66">
            <v>1</v>
          </cell>
          <cell r="L66" t="str">
            <v>C</v>
          </cell>
          <cell r="M66">
            <v>175</v>
          </cell>
          <cell r="N66" t="str">
            <v>C</v>
          </cell>
          <cell r="O66">
            <v>177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305</v>
          </cell>
          <cell r="U66">
            <v>20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10</v>
          </cell>
          <cell r="AA66">
            <v>570.15</v>
          </cell>
          <cell r="AB66">
            <v>712.69</v>
          </cell>
          <cell r="AC66">
            <v>0</v>
          </cell>
          <cell r="AD66">
            <v>712.69</v>
          </cell>
          <cell r="AE66">
            <v>0</v>
          </cell>
          <cell r="AF66">
            <v>12.67</v>
          </cell>
          <cell r="AG66">
            <v>0.8</v>
          </cell>
        </row>
        <row r="67">
          <cell r="B67">
            <v>240600309</v>
          </cell>
          <cell r="C67" t="str">
            <v/>
          </cell>
          <cell r="D67" t="str">
            <v>CIRCUITO DE SUCCION CERRADO Nº14 - Marca Avanos x Und</v>
          </cell>
          <cell r="E67" t="str">
            <v>AVANOS</v>
          </cell>
          <cell r="F67" t="str">
            <v/>
          </cell>
          <cell r="G67" t="str">
            <v>CIRCUITOS SUCCION</v>
          </cell>
          <cell r="H67" t="str">
            <v/>
          </cell>
          <cell r="I67" t="str">
            <v>CJX10</v>
          </cell>
          <cell r="J67">
            <v>1</v>
          </cell>
          <cell r="K67">
            <v>1</v>
          </cell>
          <cell r="L67" t="str">
            <v>C</v>
          </cell>
          <cell r="M67">
            <v>164</v>
          </cell>
          <cell r="N67" t="str">
            <v>C</v>
          </cell>
          <cell r="O67">
            <v>75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5</v>
          </cell>
          <cell r="U67">
            <v>103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30</v>
          </cell>
          <cell r="AA67">
            <v>570.15</v>
          </cell>
          <cell r="AB67">
            <v>712.69</v>
          </cell>
          <cell r="AC67">
            <v>0</v>
          </cell>
          <cell r="AD67">
            <v>712.69</v>
          </cell>
          <cell r="AE67">
            <v>0</v>
          </cell>
          <cell r="AF67">
            <v>12.67</v>
          </cell>
          <cell r="AG67">
            <v>0.8</v>
          </cell>
        </row>
        <row r="68">
          <cell r="B68">
            <v>242200712</v>
          </cell>
          <cell r="C68" t="str">
            <v>3203</v>
          </cell>
          <cell r="D68" t="str">
            <v>COLLARIN BLANDO TALLA  L - Marca Sanavit x Und</v>
          </cell>
          <cell r="E68" t="str">
            <v>SANAVIT</v>
          </cell>
          <cell r="F68" t="str">
            <v/>
          </cell>
          <cell r="G68" t="str">
            <v>TRAUMATOLOGIA COLLARIN</v>
          </cell>
          <cell r="H68" t="str">
            <v/>
          </cell>
          <cell r="I68" t="str">
            <v>UND</v>
          </cell>
          <cell r="J68">
            <v>1</v>
          </cell>
          <cell r="K68">
            <v>1</v>
          </cell>
          <cell r="L68" t="str">
            <v>C</v>
          </cell>
          <cell r="M68">
            <v>117</v>
          </cell>
          <cell r="N68" t="str">
            <v>C</v>
          </cell>
          <cell r="O68">
            <v>199</v>
          </cell>
          <cell r="P68">
            <v>0</v>
          </cell>
          <cell r="Q68">
            <v>5</v>
          </cell>
          <cell r="R68">
            <v>5</v>
          </cell>
          <cell r="S68">
            <v>0</v>
          </cell>
          <cell r="T68">
            <v>5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5</v>
          </cell>
          <cell r="Z68">
            <v>9</v>
          </cell>
          <cell r="AA68">
            <v>540</v>
          </cell>
          <cell r="AB68">
            <v>830.77</v>
          </cell>
          <cell r="AC68">
            <v>0</v>
          </cell>
          <cell r="AD68">
            <v>830.77</v>
          </cell>
          <cell r="AE68">
            <v>0</v>
          </cell>
          <cell r="AF68">
            <v>12</v>
          </cell>
          <cell r="AG68">
            <v>0.65</v>
          </cell>
        </row>
        <row r="69">
          <cell r="B69">
            <v>242200711</v>
          </cell>
          <cell r="C69" t="str">
            <v>3203</v>
          </cell>
          <cell r="D69" t="str">
            <v>COLLARIN BLANDO TALLA  M - Marca Sanavit x Und</v>
          </cell>
          <cell r="E69" t="str">
            <v>SANAVIT</v>
          </cell>
          <cell r="F69" t="str">
            <v/>
          </cell>
          <cell r="G69" t="str">
            <v>TRAUMATOLOGIA COLLARIN</v>
          </cell>
          <cell r="H69" t="str">
            <v/>
          </cell>
          <cell r="I69" t="str">
            <v>UND</v>
          </cell>
          <cell r="J69">
            <v>1</v>
          </cell>
          <cell r="K69">
            <v>1</v>
          </cell>
          <cell r="L69" t="str">
            <v>C</v>
          </cell>
          <cell r="M69">
            <v>46</v>
          </cell>
          <cell r="N69" t="str">
            <v>C</v>
          </cell>
          <cell r="O69">
            <v>197</v>
          </cell>
          <cell r="P69">
            <v>0</v>
          </cell>
          <cell r="Q69">
            <v>5</v>
          </cell>
          <cell r="R69">
            <v>5</v>
          </cell>
          <cell r="S69">
            <v>0</v>
          </cell>
          <cell r="T69">
            <v>5</v>
          </cell>
          <cell r="U69">
            <v>8</v>
          </cell>
          <cell r="V69">
            <v>0</v>
          </cell>
          <cell r="W69">
            <v>0</v>
          </cell>
          <cell r="X69">
            <v>0</v>
          </cell>
          <cell r="Y69">
            <v>5</v>
          </cell>
          <cell r="Z69">
            <v>21</v>
          </cell>
          <cell r="AA69">
            <v>540</v>
          </cell>
          <cell r="AB69">
            <v>830.77</v>
          </cell>
          <cell r="AC69">
            <v>0</v>
          </cell>
          <cell r="AD69">
            <v>830.77</v>
          </cell>
          <cell r="AE69">
            <v>0</v>
          </cell>
          <cell r="AF69">
            <v>12</v>
          </cell>
          <cell r="AG69">
            <v>0.65</v>
          </cell>
        </row>
        <row r="70">
          <cell r="B70">
            <v>242200710</v>
          </cell>
          <cell r="C70" t="str">
            <v>3203</v>
          </cell>
          <cell r="D70" t="str">
            <v>COLLARIN BLANDO TALLA  S - Marca Sanavit x Und</v>
          </cell>
          <cell r="E70" t="str">
            <v>SANAVIT</v>
          </cell>
          <cell r="F70" t="str">
            <v/>
          </cell>
          <cell r="G70" t="str">
            <v>TRAUMATOLOGIA COLLARIN</v>
          </cell>
          <cell r="H70" t="str">
            <v/>
          </cell>
          <cell r="I70" t="str">
            <v>UND</v>
          </cell>
          <cell r="J70">
            <v>1</v>
          </cell>
          <cell r="K70">
            <v>1</v>
          </cell>
          <cell r="L70" t="str">
            <v>C</v>
          </cell>
          <cell r="M70">
            <v>207</v>
          </cell>
          <cell r="N70" t="str">
            <v>C</v>
          </cell>
          <cell r="O70">
            <v>221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5</v>
          </cell>
          <cell r="U70">
            <v>11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20</v>
          </cell>
          <cell r="AA70">
            <v>540</v>
          </cell>
          <cell r="AB70">
            <v>830.77</v>
          </cell>
          <cell r="AC70">
            <v>0</v>
          </cell>
          <cell r="AD70">
            <v>830.77</v>
          </cell>
          <cell r="AE70">
            <v>0</v>
          </cell>
          <cell r="AF70">
            <v>12</v>
          </cell>
          <cell r="AG70">
            <v>0.65</v>
          </cell>
        </row>
        <row r="71">
          <cell r="B71">
            <v>242200713</v>
          </cell>
          <cell r="C71" t="str">
            <v>3203</v>
          </cell>
          <cell r="D71" t="str">
            <v>COLLARIN BLANDO TALLA  XL - Marca Sanavit x Und</v>
          </cell>
          <cell r="E71" t="str">
            <v>SANAVIT</v>
          </cell>
          <cell r="F71" t="str">
            <v/>
          </cell>
          <cell r="G71" t="str">
            <v>TRAUMATOLOGIA COLLARIN</v>
          </cell>
          <cell r="H71" t="str">
            <v/>
          </cell>
          <cell r="I71" t="str">
            <v>UND</v>
          </cell>
          <cell r="J71">
            <v>1</v>
          </cell>
          <cell r="K71">
            <v>1</v>
          </cell>
          <cell r="L71" t="str">
            <v>C</v>
          </cell>
          <cell r="M71">
            <v>206</v>
          </cell>
          <cell r="N71" t="str">
            <v>C</v>
          </cell>
          <cell r="O71">
            <v>241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5</v>
          </cell>
          <cell r="U71">
            <v>4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5</v>
          </cell>
          <cell r="AA71">
            <v>540</v>
          </cell>
          <cell r="AB71">
            <v>830.77</v>
          </cell>
          <cell r="AC71">
            <v>0</v>
          </cell>
          <cell r="AD71">
            <v>830.77</v>
          </cell>
          <cell r="AE71">
            <v>0</v>
          </cell>
          <cell r="AF71">
            <v>12</v>
          </cell>
          <cell r="AG71">
            <v>0.65</v>
          </cell>
        </row>
        <row r="72">
          <cell r="B72">
            <v>242200703</v>
          </cell>
          <cell r="C72" t="str">
            <v>2050</v>
          </cell>
          <cell r="D72" t="str">
            <v>COLLARIN PHILADELPHIA P/TRAQUEOTOMO TALLA L - Marca Sanavit x Und</v>
          </cell>
          <cell r="E72" t="str">
            <v>SANAVIT</v>
          </cell>
          <cell r="F72" t="str">
            <v/>
          </cell>
          <cell r="G72" t="str">
            <v>TRAUMATOLOGIA COLLARIN</v>
          </cell>
          <cell r="H72" t="str">
            <v/>
          </cell>
          <cell r="I72" t="str">
            <v>UND</v>
          </cell>
          <cell r="J72">
            <v>1</v>
          </cell>
          <cell r="K72">
            <v>1</v>
          </cell>
          <cell r="L72" t="str">
            <v>C</v>
          </cell>
          <cell r="M72">
            <v>18</v>
          </cell>
          <cell r="N72" t="str">
            <v/>
          </cell>
          <cell r="O72">
            <v>0</v>
          </cell>
          <cell r="P72">
            <v>0</v>
          </cell>
          <cell r="Q72">
            <v>10</v>
          </cell>
          <cell r="R72">
            <v>10</v>
          </cell>
          <cell r="S72">
            <v>0</v>
          </cell>
          <cell r="T72">
            <v>28</v>
          </cell>
          <cell r="U72">
            <v>2</v>
          </cell>
          <cell r="V72">
            <v>0</v>
          </cell>
          <cell r="W72">
            <v>0</v>
          </cell>
          <cell r="X72">
            <v>0</v>
          </cell>
          <cell r="Y72">
            <v>10</v>
          </cell>
          <cell r="Z72">
            <v>10</v>
          </cell>
          <cell r="AA72">
            <v>1170</v>
          </cell>
          <cell r="AB72">
            <v>1421.06</v>
          </cell>
          <cell r="AC72">
            <v>0</v>
          </cell>
          <cell r="AD72">
            <v>1421.06</v>
          </cell>
          <cell r="AE72">
            <v>0</v>
          </cell>
          <cell r="AF72">
            <v>26</v>
          </cell>
          <cell r="AG72">
            <v>0.82330000000000003</v>
          </cell>
        </row>
        <row r="73">
          <cell r="B73">
            <v>242200702</v>
          </cell>
          <cell r="C73" t="str">
            <v>2050</v>
          </cell>
          <cell r="D73" t="str">
            <v>COLLARIN PHILADELPHIA P/TRAQUEOTOMO TALLA M - Marca Sanavit x Und</v>
          </cell>
          <cell r="E73" t="str">
            <v>SANAVIT</v>
          </cell>
          <cell r="F73" t="str">
            <v/>
          </cell>
          <cell r="G73" t="str">
            <v>TRAUMATOLOGIA COLLARIN</v>
          </cell>
          <cell r="H73" t="str">
            <v/>
          </cell>
          <cell r="I73" t="str">
            <v>UND</v>
          </cell>
          <cell r="J73">
            <v>1</v>
          </cell>
          <cell r="K73">
            <v>1</v>
          </cell>
          <cell r="L73" t="str">
            <v>C</v>
          </cell>
          <cell r="M73">
            <v>82</v>
          </cell>
          <cell r="N73" t="str">
            <v>C</v>
          </cell>
          <cell r="O73">
            <v>203</v>
          </cell>
          <cell r="P73">
            <v>0</v>
          </cell>
          <cell r="Q73">
            <v>5</v>
          </cell>
          <cell r="R73">
            <v>5</v>
          </cell>
          <cell r="S73">
            <v>0</v>
          </cell>
          <cell r="T73">
            <v>16</v>
          </cell>
          <cell r="U73">
            <v>8</v>
          </cell>
          <cell r="V73">
            <v>0</v>
          </cell>
          <cell r="W73">
            <v>0</v>
          </cell>
          <cell r="X73">
            <v>0</v>
          </cell>
          <cell r="Y73">
            <v>10</v>
          </cell>
          <cell r="Z73">
            <v>50</v>
          </cell>
          <cell r="AA73">
            <v>1170</v>
          </cell>
          <cell r="AB73">
            <v>1421.06</v>
          </cell>
          <cell r="AC73">
            <v>0</v>
          </cell>
          <cell r="AD73">
            <v>1421.06</v>
          </cell>
          <cell r="AE73">
            <v>0</v>
          </cell>
          <cell r="AF73">
            <v>26</v>
          </cell>
          <cell r="AG73">
            <v>0.82330000000000003</v>
          </cell>
        </row>
        <row r="74">
          <cell r="B74">
            <v>242200701</v>
          </cell>
          <cell r="C74" t="str">
            <v>2050</v>
          </cell>
          <cell r="D74" t="str">
            <v>COLLARIN PHILADELPHIA P/TRAQUEOTOMO TALLA S - Marca Sanavit x Und</v>
          </cell>
          <cell r="E74" t="str">
            <v>SANAVIT</v>
          </cell>
          <cell r="F74" t="str">
            <v/>
          </cell>
          <cell r="G74" t="str">
            <v>TRAUMATOLOGIA COLLARIN</v>
          </cell>
          <cell r="H74" t="str">
            <v/>
          </cell>
          <cell r="I74" t="str">
            <v>UND</v>
          </cell>
          <cell r="J74">
            <v>1</v>
          </cell>
          <cell r="K74">
            <v>1</v>
          </cell>
          <cell r="L74" t="str">
            <v>C</v>
          </cell>
          <cell r="M74">
            <v>86</v>
          </cell>
          <cell r="N74" t="str">
            <v>C</v>
          </cell>
          <cell r="O74">
            <v>188</v>
          </cell>
          <cell r="P74">
            <v>0</v>
          </cell>
          <cell r="Q74">
            <v>7</v>
          </cell>
          <cell r="R74">
            <v>7</v>
          </cell>
          <cell r="S74">
            <v>0</v>
          </cell>
          <cell r="T74">
            <v>5</v>
          </cell>
          <cell r="U74">
            <v>2</v>
          </cell>
          <cell r="V74">
            <v>0</v>
          </cell>
          <cell r="W74">
            <v>0</v>
          </cell>
          <cell r="X74">
            <v>0</v>
          </cell>
          <cell r="Y74">
            <v>7</v>
          </cell>
          <cell r="Z74">
            <v>7</v>
          </cell>
          <cell r="AA74">
            <v>1170</v>
          </cell>
          <cell r="AB74">
            <v>1421.06</v>
          </cell>
          <cell r="AC74">
            <v>0</v>
          </cell>
          <cell r="AD74">
            <v>1421.06</v>
          </cell>
          <cell r="AE74">
            <v>0</v>
          </cell>
          <cell r="AF74">
            <v>26</v>
          </cell>
          <cell r="AG74">
            <v>0.82330000000000003</v>
          </cell>
        </row>
        <row r="75">
          <cell r="B75">
            <v>242200704</v>
          </cell>
          <cell r="C75" t="str">
            <v>2050</v>
          </cell>
          <cell r="D75" t="str">
            <v>COLLARIN PHILADELPHIA P/TRAQUEOTOMO TALLA XL - Marca Sanavit x Und</v>
          </cell>
          <cell r="E75" t="str">
            <v>SANAVIT</v>
          </cell>
          <cell r="F75" t="str">
            <v/>
          </cell>
          <cell r="G75" t="str">
            <v>TRAUMATOLOGIA COLLARIN</v>
          </cell>
          <cell r="H75" t="str">
            <v/>
          </cell>
          <cell r="I75" t="str">
            <v>UND</v>
          </cell>
          <cell r="J75">
            <v>1</v>
          </cell>
          <cell r="K75">
            <v>1</v>
          </cell>
          <cell r="L75" t="str">
            <v>C</v>
          </cell>
          <cell r="M75">
            <v>309</v>
          </cell>
          <cell r="N75" t="str">
            <v>C</v>
          </cell>
          <cell r="O75">
            <v>277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5</v>
          </cell>
          <cell r="U75">
            <v>15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1170</v>
          </cell>
          <cell r="AB75">
            <v>1421.06</v>
          </cell>
          <cell r="AC75">
            <v>0</v>
          </cell>
          <cell r="AD75">
            <v>1421.06</v>
          </cell>
          <cell r="AE75">
            <v>0</v>
          </cell>
          <cell r="AF75">
            <v>26</v>
          </cell>
          <cell r="AG75">
            <v>0.82330000000000003</v>
          </cell>
        </row>
        <row r="76">
          <cell r="B76">
            <v>242300403</v>
          </cell>
          <cell r="C76" t="str">
            <v>242300403</v>
          </cell>
          <cell r="D76" t="str">
            <v>COMPRESAS DE LAPAROTOMIA ESTERILES 18" X 18" ( Paq X 5 Unids) Marca Mc Medical./\Presentacion Bulto x 40 Paqs.</v>
          </cell>
          <cell r="E76" t="str">
            <v>PROCARE</v>
          </cell>
          <cell r="F76" t="str">
            <v/>
          </cell>
          <cell r="G76" t="str">
            <v/>
          </cell>
          <cell r="H76" t="str">
            <v/>
          </cell>
          <cell r="I76" t="str">
            <v>UND</v>
          </cell>
          <cell r="J76">
            <v>1</v>
          </cell>
          <cell r="K76">
            <v>1</v>
          </cell>
          <cell r="L76" t="str">
            <v>C</v>
          </cell>
          <cell r="M76">
            <v>63</v>
          </cell>
          <cell r="N76" t="str">
            <v>C</v>
          </cell>
          <cell r="O76">
            <v>21</v>
          </cell>
          <cell r="P76">
            <v>400</v>
          </cell>
          <cell r="Q76">
            <v>2</v>
          </cell>
          <cell r="R76">
            <v>2</v>
          </cell>
          <cell r="S76">
            <v>0</v>
          </cell>
          <cell r="T76">
            <v>236</v>
          </cell>
          <cell r="U76">
            <v>509</v>
          </cell>
          <cell r="V76">
            <v>0</v>
          </cell>
          <cell r="W76">
            <v>0</v>
          </cell>
          <cell r="X76">
            <v>0</v>
          </cell>
          <cell r="Y76">
            <v>2</v>
          </cell>
          <cell r="Z76">
            <v>800</v>
          </cell>
          <cell r="AA76">
            <v>87.75</v>
          </cell>
          <cell r="AB76">
            <v>108.12</v>
          </cell>
          <cell r="AC76">
            <v>0</v>
          </cell>
          <cell r="AD76">
            <v>108.12</v>
          </cell>
          <cell r="AE76">
            <v>0</v>
          </cell>
          <cell r="AF76">
            <v>1.95</v>
          </cell>
          <cell r="AG76">
            <v>0.81159999999999999</v>
          </cell>
        </row>
        <row r="77">
          <cell r="B77">
            <v>241500203</v>
          </cell>
          <cell r="C77" t="str">
            <v>B9457</v>
          </cell>
          <cell r="D77" t="str">
            <v>CONECTOR 21" CLAVE C/ESPIGA  Microclave (Ref: B9457) MARCA ICUMEDICAL x Und.</v>
          </cell>
          <cell r="E77" t="str">
            <v>ICU MEDICAL</v>
          </cell>
          <cell r="F77" t="str">
            <v/>
          </cell>
          <cell r="G77" t="str">
            <v/>
          </cell>
          <cell r="H77" t="str">
            <v/>
          </cell>
          <cell r="I77" t="str">
            <v>UND</v>
          </cell>
          <cell r="J77">
            <v>1</v>
          </cell>
          <cell r="K77">
            <v>1</v>
          </cell>
          <cell r="L77" t="str">
            <v>C</v>
          </cell>
          <cell r="M77">
            <v>178</v>
          </cell>
          <cell r="N77" t="str">
            <v>C</v>
          </cell>
          <cell r="O77">
            <v>108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98</v>
          </cell>
          <cell r="U77">
            <v>80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400</v>
          </cell>
          <cell r="AA77">
            <v>162</v>
          </cell>
          <cell r="AB77">
            <v>231.43</v>
          </cell>
          <cell r="AC77">
            <v>0</v>
          </cell>
          <cell r="AD77">
            <v>231.43</v>
          </cell>
          <cell r="AE77">
            <v>0</v>
          </cell>
          <cell r="AF77">
            <v>3.6</v>
          </cell>
          <cell r="AG77">
            <v>0.7</v>
          </cell>
        </row>
        <row r="78">
          <cell r="B78">
            <v>241500204</v>
          </cell>
          <cell r="C78" t="str">
            <v>B1393</v>
          </cell>
          <cell r="D78" t="str">
            <v>CONECTOR 9" CLAVE C/ESPIGA (Ref: B1393) MARCA ICUMEDICAL x Und.</v>
          </cell>
          <cell r="E78" t="str">
            <v>ICU MEDICAL</v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>
            <v>1</v>
          </cell>
          <cell r="K78">
            <v>1</v>
          </cell>
          <cell r="L78" t="str">
            <v>C</v>
          </cell>
          <cell r="M78">
            <v>140</v>
          </cell>
          <cell r="N78" t="str">
            <v>A</v>
          </cell>
          <cell r="O78">
            <v>24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162</v>
          </cell>
          <cell r="U78">
            <v>878</v>
          </cell>
          <cell r="V78">
            <v>0</v>
          </cell>
          <cell r="W78">
            <v>0</v>
          </cell>
          <cell r="X78">
            <v>0</v>
          </cell>
          <cell r="Y78">
            <v>20</v>
          </cell>
          <cell r="Z78">
            <v>60</v>
          </cell>
          <cell r="AA78">
            <v>90.5625</v>
          </cell>
          <cell r="AB78">
            <v>129.38</v>
          </cell>
          <cell r="AC78">
            <v>0</v>
          </cell>
          <cell r="AD78">
            <v>129.38</v>
          </cell>
          <cell r="AE78">
            <v>0</v>
          </cell>
          <cell r="AF78">
            <v>2.0125000000000002</v>
          </cell>
          <cell r="AG78">
            <v>0.7</v>
          </cell>
        </row>
        <row r="79">
          <cell r="B79">
            <v>243350100</v>
          </cell>
          <cell r="C79" t="str">
            <v/>
          </cell>
          <cell r="D79" t="str">
            <v>CUBREBOTAS ANTIRESBALANTES MARCA ROPISTAL X PAR</v>
          </cell>
          <cell r="E79" t="str">
            <v>ROSPITAL</v>
          </cell>
          <cell r="F79" t="str">
            <v/>
          </cell>
          <cell r="G79" t="str">
            <v/>
          </cell>
          <cell r="H79" t="str">
            <v/>
          </cell>
          <cell r="I79" t="str">
            <v>BTOX1000</v>
          </cell>
          <cell r="J79">
            <v>1</v>
          </cell>
          <cell r="K79">
            <v>1</v>
          </cell>
          <cell r="L79" t="str">
            <v>C</v>
          </cell>
          <cell r="M79">
            <v>327</v>
          </cell>
          <cell r="N79" t="str">
            <v>C</v>
          </cell>
          <cell r="O79">
            <v>62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5</v>
          </cell>
          <cell r="U79">
            <v>18748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50000</v>
          </cell>
          <cell r="AA79">
            <v>6.75</v>
          </cell>
          <cell r="AB79">
            <v>8.44</v>
          </cell>
          <cell r="AC79">
            <v>0</v>
          </cell>
          <cell r="AD79">
            <v>8.44</v>
          </cell>
          <cell r="AE79">
            <v>0</v>
          </cell>
          <cell r="AF79">
            <v>0.15</v>
          </cell>
          <cell r="AG79">
            <v>0.8</v>
          </cell>
        </row>
        <row r="80">
          <cell r="B80">
            <v>240600927</v>
          </cell>
          <cell r="C80" t="str">
            <v/>
          </cell>
          <cell r="D80" t="str">
            <v>DERMABOND ADVANCED ETHICON (Tipo Lapiz) Ref; DNX12 x Und</v>
          </cell>
          <cell r="E80" t="str">
            <v>J&amp;J</v>
          </cell>
          <cell r="F80" t="str">
            <v/>
          </cell>
          <cell r="G80" t="str">
            <v/>
          </cell>
          <cell r="H80" t="str">
            <v/>
          </cell>
          <cell r="I80" t="str">
            <v>CJX12</v>
          </cell>
          <cell r="J80">
            <v>1</v>
          </cell>
          <cell r="K80">
            <v>1</v>
          </cell>
          <cell r="L80" t="str">
            <v>C</v>
          </cell>
          <cell r="M80">
            <v>96</v>
          </cell>
          <cell r="N80" t="str">
            <v>C</v>
          </cell>
          <cell r="O80">
            <v>115</v>
          </cell>
          <cell r="P80">
            <v>0</v>
          </cell>
          <cell r="Q80">
            <v>1</v>
          </cell>
          <cell r="R80">
            <v>1</v>
          </cell>
          <cell r="S80">
            <v>0</v>
          </cell>
          <cell r="T80">
            <v>5</v>
          </cell>
          <cell r="U80">
            <v>9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14</v>
          </cell>
          <cell r="AA80">
            <v>2714.4</v>
          </cell>
          <cell r="AB80">
            <v>3393</v>
          </cell>
          <cell r="AC80">
            <v>0</v>
          </cell>
          <cell r="AD80">
            <v>3393</v>
          </cell>
          <cell r="AE80">
            <v>0</v>
          </cell>
          <cell r="AF80">
            <v>60.32</v>
          </cell>
          <cell r="AG80">
            <v>0.8</v>
          </cell>
        </row>
        <row r="81">
          <cell r="B81">
            <v>240500302</v>
          </cell>
          <cell r="C81" t="str">
            <v>14060101</v>
          </cell>
          <cell r="D81" t="str">
            <v>DRENAJE DE HERIDAS 10FR  1/8 Marca Forsure x Und</v>
          </cell>
          <cell r="E81" t="str">
            <v>FORSURE</v>
          </cell>
          <cell r="F81" t="str">
            <v/>
          </cell>
          <cell r="G81" t="str">
            <v>DRENAJES HERIDAS</v>
          </cell>
          <cell r="H81" t="str">
            <v/>
          </cell>
          <cell r="I81" t="str">
            <v>CJX12</v>
          </cell>
          <cell r="J81">
            <v>1</v>
          </cell>
          <cell r="K81">
            <v>1</v>
          </cell>
          <cell r="L81" t="str">
            <v>C</v>
          </cell>
          <cell r="M81">
            <v>106</v>
          </cell>
          <cell r="N81" t="str">
            <v>C</v>
          </cell>
          <cell r="O81">
            <v>58</v>
          </cell>
          <cell r="P81">
            <v>0</v>
          </cell>
          <cell r="Q81">
            <v>2</v>
          </cell>
          <cell r="R81">
            <v>2</v>
          </cell>
          <cell r="S81">
            <v>0</v>
          </cell>
          <cell r="T81">
            <v>5</v>
          </cell>
          <cell r="U81">
            <v>48</v>
          </cell>
          <cell r="V81">
            <v>0</v>
          </cell>
          <cell r="W81">
            <v>0</v>
          </cell>
          <cell r="X81">
            <v>0</v>
          </cell>
          <cell r="Y81">
            <v>2</v>
          </cell>
          <cell r="Z81">
            <v>232</v>
          </cell>
          <cell r="AA81">
            <v>422.1</v>
          </cell>
          <cell r="AB81">
            <v>703.5</v>
          </cell>
          <cell r="AC81">
            <v>0</v>
          </cell>
          <cell r="AD81">
            <v>703.5</v>
          </cell>
          <cell r="AE81">
            <v>0</v>
          </cell>
          <cell r="AF81">
            <v>9.3800000000000008</v>
          </cell>
          <cell r="AG81">
            <v>0.6</v>
          </cell>
        </row>
        <row r="82">
          <cell r="B82">
            <v>240500301</v>
          </cell>
          <cell r="C82" t="str">
            <v>14060191</v>
          </cell>
          <cell r="D82" t="str">
            <v>DRENAJE DE HERIDAS 19FR  1/4 Marca Forsure x Und</v>
          </cell>
          <cell r="E82" t="str">
            <v>FORSURE</v>
          </cell>
          <cell r="F82" t="str">
            <v/>
          </cell>
          <cell r="G82" t="str">
            <v>DRENAJES HERIDAS</v>
          </cell>
          <cell r="H82" t="str">
            <v/>
          </cell>
          <cell r="I82" t="str">
            <v>CJX12</v>
          </cell>
          <cell r="J82">
            <v>1</v>
          </cell>
          <cell r="K82">
            <v>1</v>
          </cell>
          <cell r="L82" t="str">
            <v>C</v>
          </cell>
          <cell r="M82">
            <v>7</v>
          </cell>
          <cell r="N82" t="str">
            <v>C</v>
          </cell>
          <cell r="O82">
            <v>9</v>
          </cell>
          <cell r="P82">
            <v>0</v>
          </cell>
          <cell r="Q82">
            <v>12</v>
          </cell>
          <cell r="R82">
            <v>12</v>
          </cell>
          <cell r="S82">
            <v>0</v>
          </cell>
          <cell r="T82">
            <v>70</v>
          </cell>
          <cell r="U82">
            <v>280</v>
          </cell>
          <cell r="V82">
            <v>0</v>
          </cell>
          <cell r="W82">
            <v>0</v>
          </cell>
          <cell r="X82">
            <v>0</v>
          </cell>
          <cell r="Y82">
            <v>12</v>
          </cell>
          <cell r="Z82">
            <v>60</v>
          </cell>
          <cell r="AA82">
            <v>422.1</v>
          </cell>
          <cell r="AB82">
            <v>703.5</v>
          </cell>
          <cell r="AC82">
            <v>0</v>
          </cell>
          <cell r="AD82">
            <v>703.5</v>
          </cell>
          <cell r="AE82">
            <v>0</v>
          </cell>
          <cell r="AF82">
            <v>9.3800000000000008</v>
          </cell>
          <cell r="AG82">
            <v>0.6</v>
          </cell>
        </row>
        <row r="83">
          <cell r="B83">
            <v>250500327</v>
          </cell>
          <cell r="C83" t="str">
            <v/>
          </cell>
          <cell r="D83" t="str">
            <v>DRENAJE TORAXICO  PLEUR-EVAC AD &amp; PED / Ref A-8000I-06 x Und</v>
          </cell>
          <cell r="E83" t="str">
            <v>TELEFLEX</v>
          </cell>
          <cell r="F83" t="str">
            <v/>
          </cell>
          <cell r="G83" t="str">
            <v>DRENAJES TORAXICO</v>
          </cell>
          <cell r="H83" t="str">
            <v/>
          </cell>
          <cell r="I83" t="str">
            <v>CJX6</v>
          </cell>
          <cell r="J83">
            <v>1</v>
          </cell>
          <cell r="K83">
            <v>1</v>
          </cell>
          <cell r="L83" t="str">
            <v>C</v>
          </cell>
          <cell r="M83">
            <v>107</v>
          </cell>
          <cell r="N83" t="str">
            <v>C</v>
          </cell>
          <cell r="O83">
            <v>20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163</v>
          </cell>
          <cell r="U83">
            <v>94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39</v>
          </cell>
          <cell r="AA83">
            <v>2193.75</v>
          </cell>
          <cell r="AB83">
            <v>3133.93</v>
          </cell>
          <cell r="AC83">
            <v>0</v>
          </cell>
          <cell r="AD83">
            <v>3133.93</v>
          </cell>
          <cell r="AE83">
            <v>0</v>
          </cell>
          <cell r="AF83">
            <v>48.75</v>
          </cell>
          <cell r="AG83">
            <v>0.7</v>
          </cell>
        </row>
        <row r="84">
          <cell r="B84">
            <v>252250408</v>
          </cell>
          <cell r="C84" t="str">
            <v/>
          </cell>
          <cell r="D84" t="str">
            <v>DURAGEN PLUS DURAL 2,5 X 7,5 DP1013 X UNIDAD</v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>UND</v>
          </cell>
          <cell r="J84">
            <v>1</v>
          </cell>
          <cell r="K84">
            <v>1</v>
          </cell>
          <cell r="L84" t="str">
            <v>C</v>
          </cell>
          <cell r="M84">
            <v>75</v>
          </cell>
          <cell r="N84" t="str">
            <v>C</v>
          </cell>
          <cell r="O84">
            <v>206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145</v>
          </cell>
          <cell r="U84">
            <v>1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1</v>
          </cell>
          <cell r="AA84">
            <v>31185</v>
          </cell>
          <cell r="AB84">
            <v>44550</v>
          </cell>
          <cell r="AC84">
            <v>0</v>
          </cell>
          <cell r="AD84">
            <v>44550</v>
          </cell>
          <cell r="AE84">
            <v>0</v>
          </cell>
          <cell r="AF84">
            <v>693</v>
          </cell>
          <cell r="AG84">
            <v>0.7</v>
          </cell>
        </row>
        <row r="85">
          <cell r="B85">
            <v>250850203</v>
          </cell>
          <cell r="C85" t="str">
            <v>18705050</v>
          </cell>
          <cell r="D85" t="str">
            <v>ELECTRODO ADULTO ECG (Ref: 18705050) Marca Forsure x Und/\Presentacion Paq. x 50 Unds.</v>
          </cell>
          <cell r="E85" t="str">
            <v>FORSURE</v>
          </cell>
          <cell r="F85" t="str">
            <v/>
          </cell>
          <cell r="G85" t="str">
            <v>ELECTRODOS ADULTO</v>
          </cell>
          <cell r="H85" t="str">
            <v/>
          </cell>
          <cell r="I85" t="str">
            <v>UND</v>
          </cell>
          <cell r="J85">
            <v>50</v>
          </cell>
          <cell r="K85">
            <v>1</v>
          </cell>
          <cell r="L85" t="str">
            <v>C</v>
          </cell>
          <cell r="M85">
            <v>319</v>
          </cell>
          <cell r="N85" t="str">
            <v>C</v>
          </cell>
          <cell r="O85">
            <v>145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275</v>
          </cell>
          <cell r="U85">
            <v>2000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5.5125000000000002</v>
          </cell>
          <cell r="AB85">
            <v>7.88</v>
          </cell>
          <cell r="AC85">
            <v>0</v>
          </cell>
          <cell r="AD85">
            <v>7.88</v>
          </cell>
          <cell r="AE85">
            <v>0</v>
          </cell>
          <cell r="AF85">
            <v>0.1225</v>
          </cell>
          <cell r="AG85">
            <v>0.7</v>
          </cell>
        </row>
        <row r="86">
          <cell r="B86">
            <v>252600351</v>
          </cell>
          <cell r="C86" t="str">
            <v>18350001</v>
          </cell>
          <cell r="D86" t="str">
            <v>ENGRAPADORA DE PIEL QUIRURGICA 35W Marca Forsure x Und</v>
          </cell>
          <cell r="E86" t="str">
            <v>FORSURE</v>
          </cell>
          <cell r="F86" t="str">
            <v/>
          </cell>
          <cell r="G86" t="str">
            <v>ENGRAPADORAS PIEL</v>
          </cell>
          <cell r="H86" t="str">
            <v/>
          </cell>
          <cell r="I86" t="str">
            <v>CJX6</v>
          </cell>
          <cell r="J86">
            <v>1</v>
          </cell>
          <cell r="K86">
            <v>1</v>
          </cell>
          <cell r="L86" t="str">
            <v>B</v>
          </cell>
          <cell r="M86">
            <v>11</v>
          </cell>
          <cell r="N86" t="str">
            <v>A</v>
          </cell>
          <cell r="O86">
            <v>5</v>
          </cell>
          <cell r="P86">
            <v>0</v>
          </cell>
          <cell r="Q86">
            <v>43</v>
          </cell>
          <cell r="R86">
            <v>43</v>
          </cell>
          <cell r="S86">
            <v>0</v>
          </cell>
          <cell r="T86">
            <v>93</v>
          </cell>
          <cell r="U86">
            <v>806</v>
          </cell>
          <cell r="V86">
            <v>0</v>
          </cell>
          <cell r="W86">
            <v>0</v>
          </cell>
          <cell r="X86">
            <v>0</v>
          </cell>
          <cell r="Y86">
            <v>55</v>
          </cell>
          <cell r="Z86">
            <v>1825</v>
          </cell>
          <cell r="AA86">
            <v>243.5625</v>
          </cell>
          <cell r="AB86">
            <v>347.94</v>
          </cell>
          <cell r="AC86">
            <v>0</v>
          </cell>
          <cell r="AD86">
            <v>347.94</v>
          </cell>
          <cell r="AE86">
            <v>0</v>
          </cell>
          <cell r="AF86">
            <v>5.4124999999999996</v>
          </cell>
          <cell r="AG86">
            <v>0.7</v>
          </cell>
        </row>
        <row r="87">
          <cell r="B87">
            <v>252350103</v>
          </cell>
          <cell r="C87" t="str">
            <v>52434U</v>
          </cell>
          <cell r="D87" t="str">
            <v>ESPECULO OTICO ADULTO WELCH ALLYN 4.25mm Ref:52434 x Und</v>
          </cell>
          <cell r="E87" t="str">
            <v>WELCH ALLYN</v>
          </cell>
          <cell r="F87" t="str">
            <v/>
          </cell>
          <cell r="G87" t="str">
            <v>ESPECULO OTICO</v>
          </cell>
          <cell r="H87" t="str">
            <v/>
          </cell>
          <cell r="I87" t="str">
            <v>CJX34</v>
          </cell>
          <cell r="J87">
            <v>34</v>
          </cell>
          <cell r="K87">
            <v>1</v>
          </cell>
          <cell r="L87" t="str">
            <v>C</v>
          </cell>
          <cell r="M87">
            <v>283</v>
          </cell>
          <cell r="N87" t="str">
            <v>C</v>
          </cell>
          <cell r="O87">
            <v>261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5</v>
          </cell>
          <cell r="U87">
            <v>1462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238</v>
          </cell>
          <cell r="AA87">
            <v>21.316500000000001</v>
          </cell>
          <cell r="AB87">
            <v>30.45</v>
          </cell>
          <cell r="AC87">
            <v>0</v>
          </cell>
          <cell r="AD87">
            <v>30.45</v>
          </cell>
          <cell r="AE87">
            <v>0</v>
          </cell>
          <cell r="AF87">
            <v>0.47370000000000001</v>
          </cell>
          <cell r="AG87">
            <v>0.7</v>
          </cell>
        </row>
        <row r="88">
          <cell r="B88">
            <v>252350104</v>
          </cell>
          <cell r="C88" t="str">
            <v>52432-U</v>
          </cell>
          <cell r="D88" t="str">
            <v>ESPECULO OTICO PEDIATRICO WELCH ALLYN 2.75mm Ref:52432-u x Und</v>
          </cell>
          <cell r="E88" t="str">
            <v>WELCH ALLYN</v>
          </cell>
          <cell r="F88" t="str">
            <v/>
          </cell>
          <cell r="G88" t="str">
            <v/>
          </cell>
          <cell r="H88" t="str">
            <v/>
          </cell>
          <cell r="I88" t="str">
            <v>CJX34</v>
          </cell>
          <cell r="J88">
            <v>34</v>
          </cell>
          <cell r="K88">
            <v>1</v>
          </cell>
          <cell r="L88" t="str">
            <v>C</v>
          </cell>
          <cell r="M88">
            <v>383</v>
          </cell>
          <cell r="N88" t="str">
            <v>C</v>
          </cell>
          <cell r="O88">
            <v>214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223</v>
          </cell>
          <cell r="U88">
            <v>1862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136</v>
          </cell>
          <cell r="AA88">
            <v>9</v>
          </cell>
          <cell r="AB88">
            <v>12.86</v>
          </cell>
          <cell r="AC88">
            <v>0</v>
          </cell>
          <cell r="AD88">
            <v>12.86</v>
          </cell>
          <cell r="AE88">
            <v>0</v>
          </cell>
          <cell r="AF88">
            <v>0.2</v>
          </cell>
          <cell r="AG88">
            <v>0.7</v>
          </cell>
        </row>
        <row r="89">
          <cell r="B89">
            <v>242001209</v>
          </cell>
          <cell r="C89" t="str">
            <v>242001209</v>
          </cell>
          <cell r="D89" t="str">
            <v>EXTENSION K-50 MARCA DIPHOCAREx Und./\Presentacion Caja x 50 Unds.</v>
          </cell>
          <cell r="E89" t="str">
            <v>DIPHOSYC</v>
          </cell>
          <cell r="F89" t="str">
            <v/>
          </cell>
          <cell r="G89" t="str">
            <v>KIT DE VIA EXT NEO PEDIATRICA 4CM</v>
          </cell>
          <cell r="H89" t="str">
            <v/>
          </cell>
          <cell r="I89" t="str">
            <v>CJX50</v>
          </cell>
          <cell r="J89">
            <v>1</v>
          </cell>
          <cell r="K89">
            <v>1</v>
          </cell>
          <cell r="L89" t="str">
            <v>C</v>
          </cell>
          <cell r="M89">
            <v>279</v>
          </cell>
          <cell r="N89" t="str">
            <v>C</v>
          </cell>
          <cell r="O89">
            <v>104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165</v>
          </cell>
          <cell r="U89">
            <v>800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2300</v>
          </cell>
          <cell r="AA89">
            <v>6.8804999999999996</v>
          </cell>
          <cell r="AB89">
            <v>9.83</v>
          </cell>
          <cell r="AC89">
            <v>0</v>
          </cell>
          <cell r="AD89">
            <v>9.83</v>
          </cell>
          <cell r="AE89">
            <v>0</v>
          </cell>
          <cell r="AF89">
            <v>0.15290000000000001</v>
          </cell>
          <cell r="AG89">
            <v>0.70010000000000006</v>
          </cell>
        </row>
        <row r="90">
          <cell r="B90">
            <v>241500101</v>
          </cell>
          <cell r="C90" t="str">
            <v/>
          </cell>
          <cell r="D90" t="str">
            <v>EXTENSION K-50 MARCA GROSSMEDx Und./\Presentacion Caja x 50 Unds.</v>
          </cell>
          <cell r="E90" t="str">
            <v>GROSSMED</v>
          </cell>
          <cell r="F90" t="str">
            <v/>
          </cell>
          <cell r="G90" t="str">
            <v>KIT DE VIA EXTENSION K-50</v>
          </cell>
          <cell r="H90" t="str">
            <v/>
          </cell>
          <cell r="I90" t="str">
            <v>UND</v>
          </cell>
          <cell r="J90">
            <v>1</v>
          </cell>
          <cell r="K90">
            <v>1</v>
          </cell>
          <cell r="L90" t="str">
            <v>C</v>
          </cell>
          <cell r="M90">
            <v>270</v>
          </cell>
          <cell r="N90" t="str">
            <v>C</v>
          </cell>
          <cell r="O90">
            <v>234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25</v>
          </cell>
          <cell r="U90">
            <v>19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3500</v>
          </cell>
          <cell r="AA90">
            <v>9</v>
          </cell>
          <cell r="AB90">
            <v>12.86</v>
          </cell>
          <cell r="AC90">
            <v>0</v>
          </cell>
          <cell r="AD90">
            <v>12.86</v>
          </cell>
          <cell r="AE90">
            <v>0</v>
          </cell>
          <cell r="AF90">
            <v>0.2</v>
          </cell>
          <cell r="AG90">
            <v>0.7</v>
          </cell>
        </row>
        <row r="91">
          <cell r="B91">
            <v>242201704</v>
          </cell>
          <cell r="C91" t="str">
            <v>1125</v>
          </cell>
          <cell r="D91" t="str">
            <v>FAJA ABDOMINAL TALLA "UNICA" x Und</v>
          </cell>
          <cell r="E91" t="str">
            <v>SANAVIT</v>
          </cell>
          <cell r="F91" t="str">
            <v/>
          </cell>
          <cell r="G91" t="str">
            <v>TRAUMATOLOGIA FAJAS</v>
          </cell>
          <cell r="H91" t="str">
            <v/>
          </cell>
          <cell r="I91" t="str">
            <v>UND</v>
          </cell>
          <cell r="J91">
            <v>1</v>
          </cell>
          <cell r="K91">
            <v>1</v>
          </cell>
          <cell r="L91" t="str">
            <v>C</v>
          </cell>
          <cell r="M91">
            <v>39</v>
          </cell>
          <cell r="N91" t="str">
            <v>C</v>
          </cell>
          <cell r="O91">
            <v>232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10</v>
          </cell>
          <cell r="U91">
            <v>5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29</v>
          </cell>
          <cell r="AA91">
            <v>630</v>
          </cell>
          <cell r="AB91">
            <v>1050</v>
          </cell>
          <cell r="AC91">
            <v>0</v>
          </cell>
          <cell r="AD91">
            <v>1050</v>
          </cell>
          <cell r="AE91">
            <v>0</v>
          </cell>
          <cell r="AF91">
            <v>14</v>
          </cell>
          <cell r="AG91">
            <v>0.6</v>
          </cell>
        </row>
        <row r="92">
          <cell r="B92">
            <v>242200912</v>
          </cell>
          <cell r="C92" t="str">
            <v>0347</v>
          </cell>
          <cell r="D92" t="str">
            <v>FAJA LUMBOSACRA TALLA "L" x Und</v>
          </cell>
          <cell r="E92" t="str">
            <v>SANAVIT</v>
          </cell>
          <cell r="F92" t="str">
            <v/>
          </cell>
          <cell r="G92" t="str">
            <v>TRAUMATOLOGIA FAJAS</v>
          </cell>
          <cell r="H92" t="str">
            <v/>
          </cell>
          <cell r="I92" t="str">
            <v>UND</v>
          </cell>
          <cell r="J92">
            <v>1</v>
          </cell>
          <cell r="K92">
            <v>1</v>
          </cell>
          <cell r="L92" t="str">
            <v>C</v>
          </cell>
          <cell r="M92">
            <v>143</v>
          </cell>
          <cell r="N92" t="str">
            <v>C</v>
          </cell>
          <cell r="O92">
            <v>231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345</v>
          </cell>
          <cell r="U92">
            <v>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21</v>
          </cell>
          <cell r="AA92">
            <v>1260</v>
          </cell>
          <cell r="AB92">
            <v>2100</v>
          </cell>
          <cell r="AC92">
            <v>0</v>
          </cell>
          <cell r="AD92">
            <v>2100</v>
          </cell>
          <cell r="AE92">
            <v>0</v>
          </cell>
          <cell r="AF92">
            <v>28</v>
          </cell>
          <cell r="AG92">
            <v>0.6</v>
          </cell>
        </row>
        <row r="93">
          <cell r="B93">
            <v>242200910</v>
          </cell>
          <cell r="C93" t="str">
            <v>0347</v>
          </cell>
          <cell r="D93" t="str">
            <v>FAJA LUMBOSACRA TALLA "M" x Und</v>
          </cell>
          <cell r="E93" t="str">
            <v>SANAVIT</v>
          </cell>
          <cell r="F93" t="str">
            <v/>
          </cell>
          <cell r="G93" t="str">
            <v>TRAUMATOLOGIA FAJAS</v>
          </cell>
          <cell r="H93" t="str">
            <v/>
          </cell>
          <cell r="I93" t="str">
            <v>UND</v>
          </cell>
          <cell r="J93">
            <v>1</v>
          </cell>
          <cell r="K93">
            <v>1</v>
          </cell>
          <cell r="L93" t="str">
            <v>C</v>
          </cell>
          <cell r="M93">
            <v>324</v>
          </cell>
          <cell r="N93" t="str">
            <v>C</v>
          </cell>
          <cell r="O93">
            <v>376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5</v>
          </cell>
          <cell r="U93">
            <v>6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12</v>
          </cell>
          <cell r="AA93">
            <v>1260</v>
          </cell>
          <cell r="AB93">
            <v>2100</v>
          </cell>
          <cell r="AC93">
            <v>0</v>
          </cell>
          <cell r="AD93">
            <v>2100</v>
          </cell>
          <cell r="AE93">
            <v>0</v>
          </cell>
          <cell r="AF93">
            <v>28</v>
          </cell>
          <cell r="AG93">
            <v>0.6</v>
          </cell>
        </row>
        <row r="94">
          <cell r="B94">
            <v>242200909</v>
          </cell>
          <cell r="C94" t="str">
            <v>0347</v>
          </cell>
          <cell r="D94" t="str">
            <v>FAJA LUMBOSACRA TALLA "S" x und.</v>
          </cell>
          <cell r="E94" t="str">
            <v>SANAVIT</v>
          </cell>
          <cell r="F94" t="str">
            <v/>
          </cell>
          <cell r="G94" t="str">
            <v>TRAUMATOLOGIA FAJAS</v>
          </cell>
          <cell r="H94" t="str">
            <v/>
          </cell>
          <cell r="I94" t="str">
            <v/>
          </cell>
          <cell r="J94">
            <v>1</v>
          </cell>
          <cell r="K94">
            <v>1</v>
          </cell>
          <cell r="L94" t="str">
            <v>C</v>
          </cell>
          <cell r="M94">
            <v>430</v>
          </cell>
          <cell r="N94" t="str">
            <v>C</v>
          </cell>
          <cell r="O94">
            <v>130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345</v>
          </cell>
          <cell r="U94">
            <v>2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1260</v>
          </cell>
          <cell r="AB94">
            <v>2100</v>
          </cell>
          <cell r="AC94">
            <v>0</v>
          </cell>
          <cell r="AD94">
            <v>2100</v>
          </cell>
          <cell r="AE94">
            <v>0</v>
          </cell>
          <cell r="AF94">
            <v>28</v>
          </cell>
          <cell r="AG94">
            <v>0.6</v>
          </cell>
        </row>
        <row r="95">
          <cell r="B95">
            <v>242200911</v>
          </cell>
          <cell r="C95" t="str">
            <v>0347</v>
          </cell>
          <cell r="D95" t="str">
            <v>FAJA LUMBOSACRA TALLA "XL" x Und</v>
          </cell>
          <cell r="E95" t="str">
            <v>SANAVIT</v>
          </cell>
          <cell r="F95" t="str">
            <v/>
          </cell>
          <cell r="G95" t="str">
            <v>TRAUMATOLOGIA FAJAS</v>
          </cell>
          <cell r="H95" t="str">
            <v/>
          </cell>
          <cell r="I95" t="str">
            <v>UND</v>
          </cell>
          <cell r="J95">
            <v>1</v>
          </cell>
          <cell r="K95">
            <v>1</v>
          </cell>
          <cell r="L95" t="str">
            <v>C</v>
          </cell>
          <cell r="M95">
            <v>48</v>
          </cell>
          <cell r="N95" t="str">
            <v>C</v>
          </cell>
          <cell r="O95">
            <v>147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344</v>
          </cell>
          <cell r="U95">
            <v>2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7</v>
          </cell>
          <cell r="AA95">
            <v>1260</v>
          </cell>
          <cell r="AB95">
            <v>2100</v>
          </cell>
          <cell r="AC95">
            <v>0</v>
          </cell>
          <cell r="AD95">
            <v>2100</v>
          </cell>
          <cell r="AE95">
            <v>0</v>
          </cell>
          <cell r="AF95">
            <v>28</v>
          </cell>
          <cell r="AG95">
            <v>0.6</v>
          </cell>
        </row>
        <row r="96">
          <cell r="B96">
            <v>240850802</v>
          </cell>
          <cell r="C96" t="str">
            <v>MHD65</v>
          </cell>
          <cell r="D96" t="str">
            <v>FLOTRAC SENSOR CATETER MHD65</v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>UND</v>
          </cell>
          <cell r="J96">
            <v>1</v>
          </cell>
          <cell r="K96">
            <v>1</v>
          </cell>
          <cell r="L96" t="str">
            <v>C</v>
          </cell>
          <cell r="M96">
            <v>42</v>
          </cell>
          <cell r="N96" t="str">
            <v>C</v>
          </cell>
          <cell r="O96">
            <v>176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86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8</v>
          </cell>
          <cell r="AA96">
            <v>8415</v>
          </cell>
          <cell r="AB96">
            <v>15300</v>
          </cell>
          <cell r="AC96">
            <v>0</v>
          </cell>
          <cell r="AD96">
            <v>15300</v>
          </cell>
          <cell r="AE96">
            <v>0</v>
          </cell>
          <cell r="AF96">
            <v>187</v>
          </cell>
          <cell r="AG96">
            <v>0.55000000000000004</v>
          </cell>
        </row>
        <row r="97">
          <cell r="B97">
            <v>252650554</v>
          </cell>
          <cell r="C97" t="str">
            <v/>
          </cell>
          <cell r="D97" t="str">
            <v>FUNDA DE ALMOHADA x Und</v>
          </cell>
          <cell r="E97" t="str">
            <v>MEDIC-ART</v>
          </cell>
          <cell r="F97" t="str">
            <v/>
          </cell>
          <cell r="G97" t="str">
            <v>LENCERIA FUNDAS</v>
          </cell>
          <cell r="H97" t="str">
            <v/>
          </cell>
          <cell r="I97" t="str">
            <v>BTOX500</v>
          </cell>
          <cell r="J97">
            <v>1</v>
          </cell>
          <cell r="K97">
            <v>1</v>
          </cell>
          <cell r="L97" t="str">
            <v>C</v>
          </cell>
          <cell r="M97">
            <v>391</v>
          </cell>
          <cell r="N97" t="str">
            <v>C</v>
          </cell>
          <cell r="O97">
            <v>270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5</v>
          </cell>
          <cell r="U97">
            <v>378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3000</v>
          </cell>
          <cell r="AA97">
            <v>9</v>
          </cell>
          <cell r="AB97">
            <v>12.86</v>
          </cell>
          <cell r="AC97">
            <v>0</v>
          </cell>
          <cell r="AD97">
            <v>12.86</v>
          </cell>
          <cell r="AE97">
            <v>0</v>
          </cell>
          <cell r="AF97">
            <v>0.2</v>
          </cell>
          <cell r="AG97">
            <v>0.7</v>
          </cell>
        </row>
        <row r="98">
          <cell r="B98">
            <v>242300605</v>
          </cell>
          <cell r="C98" t="str">
            <v/>
          </cell>
          <cell r="D98" t="str">
            <v>GASA ESTERIL 4" x 4" (Sobre x 2 unds.) Marca PROCARE x Und</v>
          </cell>
          <cell r="E98" t="str">
            <v>PROCARE</v>
          </cell>
          <cell r="F98" t="str">
            <v/>
          </cell>
          <cell r="G98" t="str">
            <v>GASAS ESTERILES</v>
          </cell>
          <cell r="H98" t="str">
            <v/>
          </cell>
          <cell r="I98" t="str">
            <v>UND</v>
          </cell>
          <cell r="J98">
            <v>25</v>
          </cell>
          <cell r="K98">
            <v>1</v>
          </cell>
          <cell r="L98" t="str">
            <v>C</v>
          </cell>
          <cell r="M98">
            <v>285</v>
          </cell>
          <cell r="N98" t="str">
            <v>C</v>
          </cell>
          <cell r="O98">
            <v>26</v>
          </cell>
          <cell r="P98">
            <v>0</v>
          </cell>
          <cell r="Q98">
            <v>1525</v>
          </cell>
          <cell r="R98">
            <v>1525</v>
          </cell>
          <cell r="S98">
            <v>0</v>
          </cell>
          <cell r="T98">
            <v>239</v>
          </cell>
          <cell r="U98">
            <v>1275</v>
          </cell>
          <cell r="V98">
            <v>0</v>
          </cell>
          <cell r="W98">
            <v>500</v>
          </cell>
          <cell r="X98">
            <v>0</v>
          </cell>
          <cell r="Y98">
            <v>1525</v>
          </cell>
          <cell r="Z98">
            <v>2400</v>
          </cell>
          <cell r="AA98">
            <v>4.9320000000000004</v>
          </cell>
          <cell r="AB98">
            <v>6.57</v>
          </cell>
          <cell r="AC98">
            <v>0</v>
          </cell>
          <cell r="AD98">
            <v>6.57</v>
          </cell>
          <cell r="AE98">
            <v>0</v>
          </cell>
          <cell r="AF98">
            <v>0.1096</v>
          </cell>
          <cell r="AG98">
            <v>0.75019999999999998</v>
          </cell>
        </row>
        <row r="99">
          <cell r="B99">
            <v>242300612</v>
          </cell>
          <cell r="C99" t="str">
            <v/>
          </cell>
          <cell r="D99" t="str">
            <v>GASA ESTERIL 4" x 8" C / RAYTEC  Marca MCKESSON Paquete x 10 Und.</v>
          </cell>
          <cell r="E99" t="str">
            <v>MC KESSON</v>
          </cell>
          <cell r="F99" t="str">
            <v/>
          </cell>
          <cell r="G99" t="str">
            <v>GASAS ESTERILES</v>
          </cell>
          <cell r="H99" t="str">
            <v/>
          </cell>
          <cell r="I99" t="str">
            <v>CJX10</v>
          </cell>
          <cell r="J99">
            <v>1</v>
          </cell>
          <cell r="K99">
            <v>1</v>
          </cell>
          <cell r="L99" t="str">
            <v/>
          </cell>
          <cell r="M99">
            <v>0</v>
          </cell>
          <cell r="N99" t="str">
            <v/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198</v>
          </cell>
          <cell r="U99">
            <v>240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320</v>
          </cell>
          <cell r="AA99">
            <v>173.56950000000001</v>
          </cell>
          <cell r="AB99">
            <v>289.27999999999997</v>
          </cell>
          <cell r="AC99">
            <v>0</v>
          </cell>
          <cell r="AD99">
            <v>289.27999999999997</v>
          </cell>
          <cell r="AE99">
            <v>0</v>
          </cell>
          <cell r="AF99">
            <v>3.8571</v>
          </cell>
          <cell r="AG99">
            <v>0.6</v>
          </cell>
        </row>
        <row r="100">
          <cell r="B100">
            <v>242300912</v>
          </cell>
          <cell r="C100" t="str">
            <v>NON21432LF</v>
          </cell>
          <cell r="D100" t="str">
            <v>GASA ESTERIL 4" x 8" C / RAYTEC  Marca MEDLINE Paquete x 10 Und.</v>
          </cell>
          <cell r="E100" t="str">
            <v>MEDLINE</v>
          </cell>
          <cell r="F100" t="str">
            <v/>
          </cell>
          <cell r="G100" t="str">
            <v/>
          </cell>
          <cell r="H100" t="str">
            <v/>
          </cell>
          <cell r="I100" t="str">
            <v>CJX10</v>
          </cell>
          <cell r="J100">
            <v>1</v>
          </cell>
          <cell r="K100">
            <v>1</v>
          </cell>
          <cell r="L100" t="str">
            <v>A</v>
          </cell>
          <cell r="M100">
            <v>8</v>
          </cell>
          <cell r="N100" t="str">
            <v>B</v>
          </cell>
          <cell r="O100">
            <v>5</v>
          </cell>
          <cell r="P100">
            <v>0</v>
          </cell>
          <cell r="Q100">
            <v>250</v>
          </cell>
          <cell r="R100">
            <v>250</v>
          </cell>
          <cell r="S100">
            <v>0</v>
          </cell>
          <cell r="T100">
            <v>5</v>
          </cell>
          <cell r="U100">
            <v>555</v>
          </cell>
          <cell r="V100">
            <v>0</v>
          </cell>
          <cell r="W100">
            <v>0</v>
          </cell>
          <cell r="X100">
            <v>0</v>
          </cell>
          <cell r="Y100">
            <v>250</v>
          </cell>
          <cell r="Z100">
            <v>250</v>
          </cell>
          <cell r="AA100">
            <v>103.059</v>
          </cell>
          <cell r="AB100">
            <v>147.22999999999999</v>
          </cell>
          <cell r="AC100">
            <v>0</v>
          </cell>
          <cell r="AD100">
            <v>147.22999999999999</v>
          </cell>
          <cell r="AE100">
            <v>0</v>
          </cell>
          <cell r="AF100">
            <v>2.2902</v>
          </cell>
          <cell r="AG100">
            <v>0.7</v>
          </cell>
        </row>
        <row r="101">
          <cell r="B101">
            <v>242300610</v>
          </cell>
          <cell r="C101" t="str">
            <v/>
          </cell>
          <cell r="D101" t="str">
            <v>GASA ESTERIL PARA QUEMADO 4.5" x 4.1 Yds. (11.25cm x 3.74 Mts.) Marca Mc Medical x Und</v>
          </cell>
          <cell r="E101" t="str">
            <v>MC MEDICAL</v>
          </cell>
          <cell r="F101" t="str">
            <v/>
          </cell>
          <cell r="G101" t="str">
            <v>GASAS</v>
          </cell>
          <cell r="H101" t="str">
            <v/>
          </cell>
          <cell r="I101" t="str">
            <v>CJX100</v>
          </cell>
          <cell r="J101">
            <v>1</v>
          </cell>
          <cell r="K101">
            <v>1</v>
          </cell>
          <cell r="L101" t="str">
            <v>C</v>
          </cell>
          <cell r="M101">
            <v>214</v>
          </cell>
          <cell r="N101" t="str">
            <v>C</v>
          </cell>
          <cell r="O101">
            <v>152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97</v>
          </cell>
          <cell r="U101">
            <v>80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200</v>
          </cell>
          <cell r="AA101">
            <v>37.799999999999997</v>
          </cell>
          <cell r="AB101">
            <v>38.53</v>
          </cell>
          <cell r="AC101">
            <v>0</v>
          </cell>
          <cell r="AD101">
            <v>38.53</v>
          </cell>
          <cell r="AE101">
            <v>0</v>
          </cell>
          <cell r="AF101">
            <v>0.84</v>
          </cell>
          <cell r="AG101">
            <v>0.98099999999999998</v>
          </cell>
        </row>
        <row r="102">
          <cell r="B102">
            <v>242300604</v>
          </cell>
          <cell r="C102" t="str">
            <v/>
          </cell>
          <cell r="D102" t="str">
            <v>GASA NO ESTERIL 4" x 4" ) - Marca  Mc MedicaL x Und./\Presentacion Paq. x 100 UndS.</v>
          </cell>
          <cell r="E102" t="str">
            <v>MC MEDICAL</v>
          </cell>
          <cell r="F102" t="str">
            <v/>
          </cell>
          <cell r="G102" t="str">
            <v>GASAS ESTERILES</v>
          </cell>
          <cell r="H102" t="str">
            <v/>
          </cell>
          <cell r="I102" t="str">
            <v>UND</v>
          </cell>
          <cell r="J102">
            <v>1</v>
          </cell>
          <cell r="K102">
            <v>1</v>
          </cell>
          <cell r="L102" t="str">
            <v>C</v>
          </cell>
          <cell r="M102">
            <v>322</v>
          </cell>
          <cell r="N102" t="str">
            <v>C</v>
          </cell>
          <cell r="O102">
            <v>254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235</v>
          </cell>
          <cell r="U102">
            <v>80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114.5475</v>
          </cell>
          <cell r="AB102">
            <v>134.76</v>
          </cell>
          <cell r="AC102">
            <v>0</v>
          </cell>
          <cell r="AD102">
            <v>134.76</v>
          </cell>
          <cell r="AE102">
            <v>0</v>
          </cell>
          <cell r="AF102">
            <v>2.5455000000000001</v>
          </cell>
          <cell r="AG102">
            <v>0.85</v>
          </cell>
        </row>
        <row r="103">
          <cell r="B103">
            <v>243210105</v>
          </cell>
          <cell r="C103" t="str">
            <v/>
          </cell>
          <cell r="D103" t="str">
            <v>GENERICO CON IVA</v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>UND</v>
          </cell>
          <cell r="J103">
            <v>1</v>
          </cell>
          <cell r="K103">
            <v>1</v>
          </cell>
          <cell r="L103" t="str">
            <v>C</v>
          </cell>
          <cell r="M103">
            <v>400</v>
          </cell>
          <cell r="N103" t="str">
            <v>C</v>
          </cell>
          <cell r="O103">
            <v>394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5</v>
          </cell>
          <cell r="U103">
            <v>231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80</v>
          </cell>
          <cell r="AA103">
            <v>105.1875</v>
          </cell>
          <cell r="AB103">
            <v>191.25</v>
          </cell>
          <cell r="AC103">
            <v>0</v>
          </cell>
          <cell r="AD103">
            <v>191.25</v>
          </cell>
          <cell r="AE103">
            <v>0</v>
          </cell>
          <cell r="AF103">
            <v>2.3374999999999999</v>
          </cell>
          <cell r="AG103">
            <v>0.55000000000000004</v>
          </cell>
        </row>
        <row r="104">
          <cell r="B104">
            <v>240200231</v>
          </cell>
          <cell r="C104" t="str">
            <v/>
          </cell>
          <cell r="D104" t="str">
            <v>GENERICO SIN IVA</v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>UND</v>
          </cell>
          <cell r="J104">
            <v>1</v>
          </cell>
          <cell r="K104">
            <v>1</v>
          </cell>
          <cell r="L104" t="str">
            <v>C</v>
          </cell>
          <cell r="M104">
            <v>334</v>
          </cell>
          <cell r="N104" t="str">
            <v>C</v>
          </cell>
          <cell r="O104">
            <v>99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5</v>
          </cell>
          <cell r="U104">
            <v>12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28</v>
          </cell>
          <cell r="AA104">
            <v>0.45</v>
          </cell>
          <cell r="AB104">
            <v>0.75</v>
          </cell>
          <cell r="AC104">
            <v>0</v>
          </cell>
          <cell r="AD104">
            <v>0.75</v>
          </cell>
          <cell r="AE104">
            <v>0</v>
          </cell>
          <cell r="AF104">
            <v>0.01</v>
          </cell>
          <cell r="AG104">
            <v>0.6</v>
          </cell>
        </row>
        <row r="105">
          <cell r="B105">
            <v>243450103</v>
          </cell>
          <cell r="C105" t="str">
            <v/>
          </cell>
          <cell r="D105" t="str">
            <v>GORRO DE CIRUJANO 50 Grs. Marca Meditex x Und</v>
          </cell>
          <cell r="E105" t="str">
            <v>MEDITEX</v>
          </cell>
          <cell r="F105" t="str">
            <v/>
          </cell>
          <cell r="G105" t="str">
            <v>LENCERIA GORROS</v>
          </cell>
          <cell r="H105" t="str">
            <v/>
          </cell>
          <cell r="I105" t="str">
            <v>CJX200</v>
          </cell>
          <cell r="J105">
            <v>1</v>
          </cell>
          <cell r="K105">
            <v>1</v>
          </cell>
          <cell r="L105" t="str">
            <v>C</v>
          </cell>
          <cell r="M105">
            <v>392</v>
          </cell>
          <cell r="N105" t="str">
            <v>C</v>
          </cell>
          <cell r="O105">
            <v>128</v>
          </cell>
          <cell r="P105">
            <v>0</v>
          </cell>
          <cell r="Q105">
            <v>8</v>
          </cell>
          <cell r="R105">
            <v>8</v>
          </cell>
          <cell r="S105">
            <v>0</v>
          </cell>
          <cell r="T105">
            <v>204</v>
          </cell>
          <cell r="U105">
            <v>32291</v>
          </cell>
          <cell r="V105">
            <v>0</v>
          </cell>
          <cell r="W105">
            <v>0</v>
          </cell>
          <cell r="X105">
            <v>0</v>
          </cell>
          <cell r="Y105">
            <v>8</v>
          </cell>
          <cell r="Z105">
            <v>8400</v>
          </cell>
          <cell r="AA105">
            <v>4.5</v>
          </cell>
          <cell r="AB105">
            <v>5.29</v>
          </cell>
          <cell r="AC105">
            <v>0</v>
          </cell>
          <cell r="AD105">
            <v>5.29</v>
          </cell>
          <cell r="AE105">
            <v>0</v>
          </cell>
          <cell r="AF105">
            <v>0.1</v>
          </cell>
          <cell r="AG105">
            <v>0.85030000000000006</v>
          </cell>
        </row>
        <row r="106">
          <cell r="B106">
            <v>243450104</v>
          </cell>
          <cell r="C106" t="str">
            <v/>
          </cell>
          <cell r="D106" t="str">
            <v>GORRO DE CIRUJANO Marca Rospital. x Und</v>
          </cell>
          <cell r="E106" t="str">
            <v>ROSPITAL</v>
          </cell>
          <cell r="F106" t="str">
            <v/>
          </cell>
          <cell r="G106" t="str">
            <v/>
          </cell>
          <cell r="H106" t="str">
            <v/>
          </cell>
          <cell r="I106" t="str">
            <v>BTOX1000</v>
          </cell>
          <cell r="J106">
            <v>50</v>
          </cell>
          <cell r="K106">
            <v>1</v>
          </cell>
          <cell r="L106" t="str">
            <v>C</v>
          </cell>
          <cell r="M106">
            <v>401</v>
          </cell>
          <cell r="N106" t="str">
            <v>C</v>
          </cell>
          <cell r="O106">
            <v>286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305</v>
          </cell>
          <cell r="U106">
            <v>750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5.67</v>
          </cell>
          <cell r="AB106">
            <v>6.67</v>
          </cell>
          <cell r="AC106">
            <v>0</v>
          </cell>
          <cell r="AD106">
            <v>6.67</v>
          </cell>
          <cell r="AE106">
            <v>0</v>
          </cell>
          <cell r="AF106">
            <v>0.126</v>
          </cell>
          <cell r="AG106">
            <v>0.85019999999999996</v>
          </cell>
        </row>
        <row r="107">
          <cell r="B107">
            <v>253401213</v>
          </cell>
          <cell r="C107" t="str">
            <v>S/REF</v>
          </cell>
          <cell r="D107" t="str">
            <v>GUANTES DE CIRUJANO N° 6.5 MARCA DIPROCARE x Und./\Presentacion Caja x 50 Unds.</v>
          </cell>
          <cell r="E107" t="str">
            <v>DIPHOSYC</v>
          </cell>
          <cell r="F107" t="str">
            <v/>
          </cell>
          <cell r="G107" t="str">
            <v>GUANTES CIRUJANO</v>
          </cell>
          <cell r="H107" t="str">
            <v/>
          </cell>
          <cell r="I107" t="str">
            <v>CJX50</v>
          </cell>
          <cell r="J107">
            <v>50</v>
          </cell>
          <cell r="K107">
            <v>1</v>
          </cell>
          <cell r="L107" t="str">
            <v>C</v>
          </cell>
          <cell r="M107">
            <v>43</v>
          </cell>
          <cell r="N107" t="str">
            <v>C</v>
          </cell>
          <cell r="O107">
            <v>149</v>
          </cell>
          <cell r="P107">
            <v>0</v>
          </cell>
          <cell r="Q107">
            <v>4500</v>
          </cell>
          <cell r="R107">
            <v>4500</v>
          </cell>
          <cell r="S107">
            <v>0</v>
          </cell>
          <cell r="T107">
            <v>44</v>
          </cell>
          <cell r="U107">
            <v>2400</v>
          </cell>
          <cell r="V107">
            <v>0</v>
          </cell>
          <cell r="W107">
            <v>0</v>
          </cell>
          <cell r="X107">
            <v>0</v>
          </cell>
          <cell r="Y107">
            <v>4500</v>
          </cell>
          <cell r="Z107">
            <v>4500</v>
          </cell>
          <cell r="AA107">
            <v>18</v>
          </cell>
          <cell r="AB107">
            <v>25.71</v>
          </cell>
          <cell r="AC107">
            <v>0</v>
          </cell>
          <cell r="AD107">
            <v>25.71</v>
          </cell>
          <cell r="AE107">
            <v>0</v>
          </cell>
          <cell r="AF107">
            <v>0.4</v>
          </cell>
          <cell r="AG107">
            <v>0.7</v>
          </cell>
        </row>
        <row r="108">
          <cell r="B108">
            <v>253401216</v>
          </cell>
          <cell r="C108" t="str">
            <v/>
          </cell>
          <cell r="D108" t="str">
            <v>GUANTES DE CIRUJANO N° 7.0 MARCA DIPROCARE x Und./\Presentacion Caja x 50 Unds.</v>
          </cell>
          <cell r="E108" t="str">
            <v>SOSFT</v>
          </cell>
          <cell r="F108" t="str">
            <v/>
          </cell>
          <cell r="G108" t="str">
            <v>GUANTES CIRUJANO</v>
          </cell>
          <cell r="H108" t="str">
            <v/>
          </cell>
          <cell r="I108" t="str">
            <v>CJX50</v>
          </cell>
          <cell r="J108">
            <v>50</v>
          </cell>
          <cell r="K108">
            <v>1</v>
          </cell>
          <cell r="L108" t="str">
            <v>C</v>
          </cell>
          <cell r="M108">
            <v>9</v>
          </cell>
          <cell r="N108" t="str">
            <v>C</v>
          </cell>
          <cell r="O108">
            <v>23</v>
          </cell>
          <cell r="P108">
            <v>0</v>
          </cell>
          <cell r="Q108">
            <v>3050</v>
          </cell>
          <cell r="R108">
            <v>3050</v>
          </cell>
          <cell r="S108">
            <v>0</v>
          </cell>
          <cell r="T108">
            <v>302</v>
          </cell>
          <cell r="U108">
            <v>2350</v>
          </cell>
          <cell r="V108">
            <v>0</v>
          </cell>
          <cell r="W108">
            <v>0</v>
          </cell>
          <cell r="X108">
            <v>0</v>
          </cell>
          <cell r="Y108">
            <v>3050</v>
          </cell>
          <cell r="Z108">
            <v>3050</v>
          </cell>
          <cell r="AA108">
            <v>18</v>
          </cell>
          <cell r="AB108">
            <v>25.71</v>
          </cell>
          <cell r="AC108">
            <v>0</v>
          </cell>
          <cell r="AD108">
            <v>25.71</v>
          </cell>
          <cell r="AE108">
            <v>0</v>
          </cell>
          <cell r="AF108">
            <v>0.4</v>
          </cell>
          <cell r="AG108">
            <v>0.7</v>
          </cell>
        </row>
        <row r="109">
          <cell r="B109">
            <v>253401215</v>
          </cell>
          <cell r="C109" t="str">
            <v>253401215</v>
          </cell>
          <cell r="D109" t="str">
            <v>GUANTES DE CIRUJANO N° 7.5 MARCA DIPROCARE x Und./\Presentacion Caja x 50 Unds.</v>
          </cell>
          <cell r="E109" t="str">
            <v>DIPHOSYC</v>
          </cell>
          <cell r="F109" t="str">
            <v/>
          </cell>
          <cell r="G109" t="str">
            <v>GUANTES CIRUJANO</v>
          </cell>
          <cell r="H109" t="str">
            <v/>
          </cell>
          <cell r="I109" t="str">
            <v>CJX50</v>
          </cell>
          <cell r="J109">
            <v>50</v>
          </cell>
          <cell r="K109">
            <v>1</v>
          </cell>
          <cell r="L109" t="str">
            <v>A</v>
          </cell>
          <cell r="M109">
            <v>11</v>
          </cell>
          <cell r="N109" t="str">
            <v>C</v>
          </cell>
          <cell r="O109">
            <v>38</v>
          </cell>
          <cell r="P109">
            <v>0</v>
          </cell>
          <cell r="Q109">
            <v>3500</v>
          </cell>
          <cell r="R109">
            <v>3500</v>
          </cell>
          <cell r="S109">
            <v>0</v>
          </cell>
          <cell r="T109">
            <v>280</v>
          </cell>
          <cell r="U109">
            <v>2400</v>
          </cell>
          <cell r="V109">
            <v>0</v>
          </cell>
          <cell r="W109">
            <v>0</v>
          </cell>
          <cell r="X109">
            <v>0</v>
          </cell>
          <cell r="Y109">
            <v>3500</v>
          </cell>
          <cell r="Z109">
            <v>3500</v>
          </cell>
          <cell r="AA109">
            <v>18</v>
          </cell>
          <cell r="AB109">
            <v>25.71</v>
          </cell>
          <cell r="AC109">
            <v>0</v>
          </cell>
          <cell r="AD109">
            <v>25.71</v>
          </cell>
          <cell r="AE109">
            <v>0</v>
          </cell>
          <cell r="AF109">
            <v>0.4</v>
          </cell>
          <cell r="AG109">
            <v>0.7</v>
          </cell>
        </row>
        <row r="110">
          <cell r="B110">
            <v>253400213</v>
          </cell>
          <cell r="C110" t="str">
            <v/>
          </cell>
          <cell r="D110" t="str">
            <v>GUANTES DE CIRUJANO N° 8.0 MARCA DIPROCARE x Und./\Presentacion Caja x 50 Unds.</v>
          </cell>
          <cell r="E110" t="str">
            <v>DIPHOSYC</v>
          </cell>
          <cell r="F110" t="str">
            <v/>
          </cell>
          <cell r="G110" t="str">
            <v>GUANTES CIRUJANO</v>
          </cell>
          <cell r="H110" t="str">
            <v/>
          </cell>
          <cell r="I110" t="str">
            <v>CJX50</v>
          </cell>
          <cell r="J110">
            <v>50</v>
          </cell>
          <cell r="K110">
            <v>1</v>
          </cell>
          <cell r="L110" t="str">
            <v>B</v>
          </cell>
          <cell r="M110">
            <v>18</v>
          </cell>
          <cell r="N110" t="str">
            <v/>
          </cell>
          <cell r="O110">
            <v>0</v>
          </cell>
          <cell r="P110">
            <v>0</v>
          </cell>
          <cell r="Q110">
            <v>1000</v>
          </cell>
          <cell r="R110">
            <v>1000</v>
          </cell>
          <cell r="S110">
            <v>0</v>
          </cell>
          <cell r="T110">
            <v>245</v>
          </cell>
          <cell r="U110">
            <v>1200</v>
          </cell>
          <cell r="V110">
            <v>0</v>
          </cell>
          <cell r="W110">
            <v>0</v>
          </cell>
          <cell r="X110">
            <v>0</v>
          </cell>
          <cell r="Y110">
            <v>1000</v>
          </cell>
          <cell r="Z110">
            <v>2000</v>
          </cell>
          <cell r="AA110">
            <v>18</v>
          </cell>
          <cell r="AB110">
            <v>25.71</v>
          </cell>
          <cell r="AC110">
            <v>0</v>
          </cell>
          <cell r="AD110">
            <v>25.71</v>
          </cell>
          <cell r="AE110">
            <v>0</v>
          </cell>
          <cell r="AF110">
            <v>0.4</v>
          </cell>
          <cell r="AG110">
            <v>0.7</v>
          </cell>
        </row>
        <row r="111">
          <cell r="B111">
            <v>253400103</v>
          </cell>
          <cell r="C111" t="str">
            <v/>
          </cell>
          <cell r="D111" t="str">
            <v>GUANTES DE EXAMEN DE LATEX TALLA "L" Marca Diphocare/\Presentacion Caja x 100 Unds.</v>
          </cell>
          <cell r="E111" t="str">
            <v>DIPHOSYC</v>
          </cell>
          <cell r="F111" t="str">
            <v/>
          </cell>
          <cell r="G111" t="str">
            <v>GUANTES EXAMEN DE LATEX</v>
          </cell>
          <cell r="H111" t="str">
            <v/>
          </cell>
          <cell r="I111" t="str">
            <v>CJX100</v>
          </cell>
          <cell r="J111">
            <v>1</v>
          </cell>
          <cell r="K111">
            <v>1</v>
          </cell>
          <cell r="L111" t="str">
            <v>C</v>
          </cell>
          <cell r="M111">
            <v>321</v>
          </cell>
          <cell r="N111" t="str">
            <v>C</v>
          </cell>
          <cell r="O111">
            <v>269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216</v>
          </cell>
          <cell r="U111">
            <v>33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1053</v>
          </cell>
          <cell r="AA111">
            <v>251.55</v>
          </cell>
          <cell r="AB111">
            <v>314.44</v>
          </cell>
          <cell r="AC111">
            <v>0</v>
          </cell>
          <cell r="AD111">
            <v>314.44</v>
          </cell>
          <cell r="AE111">
            <v>0</v>
          </cell>
          <cell r="AF111">
            <v>5.59</v>
          </cell>
          <cell r="AG111">
            <v>0.8</v>
          </cell>
        </row>
        <row r="112">
          <cell r="B112">
            <v>253402108</v>
          </cell>
          <cell r="C112" t="str">
            <v/>
          </cell>
          <cell r="D112" t="str">
            <v>GUANTES DE EXAMEN DE LATEX TALLA "M" Marca Diphocare/\Presentacion Caja x 100 Unds.</v>
          </cell>
          <cell r="E112" t="str">
            <v>DIPHOSYC</v>
          </cell>
          <cell r="F112" t="str">
            <v/>
          </cell>
          <cell r="G112" t="str">
            <v>GUANTES EXAMEN DE LATEX</v>
          </cell>
          <cell r="H112" t="str">
            <v/>
          </cell>
          <cell r="I112" t="str">
            <v>CJX100</v>
          </cell>
          <cell r="J112">
            <v>1</v>
          </cell>
          <cell r="K112">
            <v>1</v>
          </cell>
          <cell r="L112" t="str">
            <v>C</v>
          </cell>
          <cell r="M112">
            <v>345</v>
          </cell>
          <cell r="N112" t="str">
            <v>C</v>
          </cell>
          <cell r="O112">
            <v>238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113</v>
          </cell>
          <cell r="U112">
            <v>4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50</v>
          </cell>
          <cell r="AA112">
            <v>251.685</v>
          </cell>
          <cell r="AB112">
            <v>314.61</v>
          </cell>
          <cell r="AC112">
            <v>0</v>
          </cell>
          <cell r="AD112">
            <v>314.61</v>
          </cell>
          <cell r="AE112">
            <v>0</v>
          </cell>
          <cell r="AF112">
            <v>5.593</v>
          </cell>
          <cell r="AG112">
            <v>0.8</v>
          </cell>
        </row>
        <row r="113">
          <cell r="B113">
            <v>253400304</v>
          </cell>
          <cell r="C113" t="str">
            <v>GM050421</v>
          </cell>
          <cell r="D113" t="str">
            <v>GUANTES DE NITRILO TALLA "S" GROSSMED/\Presentacion Caja x 100 Unds. Color Negro</v>
          </cell>
          <cell r="E113" t="str">
            <v>GROSSMED</v>
          </cell>
          <cell r="F113" t="str">
            <v/>
          </cell>
          <cell r="G113" t="str">
            <v>GUANTES NITRILO</v>
          </cell>
          <cell r="H113" t="str">
            <v/>
          </cell>
          <cell r="I113" t="str">
            <v>CJX200</v>
          </cell>
          <cell r="J113">
            <v>1</v>
          </cell>
          <cell r="K113">
            <v>1</v>
          </cell>
          <cell r="L113" t="str">
            <v/>
          </cell>
          <cell r="M113">
            <v>0</v>
          </cell>
          <cell r="N113" t="str">
            <v/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5</v>
          </cell>
          <cell r="U113">
            <v>2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257.39999999999998</v>
          </cell>
          <cell r="AB113">
            <v>270.95</v>
          </cell>
          <cell r="AC113">
            <v>0</v>
          </cell>
          <cell r="AD113">
            <v>270.95</v>
          </cell>
          <cell r="AE113">
            <v>0</v>
          </cell>
          <cell r="AF113">
            <v>5.72</v>
          </cell>
          <cell r="AG113">
            <v>0.95</v>
          </cell>
        </row>
        <row r="114">
          <cell r="B114">
            <v>253400308</v>
          </cell>
          <cell r="C114" t="str">
            <v>30475</v>
          </cell>
          <cell r="D114" t="str">
            <v>GUANTES ESTERIL LATEX BIOGEL 7.5 x Und</v>
          </cell>
          <cell r="E114" t="str">
            <v>SURGEONS</v>
          </cell>
          <cell r="F114" t="str">
            <v/>
          </cell>
          <cell r="G114" t="str">
            <v/>
          </cell>
          <cell r="H114" t="str">
            <v/>
          </cell>
          <cell r="I114" t="str">
            <v>CJX50</v>
          </cell>
          <cell r="J114">
            <v>50</v>
          </cell>
          <cell r="K114">
            <v>1</v>
          </cell>
          <cell r="L114" t="str">
            <v>C</v>
          </cell>
          <cell r="M114">
            <v>266</v>
          </cell>
          <cell r="N114" t="str">
            <v>C</v>
          </cell>
          <cell r="O114">
            <v>63</v>
          </cell>
          <cell r="P114">
            <v>0</v>
          </cell>
          <cell r="Q114">
            <v>50</v>
          </cell>
          <cell r="R114">
            <v>50</v>
          </cell>
          <cell r="S114">
            <v>0</v>
          </cell>
          <cell r="T114">
            <v>5</v>
          </cell>
          <cell r="U114">
            <v>1100</v>
          </cell>
          <cell r="V114">
            <v>0</v>
          </cell>
          <cell r="W114">
            <v>0</v>
          </cell>
          <cell r="X114">
            <v>0</v>
          </cell>
          <cell r="Y114">
            <v>50</v>
          </cell>
          <cell r="Z114">
            <v>50</v>
          </cell>
          <cell r="AA114">
            <v>176.4</v>
          </cell>
          <cell r="AB114">
            <v>252</v>
          </cell>
          <cell r="AC114">
            <v>0</v>
          </cell>
          <cell r="AD114">
            <v>252</v>
          </cell>
          <cell r="AE114">
            <v>0</v>
          </cell>
          <cell r="AF114">
            <v>3.92</v>
          </cell>
          <cell r="AG114">
            <v>0.7</v>
          </cell>
        </row>
        <row r="115">
          <cell r="B115">
            <v>242202306</v>
          </cell>
          <cell r="C115" t="str">
            <v>1110</v>
          </cell>
          <cell r="D115" t="str">
            <v>INMOVILIZADOR DE HOMBRO CABALLERO  Talla  M - Marca Sanavit x Und</v>
          </cell>
          <cell r="E115" t="str">
            <v>SANAVIT</v>
          </cell>
          <cell r="F115" t="str">
            <v/>
          </cell>
          <cell r="G115" t="str">
            <v>TRAUMATOLOGIA INMOVILIZADOR HOMBRO</v>
          </cell>
          <cell r="H115" t="str">
            <v/>
          </cell>
          <cell r="I115" t="str">
            <v>UND</v>
          </cell>
          <cell r="J115">
            <v>1</v>
          </cell>
          <cell r="K115">
            <v>1</v>
          </cell>
          <cell r="L115" t="str">
            <v>C</v>
          </cell>
          <cell r="M115">
            <v>331</v>
          </cell>
          <cell r="N115" t="str">
            <v/>
          </cell>
          <cell r="O115">
            <v>0</v>
          </cell>
          <cell r="P115">
            <v>5</v>
          </cell>
          <cell r="Q115">
            <v>0</v>
          </cell>
          <cell r="R115">
            <v>0</v>
          </cell>
          <cell r="S115">
            <v>0</v>
          </cell>
          <cell r="T115">
            <v>145</v>
          </cell>
          <cell r="U115">
            <v>3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12</v>
          </cell>
          <cell r="AA115">
            <v>945</v>
          </cell>
          <cell r="AB115">
            <v>1575</v>
          </cell>
          <cell r="AC115">
            <v>0</v>
          </cell>
          <cell r="AD115">
            <v>1575</v>
          </cell>
          <cell r="AE115">
            <v>0</v>
          </cell>
          <cell r="AF115">
            <v>21</v>
          </cell>
          <cell r="AG115">
            <v>0.6</v>
          </cell>
        </row>
        <row r="116">
          <cell r="B116">
            <v>242202312</v>
          </cell>
          <cell r="C116" t="str">
            <v>1110</v>
          </cell>
          <cell r="D116" t="str">
            <v>INMOVILIZADOR DE HOMBRO CABALLERO  Talla  S - Marca Sanavit x Und</v>
          </cell>
          <cell r="E116" t="str">
            <v>SANAVIT</v>
          </cell>
          <cell r="F116" t="str">
            <v/>
          </cell>
          <cell r="G116" t="str">
            <v/>
          </cell>
          <cell r="H116" t="str">
            <v/>
          </cell>
          <cell r="I116" t="str">
            <v>UND</v>
          </cell>
          <cell r="J116">
            <v>1</v>
          </cell>
          <cell r="K116">
            <v>1</v>
          </cell>
          <cell r="L116" t="str">
            <v>C</v>
          </cell>
          <cell r="M116">
            <v>153</v>
          </cell>
          <cell r="N116" t="str">
            <v>C</v>
          </cell>
          <cell r="O116">
            <v>228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5</v>
          </cell>
          <cell r="U116">
            <v>3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2</v>
          </cell>
          <cell r="AA116">
            <v>945</v>
          </cell>
          <cell r="AB116">
            <v>1575</v>
          </cell>
          <cell r="AC116">
            <v>0</v>
          </cell>
          <cell r="AD116">
            <v>1575</v>
          </cell>
          <cell r="AE116">
            <v>0</v>
          </cell>
          <cell r="AF116">
            <v>21</v>
          </cell>
          <cell r="AG116">
            <v>0.6</v>
          </cell>
        </row>
        <row r="117">
          <cell r="B117">
            <v>242202311</v>
          </cell>
          <cell r="C117" t="str">
            <v>1110</v>
          </cell>
          <cell r="D117" t="str">
            <v>INMOVILIZADOR DE HOMBRO CABALLERO  Talla  XL - Marca Sanavit x Und</v>
          </cell>
          <cell r="E117" t="str">
            <v>SANAVIT</v>
          </cell>
          <cell r="F117" t="str">
            <v/>
          </cell>
          <cell r="G117" t="str">
            <v/>
          </cell>
          <cell r="H117" t="str">
            <v/>
          </cell>
          <cell r="I117" t="str">
            <v>UND</v>
          </cell>
          <cell r="J117">
            <v>1</v>
          </cell>
          <cell r="K117">
            <v>1</v>
          </cell>
          <cell r="L117" t="str">
            <v/>
          </cell>
          <cell r="M117">
            <v>0</v>
          </cell>
          <cell r="N117" t="str">
            <v/>
          </cell>
          <cell r="O117">
            <v>0</v>
          </cell>
          <cell r="P117">
            <v>5</v>
          </cell>
          <cell r="Q117">
            <v>0</v>
          </cell>
          <cell r="R117">
            <v>0</v>
          </cell>
          <cell r="S117">
            <v>0</v>
          </cell>
          <cell r="T117">
            <v>261</v>
          </cell>
          <cell r="U117">
            <v>3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10</v>
          </cell>
          <cell r="AA117">
            <v>945</v>
          </cell>
          <cell r="AB117">
            <v>1575</v>
          </cell>
          <cell r="AC117">
            <v>0</v>
          </cell>
          <cell r="AD117">
            <v>1575</v>
          </cell>
          <cell r="AE117">
            <v>0</v>
          </cell>
          <cell r="AF117">
            <v>21</v>
          </cell>
          <cell r="AG117">
            <v>0.6</v>
          </cell>
        </row>
        <row r="118">
          <cell r="B118">
            <v>242201570</v>
          </cell>
          <cell r="C118" t="str">
            <v>1109</v>
          </cell>
          <cell r="D118" t="str">
            <v>INMOVILIZADOR DE HOMBRO DAMA  Talla L Marca Sanavit x Und</v>
          </cell>
          <cell r="E118" t="str">
            <v>SANAVIT</v>
          </cell>
          <cell r="F118" t="str">
            <v/>
          </cell>
          <cell r="G118" t="str">
            <v>TRAUMATOLOGIA INMOVILIZADOR RODILLA</v>
          </cell>
          <cell r="H118" t="str">
            <v/>
          </cell>
          <cell r="I118" t="str">
            <v>UND</v>
          </cell>
          <cell r="J118">
            <v>1</v>
          </cell>
          <cell r="K118">
            <v>1</v>
          </cell>
          <cell r="L118" t="str">
            <v>C</v>
          </cell>
          <cell r="M118">
            <v>102</v>
          </cell>
          <cell r="N118" t="str">
            <v>C</v>
          </cell>
          <cell r="O118">
            <v>140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</v>
          </cell>
          <cell r="U118">
            <v>27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6</v>
          </cell>
          <cell r="AA118">
            <v>990</v>
          </cell>
          <cell r="AB118">
            <v>1650</v>
          </cell>
          <cell r="AC118">
            <v>0</v>
          </cell>
          <cell r="AD118">
            <v>1650</v>
          </cell>
          <cell r="AE118">
            <v>0</v>
          </cell>
          <cell r="AF118">
            <v>22</v>
          </cell>
          <cell r="AG118">
            <v>0.6</v>
          </cell>
        </row>
        <row r="119">
          <cell r="B119">
            <v>242201670</v>
          </cell>
          <cell r="C119" t="str">
            <v xml:space="preserve"> 1109</v>
          </cell>
          <cell r="D119" t="str">
            <v>INMOVILIZADOR DE HOMBRO DAMA  Talla M Marca Sanavit x Und</v>
          </cell>
          <cell r="E119" t="str">
            <v>SANAVIT</v>
          </cell>
          <cell r="F119" t="str">
            <v/>
          </cell>
          <cell r="G119" t="str">
            <v/>
          </cell>
          <cell r="H119" t="str">
            <v/>
          </cell>
          <cell r="I119" t="str">
            <v>UND</v>
          </cell>
          <cell r="J119">
            <v>1</v>
          </cell>
          <cell r="K119">
            <v>1</v>
          </cell>
          <cell r="L119" t="str">
            <v>C</v>
          </cell>
          <cell r="M119">
            <v>56</v>
          </cell>
          <cell r="N119" t="str">
            <v>C</v>
          </cell>
          <cell r="O119">
            <v>98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5</v>
          </cell>
          <cell r="U119">
            <v>6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5</v>
          </cell>
          <cell r="AA119">
            <v>990</v>
          </cell>
          <cell r="AB119">
            <v>1650</v>
          </cell>
          <cell r="AC119">
            <v>0</v>
          </cell>
          <cell r="AD119">
            <v>1650</v>
          </cell>
          <cell r="AE119">
            <v>0</v>
          </cell>
          <cell r="AF119">
            <v>22</v>
          </cell>
          <cell r="AG119">
            <v>0.6</v>
          </cell>
        </row>
        <row r="120">
          <cell r="B120">
            <v>242201305</v>
          </cell>
          <cell r="C120" t="str">
            <v>7455610</v>
          </cell>
          <cell r="D120" t="str">
            <v>INMOVILIZADOR DE HOMBRO UMERUS AIR Talla S - Marca BSN Medical x Und</v>
          </cell>
          <cell r="E120" t="str">
            <v>BSN MEDICAL</v>
          </cell>
          <cell r="F120" t="str">
            <v/>
          </cell>
          <cell r="G120" t="str">
            <v>TRAUMATOLOGIA INMOVILIZADOR HOMBRO</v>
          </cell>
          <cell r="H120" t="str">
            <v/>
          </cell>
          <cell r="I120" t="str">
            <v>UND</v>
          </cell>
          <cell r="J120">
            <v>1</v>
          </cell>
          <cell r="K120">
            <v>1</v>
          </cell>
          <cell r="L120" t="str">
            <v>C</v>
          </cell>
          <cell r="M120">
            <v>305</v>
          </cell>
          <cell r="N120" t="str">
            <v>C</v>
          </cell>
          <cell r="O120">
            <v>259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</v>
          </cell>
          <cell r="U120">
            <v>38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710.52750000000003</v>
          </cell>
          <cell r="AB120">
            <v>1015.04</v>
          </cell>
          <cell r="AC120">
            <v>0</v>
          </cell>
          <cell r="AD120">
            <v>1015.04</v>
          </cell>
          <cell r="AE120">
            <v>0</v>
          </cell>
          <cell r="AF120">
            <v>15.7895</v>
          </cell>
          <cell r="AG120">
            <v>0.7</v>
          </cell>
        </row>
        <row r="121">
          <cell r="B121">
            <v>242201317</v>
          </cell>
          <cell r="C121" t="str">
            <v>1115</v>
          </cell>
          <cell r="D121" t="str">
            <v>INMOVILIZADOR DE RODILLA 20" L - Marca Sanavit x Und</v>
          </cell>
          <cell r="E121" t="str">
            <v>SANAVIT</v>
          </cell>
          <cell r="F121" t="str">
            <v/>
          </cell>
          <cell r="G121" t="str">
            <v>TRAUMATOLOGIA INMOVILIZADOR RODILLA</v>
          </cell>
          <cell r="H121" t="str">
            <v/>
          </cell>
          <cell r="I121" t="str">
            <v>UND</v>
          </cell>
          <cell r="J121">
            <v>1</v>
          </cell>
          <cell r="K121">
            <v>1</v>
          </cell>
          <cell r="L121" t="str">
            <v>C</v>
          </cell>
          <cell r="M121">
            <v>80</v>
          </cell>
          <cell r="N121" t="str">
            <v>C</v>
          </cell>
          <cell r="O121">
            <v>193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5</v>
          </cell>
          <cell r="U121">
            <v>4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5</v>
          </cell>
          <cell r="AA121">
            <v>1305</v>
          </cell>
          <cell r="AB121">
            <v>2175</v>
          </cell>
          <cell r="AC121">
            <v>0</v>
          </cell>
          <cell r="AD121">
            <v>2175</v>
          </cell>
          <cell r="AE121">
            <v>0</v>
          </cell>
          <cell r="AF121">
            <v>29</v>
          </cell>
          <cell r="AG121">
            <v>0.6</v>
          </cell>
        </row>
        <row r="122">
          <cell r="B122">
            <v>242201316</v>
          </cell>
          <cell r="C122" t="str">
            <v xml:space="preserve">  1115</v>
          </cell>
          <cell r="D122" t="str">
            <v>INMOVILIZADOR DE RODILLA 20" M - Marca Sanavit x Und</v>
          </cell>
          <cell r="E122" t="str">
            <v>SANAVIT</v>
          </cell>
          <cell r="F122" t="str">
            <v/>
          </cell>
          <cell r="G122" t="str">
            <v>TRAUMATOLOGIA INMOVILIZADOR RODILLA</v>
          </cell>
          <cell r="H122" t="str">
            <v/>
          </cell>
          <cell r="I122" t="str">
            <v>UND</v>
          </cell>
          <cell r="J122">
            <v>1</v>
          </cell>
          <cell r="K122">
            <v>1</v>
          </cell>
          <cell r="L122" t="str">
            <v>C</v>
          </cell>
          <cell r="M122">
            <v>129</v>
          </cell>
          <cell r="N122" t="str">
            <v>C</v>
          </cell>
          <cell r="O122">
            <v>200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5</v>
          </cell>
          <cell r="U122">
            <v>5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5</v>
          </cell>
          <cell r="AA122">
            <v>1305</v>
          </cell>
          <cell r="AB122">
            <v>2175</v>
          </cell>
          <cell r="AC122">
            <v>0</v>
          </cell>
          <cell r="AD122">
            <v>2175</v>
          </cell>
          <cell r="AE122">
            <v>0</v>
          </cell>
          <cell r="AF122">
            <v>29</v>
          </cell>
          <cell r="AG122">
            <v>0.6</v>
          </cell>
        </row>
        <row r="123">
          <cell r="B123">
            <v>242201315</v>
          </cell>
          <cell r="C123" t="str">
            <v xml:space="preserve">  1115</v>
          </cell>
          <cell r="D123" t="str">
            <v>INMOVILIZADOR DE RODILLA 20" S - Marca Sanavit x Und</v>
          </cell>
          <cell r="E123" t="str">
            <v>SANAVIT</v>
          </cell>
          <cell r="F123" t="str">
            <v/>
          </cell>
          <cell r="G123" t="str">
            <v>TRAUMATOLOGIA INMOVILIZADOR RODILLA</v>
          </cell>
          <cell r="H123" t="str">
            <v/>
          </cell>
          <cell r="I123" t="str">
            <v>UND</v>
          </cell>
          <cell r="J123">
            <v>1</v>
          </cell>
          <cell r="K123">
            <v>1</v>
          </cell>
          <cell r="L123" t="str">
            <v>C</v>
          </cell>
          <cell r="M123">
            <v>271</v>
          </cell>
          <cell r="N123" t="str">
            <v>C</v>
          </cell>
          <cell r="O123">
            <v>339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45</v>
          </cell>
          <cell r="U123">
            <v>1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11</v>
          </cell>
          <cell r="AA123">
            <v>1305</v>
          </cell>
          <cell r="AB123">
            <v>2175</v>
          </cell>
          <cell r="AC123">
            <v>0</v>
          </cell>
          <cell r="AD123">
            <v>2175</v>
          </cell>
          <cell r="AE123">
            <v>0</v>
          </cell>
          <cell r="AF123">
            <v>29</v>
          </cell>
          <cell r="AG123">
            <v>0.6</v>
          </cell>
        </row>
        <row r="124">
          <cell r="B124">
            <v>242201321</v>
          </cell>
          <cell r="C124" t="str">
            <v>1116</v>
          </cell>
          <cell r="D124" t="str">
            <v>INMOVILIZADOR DE RODILLA 24" L - Marca Sanavit x Und</v>
          </cell>
          <cell r="E124" t="str">
            <v>SANAVIT</v>
          </cell>
          <cell r="F124" t="str">
            <v/>
          </cell>
          <cell r="G124" t="str">
            <v>TRAUMATOLOGIA INMOVILIZADOR RODILLA</v>
          </cell>
          <cell r="H124" t="str">
            <v/>
          </cell>
          <cell r="I124" t="str">
            <v>UND</v>
          </cell>
          <cell r="J124">
            <v>1</v>
          </cell>
          <cell r="K124">
            <v>1</v>
          </cell>
          <cell r="L124" t="str">
            <v>C</v>
          </cell>
          <cell r="M124">
            <v>122</v>
          </cell>
          <cell r="N124" t="str">
            <v>C</v>
          </cell>
          <cell r="O124">
            <v>175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46</v>
          </cell>
          <cell r="U124">
            <v>7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13</v>
          </cell>
          <cell r="AA124">
            <v>1530</v>
          </cell>
          <cell r="AB124">
            <v>2550</v>
          </cell>
          <cell r="AC124">
            <v>0</v>
          </cell>
          <cell r="AD124">
            <v>2550</v>
          </cell>
          <cell r="AE124">
            <v>0</v>
          </cell>
          <cell r="AF124">
            <v>34</v>
          </cell>
          <cell r="AG124">
            <v>0.6</v>
          </cell>
        </row>
        <row r="125">
          <cell r="B125">
            <v>242201320</v>
          </cell>
          <cell r="C125" t="str">
            <v>1116</v>
          </cell>
          <cell r="D125" t="str">
            <v>INMOVILIZADOR DE RODILLA 24" M - Marca Sanavit x Und</v>
          </cell>
          <cell r="E125" t="str">
            <v>SANAVIT</v>
          </cell>
          <cell r="F125" t="str">
            <v/>
          </cell>
          <cell r="G125" t="str">
            <v>TRAUMATOLOGIA INMOVILIZADOR RODILLA</v>
          </cell>
          <cell r="H125" t="str">
            <v/>
          </cell>
          <cell r="I125" t="str">
            <v>UND</v>
          </cell>
          <cell r="J125">
            <v>1</v>
          </cell>
          <cell r="K125">
            <v>1</v>
          </cell>
          <cell r="L125" t="str">
            <v>C</v>
          </cell>
          <cell r="M125">
            <v>29</v>
          </cell>
          <cell r="N125" t="str">
            <v>C</v>
          </cell>
          <cell r="O125">
            <v>220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305</v>
          </cell>
          <cell r="U125">
            <v>2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10</v>
          </cell>
          <cell r="AA125">
            <v>1530</v>
          </cell>
          <cell r="AB125">
            <v>2550</v>
          </cell>
          <cell r="AC125">
            <v>0</v>
          </cell>
          <cell r="AD125">
            <v>2550</v>
          </cell>
          <cell r="AE125">
            <v>0</v>
          </cell>
          <cell r="AF125">
            <v>34</v>
          </cell>
          <cell r="AG125">
            <v>0.6</v>
          </cell>
        </row>
        <row r="126">
          <cell r="B126">
            <v>242201323</v>
          </cell>
          <cell r="C126" t="str">
            <v>1116</v>
          </cell>
          <cell r="D126" t="str">
            <v>INMOVILIZADOR DE RODILLA 24" XL - Marca Sanavit x Und</v>
          </cell>
          <cell r="E126" t="str">
            <v>SANAVIT</v>
          </cell>
          <cell r="F126" t="str">
            <v/>
          </cell>
          <cell r="G126" t="str">
            <v>TRAUMATOLOGIA INMOVILIZADOR RODILLA</v>
          </cell>
          <cell r="H126" t="str">
            <v/>
          </cell>
          <cell r="I126" t="str">
            <v>UND</v>
          </cell>
          <cell r="J126">
            <v>1</v>
          </cell>
          <cell r="K126">
            <v>1</v>
          </cell>
          <cell r="L126" t="str">
            <v>C</v>
          </cell>
          <cell r="M126">
            <v>325</v>
          </cell>
          <cell r="N126" t="str">
            <v>C</v>
          </cell>
          <cell r="O126">
            <v>378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5</v>
          </cell>
          <cell r="U126">
            <v>4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1530</v>
          </cell>
          <cell r="AB126">
            <v>2550</v>
          </cell>
          <cell r="AC126">
            <v>0</v>
          </cell>
          <cell r="AD126">
            <v>2550</v>
          </cell>
          <cell r="AE126">
            <v>0</v>
          </cell>
          <cell r="AF126">
            <v>34</v>
          </cell>
          <cell r="AG126">
            <v>0.6</v>
          </cell>
        </row>
        <row r="127">
          <cell r="B127">
            <v>242201612</v>
          </cell>
          <cell r="C127" t="str">
            <v>7281981</v>
          </cell>
          <cell r="D127" t="str">
            <v>INMOVILIZADOR TIPO BOTA TALLA L - Marca BSN Medical x Und</v>
          </cell>
          <cell r="E127" t="str">
            <v>BSN MEDICAL</v>
          </cell>
          <cell r="F127" t="str">
            <v/>
          </cell>
          <cell r="G127" t="str">
            <v>TRAUMATOLOGIA INMOVILIZADOR BOTA</v>
          </cell>
          <cell r="H127" t="str">
            <v/>
          </cell>
          <cell r="I127" t="str">
            <v>CJX4</v>
          </cell>
          <cell r="J127">
            <v>1</v>
          </cell>
          <cell r="K127">
            <v>1</v>
          </cell>
          <cell r="L127" t="str">
            <v>C</v>
          </cell>
          <cell r="M127">
            <v>110</v>
          </cell>
          <cell r="N127" t="str">
            <v>C</v>
          </cell>
          <cell r="O127">
            <v>150</v>
          </cell>
          <cell r="P127">
            <v>0</v>
          </cell>
          <cell r="Q127">
            <v>8</v>
          </cell>
          <cell r="R127">
            <v>8</v>
          </cell>
          <cell r="S127">
            <v>0</v>
          </cell>
          <cell r="T127">
            <v>5</v>
          </cell>
          <cell r="U127">
            <v>1</v>
          </cell>
          <cell r="V127">
            <v>0</v>
          </cell>
          <cell r="W127">
            <v>0</v>
          </cell>
          <cell r="X127">
            <v>0</v>
          </cell>
          <cell r="Y127">
            <v>8</v>
          </cell>
          <cell r="Z127">
            <v>36</v>
          </cell>
          <cell r="AA127">
            <v>2488.5</v>
          </cell>
          <cell r="AB127">
            <v>3555</v>
          </cell>
          <cell r="AC127">
            <v>0</v>
          </cell>
          <cell r="AD127">
            <v>3555</v>
          </cell>
          <cell r="AE127">
            <v>0</v>
          </cell>
          <cell r="AF127">
            <v>55.3</v>
          </cell>
          <cell r="AG127">
            <v>0.7</v>
          </cell>
        </row>
        <row r="128">
          <cell r="B128">
            <v>242350810</v>
          </cell>
          <cell r="C128" t="str">
            <v/>
          </cell>
          <cell r="D128" t="str">
            <v>INT.PERCUT 8.5 FRX10 SI-09806 P/SWAN GANZ</v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>UND</v>
          </cell>
          <cell r="J128">
            <v>1</v>
          </cell>
          <cell r="K128">
            <v>1</v>
          </cell>
          <cell r="L128" t="str">
            <v>C</v>
          </cell>
          <cell r="M128">
            <v>100</v>
          </cell>
          <cell r="N128" t="str">
            <v>C</v>
          </cell>
          <cell r="O128">
            <v>182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5</v>
          </cell>
          <cell r="U128">
            <v>4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>
            <v>4500</v>
          </cell>
          <cell r="AB128">
            <v>6428.57</v>
          </cell>
          <cell r="AC128">
            <v>0</v>
          </cell>
          <cell r="AD128">
            <v>6428.57</v>
          </cell>
          <cell r="AE128">
            <v>0</v>
          </cell>
          <cell r="AF128">
            <v>100</v>
          </cell>
          <cell r="AG128">
            <v>0.7</v>
          </cell>
        </row>
        <row r="129">
          <cell r="B129">
            <v>252100244</v>
          </cell>
          <cell r="C129" t="str">
            <v/>
          </cell>
          <cell r="D129" t="str">
            <v>JERINGA   3 ML 21 x 1 1/2 Marca Diphocare x Und</v>
          </cell>
          <cell r="E129" t="str">
            <v>ECOMED</v>
          </cell>
          <cell r="F129" t="str">
            <v/>
          </cell>
          <cell r="G129" t="str">
            <v/>
          </cell>
          <cell r="H129" t="str">
            <v/>
          </cell>
          <cell r="I129" t="str">
            <v>CJX100</v>
          </cell>
          <cell r="J129">
            <v>100</v>
          </cell>
          <cell r="K129">
            <v>1</v>
          </cell>
          <cell r="L129" t="str">
            <v>C</v>
          </cell>
          <cell r="M129">
            <v>389</v>
          </cell>
          <cell r="N129" t="str">
            <v>C</v>
          </cell>
          <cell r="O129">
            <v>191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238</v>
          </cell>
          <cell r="U129">
            <v>6900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3000</v>
          </cell>
          <cell r="AA129">
            <v>1.9530000000000001</v>
          </cell>
          <cell r="AB129">
            <v>2.44</v>
          </cell>
          <cell r="AC129">
            <v>0</v>
          </cell>
          <cell r="AD129">
            <v>2.44</v>
          </cell>
          <cell r="AE129">
            <v>0</v>
          </cell>
          <cell r="AF129">
            <v>4.3400000000000001E-2</v>
          </cell>
          <cell r="AG129">
            <v>0.8</v>
          </cell>
        </row>
        <row r="130">
          <cell r="B130">
            <v>252100107</v>
          </cell>
          <cell r="C130" t="str">
            <v/>
          </cell>
          <cell r="D130" t="str">
            <v>JERINGA   5 ML 21 x 1 1/2 Marca Diphocare x Und</v>
          </cell>
          <cell r="E130" t="str">
            <v>DIPHOSYC</v>
          </cell>
          <cell r="F130" t="str">
            <v/>
          </cell>
          <cell r="G130" t="str">
            <v>JERINGAS 5ML</v>
          </cell>
          <cell r="H130" t="str">
            <v/>
          </cell>
          <cell r="I130" t="str">
            <v>CJX100</v>
          </cell>
          <cell r="J130">
            <v>100</v>
          </cell>
          <cell r="K130">
            <v>1</v>
          </cell>
          <cell r="L130" t="str">
            <v>C</v>
          </cell>
          <cell r="M130">
            <v>425</v>
          </cell>
          <cell r="N130" t="str">
            <v>C</v>
          </cell>
          <cell r="O130">
            <v>106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238</v>
          </cell>
          <cell r="U130">
            <v>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3500</v>
          </cell>
          <cell r="AA130">
            <v>1.9710000000000001</v>
          </cell>
          <cell r="AB130">
            <v>2.4700000000000002</v>
          </cell>
          <cell r="AC130">
            <v>0</v>
          </cell>
          <cell r="AD130">
            <v>2.4700000000000002</v>
          </cell>
          <cell r="AE130">
            <v>0</v>
          </cell>
          <cell r="AF130">
            <v>4.3799999999999999E-2</v>
          </cell>
          <cell r="AG130">
            <v>0.8</v>
          </cell>
        </row>
        <row r="131">
          <cell r="B131">
            <v>252100206</v>
          </cell>
          <cell r="C131" t="str">
            <v>MSS011</v>
          </cell>
          <cell r="D131" t="str">
            <v>JERINGA 1 cc C/ROSCA MARCA MERITMEDICAL x Und</v>
          </cell>
          <cell r="E131" t="str">
            <v>GROSSMED</v>
          </cell>
          <cell r="F131" t="str">
            <v/>
          </cell>
          <cell r="G131" t="str">
            <v>JERINGAS INSULINA</v>
          </cell>
          <cell r="H131" t="str">
            <v/>
          </cell>
          <cell r="I131" t="str">
            <v>CJX25</v>
          </cell>
          <cell r="J131">
            <v>25</v>
          </cell>
          <cell r="K131">
            <v>1</v>
          </cell>
          <cell r="L131" t="str">
            <v>C</v>
          </cell>
          <cell r="M131">
            <v>397</v>
          </cell>
          <cell r="N131" t="str">
            <v>C</v>
          </cell>
          <cell r="O131">
            <v>392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317</v>
          </cell>
          <cell r="U131">
            <v>50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133.65</v>
          </cell>
          <cell r="AB131">
            <v>167.06</v>
          </cell>
          <cell r="AC131">
            <v>0</v>
          </cell>
          <cell r="AD131">
            <v>167.06</v>
          </cell>
          <cell r="AE131">
            <v>0</v>
          </cell>
          <cell r="AF131">
            <v>2.97</v>
          </cell>
          <cell r="AG131">
            <v>0.8</v>
          </cell>
        </row>
        <row r="132">
          <cell r="B132">
            <v>252100233</v>
          </cell>
          <cell r="C132" t="str">
            <v/>
          </cell>
          <cell r="D132" t="str">
            <v>JERINGA 10 ML 21 x 1 1/2 Marca Diphocare x Und</v>
          </cell>
          <cell r="E132" t="str">
            <v>DIPHOSYC</v>
          </cell>
          <cell r="F132" t="str">
            <v/>
          </cell>
          <cell r="G132" t="str">
            <v>JERINGAS 10ML</v>
          </cell>
          <cell r="H132" t="str">
            <v/>
          </cell>
          <cell r="I132" t="str">
            <v>CJX100</v>
          </cell>
          <cell r="J132">
            <v>100</v>
          </cell>
          <cell r="K132">
            <v>1</v>
          </cell>
          <cell r="L132" t="str">
            <v>C</v>
          </cell>
          <cell r="M132">
            <v>426</v>
          </cell>
          <cell r="N132" t="str">
            <v>C</v>
          </cell>
          <cell r="O132">
            <v>56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238</v>
          </cell>
          <cell r="U132">
            <v>4000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900</v>
          </cell>
          <cell r="AA132">
            <v>3.0825</v>
          </cell>
          <cell r="AB132">
            <v>3.85</v>
          </cell>
          <cell r="AC132">
            <v>0</v>
          </cell>
          <cell r="AD132">
            <v>3.85</v>
          </cell>
          <cell r="AE132">
            <v>0</v>
          </cell>
          <cell r="AF132">
            <v>6.8500000000000005E-2</v>
          </cell>
          <cell r="AG132">
            <v>0.8</v>
          </cell>
        </row>
        <row r="133">
          <cell r="B133">
            <v>252100120</v>
          </cell>
          <cell r="C133" t="str">
            <v/>
          </cell>
          <cell r="D133" t="str">
            <v>JERINGA 20 ML 21 x 1 1/2 Marca Diphocare x Und</v>
          </cell>
          <cell r="E133" t="str">
            <v>DIPHOSYC</v>
          </cell>
          <cell r="F133" t="str">
            <v/>
          </cell>
          <cell r="G133" t="str">
            <v>JERINGAS 20ML</v>
          </cell>
          <cell r="H133" t="str">
            <v/>
          </cell>
          <cell r="I133" t="str">
            <v>CJX50</v>
          </cell>
          <cell r="J133">
            <v>50</v>
          </cell>
          <cell r="K133">
            <v>1</v>
          </cell>
          <cell r="L133" t="str">
            <v>C</v>
          </cell>
          <cell r="M133">
            <v>287</v>
          </cell>
          <cell r="N133" t="str">
            <v>C</v>
          </cell>
          <cell r="O133">
            <v>245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238</v>
          </cell>
          <cell r="U133">
            <v>2650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600</v>
          </cell>
          <cell r="AA133">
            <v>4.6215000000000002</v>
          </cell>
          <cell r="AB133">
            <v>5.78</v>
          </cell>
          <cell r="AC133">
            <v>0</v>
          </cell>
          <cell r="AD133">
            <v>5.78</v>
          </cell>
          <cell r="AE133">
            <v>0</v>
          </cell>
          <cell r="AF133">
            <v>0.1027</v>
          </cell>
          <cell r="AG133">
            <v>0.8</v>
          </cell>
        </row>
        <row r="134">
          <cell r="B134">
            <v>252100306</v>
          </cell>
          <cell r="C134" t="str">
            <v>SY60WN</v>
          </cell>
          <cell r="D134" t="str">
            <v>JERINGA 60 ML CON ROSCA Marca Rospital x Und</v>
          </cell>
          <cell r="E134" t="str">
            <v>ROSPITAL</v>
          </cell>
          <cell r="F134" t="str">
            <v/>
          </cell>
          <cell r="G134" t="str">
            <v>JERINGAS 60ML</v>
          </cell>
          <cell r="H134" t="str">
            <v/>
          </cell>
          <cell r="I134" t="str">
            <v>CJX25</v>
          </cell>
          <cell r="J134">
            <v>25</v>
          </cell>
          <cell r="K134">
            <v>1</v>
          </cell>
          <cell r="L134" t="str">
            <v>C</v>
          </cell>
          <cell r="M134">
            <v>218</v>
          </cell>
          <cell r="N134" t="str">
            <v>B</v>
          </cell>
          <cell r="O134">
            <v>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25</v>
          </cell>
          <cell r="U134">
            <v>3150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1825</v>
          </cell>
          <cell r="AA134">
            <v>24.3</v>
          </cell>
          <cell r="AB134">
            <v>30.38</v>
          </cell>
          <cell r="AC134">
            <v>0</v>
          </cell>
          <cell r="AD134">
            <v>30.38</v>
          </cell>
          <cell r="AE134">
            <v>0</v>
          </cell>
          <cell r="AF134">
            <v>0.54</v>
          </cell>
          <cell r="AG134">
            <v>0.8</v>
          </cell>
        </row>
        <row r="135">
          <cell r="B135">
            <v>252100502</v>
          </cell>
          <cell r="C135" t="str">
            <v/>
          </cell>
          <cell r="D135" t="str">
            <v>JERINGA 60 ML TIPO TOMMY Marca GROSSMED x Und</v>
          </cell>
          <cell r="E135" t="str">
            <v>GROSSMED</v>
          </cell>
          <cell r="F135" t="str">
            <v/>
          </cell>
          <cell r="G135" t="str">
            <v>JERINGAS TOMMY</v>
          </cell>
          <cell r="H135" t="str">
            <v/>
          </cell>
          <cell r="I135" t="str">
            <v>CJX20</v>
          </cell>
          <cell r="J135">
            <v>1</v>
          </cell>
          <cell r="K135">
            <v>1</v>
          </cell>
          <cell r="L135" t="str">
            <v>C</v>
          </cell>
          <cell r="M135">
            <v>239</v>
          </cell>
          <cell r="N135" t="str">
            <v>C</v>
          </cell>
          <cell r="O135">
            <v>85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5</v>
          </cell>
          <cell r="U135">
            <v>420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141</v>
          </cell>
          <cell r="AA135">
            <v>19.350000000000001</v>
          </cell>
          <cell r="AB135">
            <v>27.64</v>
          </cell>
          <cell r="AC135">
            <v>0</v>
          </cell>
          <cell r="AD135">
            <v>27.64</v>
          </cell>
          <cell r="AE135">
            <v>0</v>
          </cell>
          <cell r="AF135">
            <v>0.43</v>
          </cell>
          <cell r="AG135">
            <v>0.7</v>
          </cell>
        </row>
        <row r="136">
          <cell r="B136">
            <v>252100503</v>
          </cell>
          <cell r="C136" t="str">
            <v/>
          </cell>
          <cell r="D136" t="str">
            <v>JERINGA DE ASEPTO BULBO Marca Amsino (REF.AS011) x Und</v>
          </cell>
          <cell r="E136" t="str">
            <v>AMSINO</v>
          </cell>
          <cell r="F136" t="str">
            <v/>
          </cell>
          <cell r="G136" t="str">
            <v/>
          </cell>
          <cell r="H136" t="str">
            <v/>
          </cell>
          <cell r="I136" t="str">
            <v>CJX50</v>
          </cell>
          <cell r="J136">
            <v>1</v>
          </cell>
          <cell r="K136">
            <v>1</v>
          </cell>
          <cell r="L136" t="str">
            <v>C</v>
          </cell>
          <cell r="M136">
            <v>22</v>
          </cell>
          <cell r="N136" t="str">
            <v>C</v>
          </cell>
          <cell r="O136">
            <v>173</v>
          </cell>
          <cell r="P136">
            <v>0</v>
          </cell>
          <cell r="Q136">
            <v>100</v>
          </cell>
          <cell r="R136">
            <v>100</v>
          </cell>
          <cell r="S136">
            <v>0</v>
          </cell>
          <cell r="T136">
            <v>5</v>
          </cell>
          <cell r="U136">
            <v>357</v>
          </cell>
          <cell r="V136">
            <v>0</v>
          </cell>
          <cell r="W136">
            <v>0</v>
          </cell>
          <cell r="X136">
            <v>0</v>
          </cell>
          <cell r="Y136">
            <v>200</v>
          </cell>
          <cell r="Z136">
            <v>200</v>
          </cell>
          <cell r="AA136">
            <v>63.45</v>
          </cell>
          <cell r="AB136">
            <v>105.75</v>
          </cell>
          <cell r="AC136">
            <v>0</v>
          </cell>
          <cell r="AD136">
            <v>105.75</v>
          </cell>
          <cell r="AE136">
            <v>0</v>
          </cell>
          <cell r="AF136">
            <v>1.41</v>
          </cell>
          <cell r="AG136">
            <v>0.6</v>
          </cell>
        </row>
        <row r="137">
          <cell r="B137">
            <v>252100129</v>
          </cell>
          <cell r="C137" t="str">
            <v/>
          </cell>
          <cell r="D137" t="str">
            <v>JERINGA INSULINA 1 ML 27G x 1/2G Marca Diphocare^Presentación caja x 100 Unds.</v>
          </cell>
          <cell r="E137" t="str">
            <v>DIPHOSYC</v>
          </cell>
          <cell r="F137" t="str">
            <v/>
          </cell>
          <cell r="G137" t="str">
            <v>JERINGAS VIDRIO</v>
          </cell>
          <cell r="H137" t="str">
            <v/>
          </cell>
          <cell r="I137" t="str">
            <v>CJX100</v>
          </cell>
          <cell r="J137">
            <v>100</v>
          </cell>
          <cell r="K137">
            <v>1</v>
          </cell>
          <cell r="L137" t="str">
            <v>C</v>
          </cell>
          <cell r="M137">
            <v>396</v>
          </cell>
          <cell r="N137" t="str">
            <v>C</v>
          </cell>
          <cell r="O137">
            <v>255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154</v>
          </cell>
          <cell r="U137">
            <v>1800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1300</v>
          </cell>
          <cell r="AA137">
            <v>1.9215</v>
          </cell>
          <cell r="AB137">
            <v>2.4</v>
          </cell>
          <cell r="AC137">
            <v>0</v>
          </cell>
          <cell r="AD137">
            <v>2.4</v>
          </cell>
          <cell r="AE137">
            <v>0</v>
          </cell>
          <cell r="AF137">
            <v>4.2700000000000002E-2</v>
          </cell>
          <cell r="AG137">
            <v>0.8</v>
          </cell>
        </row>
        <row r="138">
          <cell r="B138">
            <v>242351202</v>
          </cell>
          <cell r="C138" t="str">
            <v/>
          </cell>
          <cell r="D138" t="str">
            <v>KIT DE PIERNERAS Marca Medic-Art x Par</v>
          </cell>
          <cell r="E138" t="str">
            <v>MEDIC-ART</v>
          </cell>
          <cell r="F138" t="str">
            <v/>
          </cell>
          <cell r="G138" t="str">
            <v/>
          </cell>
          <cell r="H138" t="str">
            <v/>
          </cell>
          <cell r="I138" t="str">
            <v>BTOX50</v>
          </cell>
          <cell r="J138">
            <v>1</v>
          </cell>
          <cell r="K138">
            <v>1</v>
          </cell>
          <cell r="L138" t="str">
            <v>C</v>
          </cell>
          <cell r="M138">
            <v>384</v>
          </cell>
          <cell r="N138" t="str">
            <v>C</v>
          </cell>
          <cell r="O138">
            <v>283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5</v>
          </cell>
          <cell r="U138">
            <v>54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100</v>
          </cell>
          <cell r="AA138">
            <v>96.3</v>
          </cell>
          <cell r="AB138">
            <v>128.4</v>
          </cell>
          <cell r="AC138">
            <v>0</v>
          </cell>
          <cell r="AD138">
            <v>128.4</v>
          </cell>
          <cell r="AE138">
            <v>0</v>
          </cell>
          <cell r="AF138">
            <v>2.14</v>
          </cell>
          <cell r="AG138">
            <v>0.75</v>
          </cell>
        </row>
        <row r="139">
          <cell r="B139">
            <v>242460114</v>
          </cell>
          <cell r="C139" t="str">
            <v/>
          </cell>
          <cell r="D139" t="str">
            <v>KIT p/ PACIENTE ( Bata-Gorro-C Bota) (Tela SMS 40grs) Marca Dexx Medical x Und</v>
          </cell>
          <cell r="E139" t="str">
            <v>SERIS</v>
          </cell>
          <cell r="F139" t="str">
            <v/>
          </cell>
          <cell r="G139" t="str">
            <v>LENCERIA KIT DE PACIENTE</v>
          </cell>
          <cell r="H139" t="str">
            <v/>
          </cell>
          <cell r="I139" t="str">
            <v>BTOX50</v>
          </cell>
          <cell r="J139">
            <v>1</v>
          </cell>
          <cell r="K139">
            <v>1</v>
          </cell>
          <cell r="L139" t="str">
            <v>C</v>
          </cell>
          <cell r="M139">
            <v>213</v>
          </cell>
          <cell r="N139" t="str">
            <v>C</v>
          </cell>
          <cell r="O139">
            <v>107</v>
          </cell>
          <cell r="P139">
            <v>0</v>
          </cell>
          <cell r="Q139">
            <v>1</v>
          </cell>
          <cell r="R139">
            <v>1</v>
          </cell>
          <cell r="S139">
            <v>0</v>
          </cell>
          <cell r="T139">
            <v>241</v>
          </cell>
          <cell r="U139">
            <v>184</v>
          </cell>
          <cell r="V139">
            <v>0</v>
          </cell>
          <cell r="W139">
            <v>0</v>
          </cell>
          <cell r="X139">
            <v>0</v>
          </cell>
          <cell r="Y139">
            <v>1</v>
          </cell>
          <cell r="Z139">
            <v>2500</v>
          </cell>
          <cell r="AA139">
            <v>31.05</v>
          </cell>
          <cell r="AB139">
            <v>38.81</v>
          </cell>
          <cell r="AC139">
            <v>0</v>
          </cell>
          <cell r="AD139">
            <v>38.81</v>
          </cell>
          <cell r="AE139">
            <v>0</v>
          </cell>
          <cell r="AF139">
            <v>0.69</v>
          </cell>
          <cell r="AG139">
            <v>0.8</v>
          </cell>
        </row>
        <row r="140">
          <cell r="B140">
            <v>242450106</v>
          </cell>
          <cell r="C140" t="str">
            <v>E2608-6</v>
          </cell>
          <cell r="D140" t="str">
            <v>LAPIZ SUCCION COAGULACION (Ref. E2608-6)  Marca Covidien x Und</v>
          </cell>
          <cell r="E140" t="str">
            <v>COVIDIEN</v>
          </cell>
          <cell r="F140" t="str">
            <v/>
          </cell>
          <cell r="G140" t="str">
            <v/>
          </cell>
          <cell r="H140" t="str">
            <v/>
          </cell>
          <cell r="I140" t="str">
            <v>UND</v>
          </cell>
          <cell r="J140">
            <v>1</v>
          </cell>
          <cell r="K140">
            <v>1</v>
          </cell>
          <cell r="L140" t="str">
            <v>C</v>
          </cell>
          <cell r="M140">
            <v>148</v>
          </cell>
          <cell r="N140" t="str">
            <v>C</v>
          </cell>
          <cell r="O140">
            <v>136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209</v>
          </cell>
          <cell r="U140">
            <v>26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30</v>
          </cell>
          <cell r="AA140">
            <v>562.5</v>
          </cell>
          <cell r="AB140">
            <v>937.5</v>
          </cell>
          <cell r="AC140">
            <v>0</v>
          </cell>
          <cell r="AD140">
            <v>937.5</v>
          </cell>
          <cell r="AE140">
            <v>0</v>
          </cell>
          <cell r="AF140">
            <v>12.5</v>
          </cell>
          <cell r="AG140">
            <v>0.6</v>
          </cell>
        </row>
        <row r="141">
          <cell r="B141">
            <v>242000502</v>
          </cell>
          <cell r="C141" t="str">
            <v/>
          </cell>
          <cell r="D141" t="str">
            <v>LLAVE DE TRES VIAS Marca DIPHOCARE x Und./\Presentacion Caja x 50 Unds.</v>
          </cell>
          <cell r="E141" t="str">
            <v>DIPHOSYC</v>
          </cell>
          <cell r="F141" t="str">
            <v/>
          </cell>
          <cell r="G141" t="str">
            <v>LLAVE LLAVES</v>
          </cell>
          <cell r="H141" t="str">
            <v/>
          </cell>
          <cell r="I141" t="str">
            <v>CJX50</v>
          </cell>
          <cell r="J141">
            <v>1</v>
          </cell>
          <cell r="K141">
            <v>1</v>
          </cell>
          <cell r="L141" t="str">
            <v>C</v>
          </cell>
          <cell r="M141">
            <v>277</v>
          </cell>
          <cell r="N141" t="str">
            <v>C</v>
          </cell>
          <cell r="O141">
            <v>54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115</v>
          </cell>
          <cell r="U141">
            <v>2000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900</v>
          </cell>
          <cell r="AA141">
            <v>7.65</v>
          </cell>
          <cell r="AB141">
            <v>12.75</v>
          </cell>
          <cell r="AC141">
            <v>0</v>
          </cell>
          <cell r="AD141">
            <v>12.75</v>
          </cell>
          <cell r="AE141">
            <v>0</v>
          </cell>
          <cell r="AF141">
            <v>0.17</v>
          </cell>
          <cell r="AG141">
            <v>0.60009999999999997</v>
          </cell>
        </row>
        <row r="142">
          <cell r="B142">
            <v>242001308</v>
          </cell>
          <cell r="C142" t="str">
            <v>DYNDTN1512</v>
          </cell>
          <cell r="D142" t="str">
            <v>MACROGOTERO 2 PUNTOS LIBRE DE AGUJA MEDLINE  x Und</v>
          </cell>
          <cell r="E142" t="str">
            <v>MEDLINE</v>
          </cell>
          <cell r="F142" t="str">
            <v/>
          </cell>
          <cell r="G142" t="str">
            <v/>
          </cell>
          <cell r="H142" t="str">
            <v/>
          </cell>
          <cell r="I142" t="str">
            <v>CJX50</v>
          </cell>
          <cell r="J142">
            <v>1</v>
          </cell>
          <cell r="K142">
            <v>1</v>
          </cell>
          <cell r="L142" t="str">
            <v>C</v>
          </cell>
          <cell r="M142">
            <v>141</v>
          </cell>
          <cell r="N142" t="str">
            <v>A</v>
          </cell>
          <cell r="O142">
            <v>4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5</v>
          </cell>
          <cell r="U142">
            <v>4220</v>
          </cell>
          <cell r="V142">
            <v>0</v>
          </cell>
          <cell r="W142">
            <v>1300</v>
          </cell>
          <cell r="X142">
            <v>0</v>
          </cell>
          <cell r="Y142">
            <v>0</v>
          </cell>
          <cell r="Z142">
            <v>2886</v>
          </cell>
          <cell r="AA142">
            <v>138.9375</v>
          </cell>
          <cell r="AB142">
            <v>173.67</v>
          </cell>
          <cell r="AC142">
            <v>0</v>
          </cell>
          <cell r="AD142">
            <v>173.67</v>
          </cell>
          <cell r="AE142">
            <v>0</v>
          </cell>
          <cell r="AF142">
            <v>3.0874999999999999</v>
          </cell>
          <cell r="AG142">
            <v>0.8</v>
          </cell>
        </row>
        <row r="143">
          <cell r="B143">
            <v>242000207</v>
          </cell>
          <cell r="C143" t="str">
            <v>S/REF</v>
          </cell>
          <cell r="D143" t="str">
            <v>MACROGOTERO EN Y Marca Grossmed x Und</v>
          </cell>
          <cell r="E143" t="str">
            <v>GROSSMED</v>
          </cell>
          <cell r="F143" t="str">
            <v/>
          </cell>
          <cell r="G143" t="str">
            <v/>
          </cell>
          <cell r="H143" t="str">
            <v/>
          </cell>
          <cell r="I143" t="str">
            <v>CJX25</v>
          </cell>
          <cell r="J143">
            <v>25</v>
          </cell>
          <cell r="K143">
            <v>1</v>
          </cell>
          <cell r="L143" t="str">
            <v>C</v>
          </cell>
          <cell r="M143">
            <v>323</v>
          </cell>
          <cell r="N143" t="str">
            <v>C</v>
          </cell>
          <cell r="O143">
            <v>86</v>
          </cell>
          <cell r="P143">
            <v>0</v>
          </cell>
          <cell r="Q143">
            <v>3500</v>
          </cell>
          <cell r="R143">
            <v>3500</v>
          </cell>
          <cell r="S143">
            <v>0</v>
          </cell>
          <cell r="T143">
            <v>5</v>
          </cell>
          <cell r="U143">
            <v>1875</v>
          </cell>
          <cell r="V143">
            <v>0</v>
          </cell>
          <cell r="W143">
            <v>0</v>
          </cell>
          <cell r="X143">
            <v>0</v>
          </cell>
          <cell r="Y143">
            <v>3500</v>
          </cell>
          <cell r="Z143">
            <v>3500</v>
          </cell>
          <cell r="AA143">
            <v>8.5500000000000007</v>
          </cell>
          <cell r="AB143">
            <v>10.69</v>
          </cell>
          <cell r="AC143">
            <v>0</v>
          </cell>
          <cell r="AD143">
            <v>10.69</v>
          </cell>
          <cell r="AE143">
            <v>0</v>
          </cell>
          <cell r="AF143">
            <v>0.19</v>
          </cell>
          <cell r="AG143">
            <v>0.8</v>
          </cell>
        </row>
        <row r="144">
          <cell r="B144">
            <v>243050101</v>
          </cell>
          <cell r="C144" t="str">
            <v>1682</v>
          </cell>
          <cell r="D144" t="str">
            <v>MANGUERA CORRUGADA Marca Huddson x 30 Metros</v>
          </cell>
          <cell r="E144" t="str">
            <v>HUDDSON</v>
          </cell>
          <cell r="F144" t="str">
            <v/>
          </cell>
          <cell r="G144" t="str">
            <v>MANGUERAS SUCCION 30MTS</v>
          </cell>
          <cell r="H144" t="str">
            <v/>
          </cell>
          <cell r="I144" t="str">
            <v>CJX30</v>
          </cell>
          <cell r="J144">
            <v>1</v>
          </cell>
          <cell r="K144">
            <v>1</v>
          </cell>
          <cell r="L144" t="str">
            <v>C</v>
          </cell>
          <cell r="M144">
            <v>211</v>
          </cell>
          <cell r="N144" t="str">
            <v>C</v>
          </cell>
          <cell r="O144">
            <v>116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5</v>
          </cell>
          <cell r="U144">
            <v>157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1680</v>
          </cell>
          <cell r="AA144">
            <v>1605.6</v>
          </cell>
          <cell r="AB144">
            <v>2140.8000000000002</v>
          </cell>
          <cell r="AC144">
            <v>0</v>
          </cell>
          <cell r="AD144">
            <v>2140.8000000000002</v>
          </cell>
          <cell r="AE144">
            <v>0</v>
          </cell>
          <cell r="AF144">
            <v>35.68</v>
          </cell>
          <cell r="AG144">
            <v>0.75</v>
          </cell>
        </row>
        <row r="145">
          <cell r="B145">
            <v>250600304</v>
          </cell>
          <cell r="C145" t="str">
            <v/>
          </cell>
          <cell r="D145" t="str">
            <v>MANGUERA NO CONDUCTIVA 6.35mm x 3.05 Mts. (Goma de Succion) - Marca Amsino</v>
          </cell>
          <cell r="E145" t="str">
            <v>CARDINAL HEALTH</v>
          </cell>
          <cell r="F145" t="str">
            <v/>
          </cell>
          <cell r="G145" t="str">
            <v/>
          </cell>
          <cell r="H145" t="str">
            <v/>
          </cell>
          <cell r="I145" t="str">
            <v>UND</v>
          </cell>
          <cell r="J145">
            <v>1</v>
          </cell>
          <cell r="K145">
            <v>1</v>
          </cell>
          <cell r="L145" t="str">
            <v>C</v>
          </cell>
          <cell r="M145">
            <v>304</v>
          </cell>
          <cell r="N145" t="str">
            <v>C</v>
          </cell>
          <cell r="O145">
            <v>258</v>
          </cell>
          <cell r="P145">
            <v>0</v>
          </cell>
          <cell r="Q145">
            <v>1</v>
          </cell>
          <cell r="R145">
            <v>1</v>
          </cell>
          <cell r="S145">
            <v>0</v>
          </cell>
          <cell r="T145">
            <v>257</v>
          </cell>
          <cell r="U145">
            <v>31</v>
          </cell>
          <cell r="V145">
            <v>0</v>
          </cell>
          <cell r="W145">
            <v>0</v>
          </cell>
          <cell r="X145">
            <v>0</v>
          </cell>
          <cell r="Y145">
            <v>1</v>
          </cell>
          <cell r="Z145">
            <v>3</v>
          </cell>
          <cell r="AA145">
            <v>140.73750000000001</v>
          </cell>
          <cell r="AB145">
            <v>187.65</v>
          </cell>
          <cell r="AC145">
            <v>0</v>
          </cell>
          <cell r="AD145">
            <v>187.65</v>
          </cell>
          <cell r="AE145">
            <v>0</v>
          </cell>
          <cell r="AF145">
            <v>3.1274999999999999</v>
          </cell>
          <cell r="AG145">
            <v>0.75</v>
          </cell>
        </row>
        <row r="146">
          <cell r="B146">
            <v>250600301</v>
          </cell>
          <cell r="C146" t="str">
            <v/>
          </cell>
          <cell r="D146" t="str">
            <v>MANGUERA NO CONDUCTIVA 7mm x 30 Mts./\(Goma de Succion - Precortado 1.8 Mts. C/ Conect.</v>
          </cell>
          <cell r="E146" t="str">
            <v>MCKESSON</v>
          </cell>
          <cell r="F146" t="str">
            <v/>
          </cell>
          <cell r="G146" t="str">
            <v>MANGUERAS SUCCION 30MTS</v>
          </cell>
          <cell r="H146" t="str">
            <v/>
          </cell>
          <cell r="I146" t="str">
            <v>UND</v>
          </cell>
          <cell r="J146">
            <v>1</v>
          </cell>
          <cell r="K146">
            <v>1</v>
          </cell>
          <cell r="L146" t="str">
            <v>C</v>
          </cell>
          <cell r="M146">
            <v>156</v>
          </cell>
          <cell r="N146" t="str">
            <v>C</v>
          </cell>
          <cell r="O146">
            <v>78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5</v>
          </cell>
          <cell r="U146">
            <v>81</v>
          </cell>
          <cell r="V146">
            <v>0</v>
          </cell>
          <cell r="W146">
            <v>6</v>
          </cell>
          <cell r="X146">
            <v>0</v>
          </cell>
          <cell r="Y146">
            <v>4</v>
          </cell>
          <cell r="Z146">
            <v>103</v>
          </cell>
          <cell r="AA146">
            <v>772.2</v>
          </cell>
          <cell r="AB146">
            <v>1029.5999999999999</v>
          </cell>
          <cell r="AC146">
            <v>0</v>
          </cell>
          <cell r="AD146">
            <v>1029.5999999999999</v>
          </cell>
          <cell r="AE146">
            <v>0</v>
          </cell>
          <cell r="AF146">
            <v>17.16</v>
          </cell>
          <cell r="AG146">
            <v>0.75</v>
          </cell>
        </row>
        <row r="147">
          <cell r="B147">
            <v>242350213</v>
          </cell>
          <cell r="C147" t="str">
            <v/>
          </cell>
          <cell r="D147" t="str">
            <v>MANOPLAS x Und</v>
          </cell>
          <cell r="E147" t="str">
            <v>DIASI</v>
          </cell>
          <cell r="F147" t="str">
            <v/>
          </cell>
          <cell r="G147" t="str">
            <v>LENCERIA MANOPLAS</v>
          </cell>
          <cell r="H147" t="str">
            <v/>
          </cell>
          <cell r="I147" t="str">
            <v>BTOX50</v>
          </cell>
          <cell r="J147">
            <v>1</v>
          </cell>
          <cell r="K147">
            <v>0</v>
          </cell>
          <cell r="L147" t="str">
            <v>C</v>
          </cell>
          <cell r="M147">
            <v>24</v>
          </cell>
          <cell r="N147" t="str">
            <v>C</v>
          </cell>
          <cell r="O147">
            <v>73</v>
          </cell>
          <cell r="P147">
            <v>0</v>
          </cell>
          <cell r="Q147">
            <v>20</v>
          </cell>
          <cell r="R147">
            <v>20</v>
          </cell>
          <cell r="S147">
            <v>0</v>
          </cell>
          <cell r="T147">
            <v>5</v>
          </cell>
          <cell r="U147">
            <v>4311</v>
          </cell>
          <cell r="V147">
            <v>0</v>
          </cell>
          <cell r="W147">
            <v>0</v>
          </cell>
          <cell r="X147">
            <v>0</v>
          </cell>
          <cell r="Y147">
            <v>20</v>
          </cell>
          <cell r="Z147">
            <v>2400</v>
          </cell>
          <cell r="AA147">
            <v>31.5</v>
          </cell>
          <cell r="AB147">
            <v>48.46</v>
          </cell>
          <cell r="AC147">
            <v>0</v>
          </cell>
          <cell r="AD147">
            <v>48.46</v>
          </cell>
          <cell r="AE147">
            <v>0</v>
          </cell>
          <cell r="AF147">
            <v>0.7</v>
          </cell>
          <cell r="AG147">
            <v>0.65</v>
          </cell>
        </row>
        <row r="148">
          <cell r="B148">
            <v>240650106</v>
          </cell>
          <cell r="C148" t="str">
            <v>DYNJSM01</v>
          </cell>
          <cell r="D148" t="str">
            <v>MARCADOR QUIRURGICO CON REGLA MEDLINE (REF.DYNJSM01) x Und</v>
          </cell>
          <cell r="E148" t="str">
            <v>MEDLINE</v>
          </cell>
          <cell r="F148" t="str">
            <v/>
          </cell>
          <cell r="G148" t="str">
            <v>MARCADOR QUIRURGICO MARCADOR QUIRURGICO</v>
          </cell>
          <cell r="H148" t="str">
            <v/>
          </cell>
          <cell r="I148" t="str">
            <v>CJX50</v>
          </cell>
          <cell r="J148">
            <v>1</v>
          </cell>
          <cell r="K148">
            <v>1</v>
          </cell>
          <cell r="L148" t="str">
            <v>C</v>
          </cell>
          <cell r="M148">
            <v>64</v>
          </cell>
          <cell r="N148" t="str">
            <v>C</v>
          </cell>
          <cell r="O148">
            <v>96</v>
          </cell>
          <cell r="P148">
            <v>0</v>
          </cell>
          <cell r="Q148">
            <v>486</v>
          </cell>
          <cell r="R148">
            <v>486</v>
          </cell>
          <cell r="S148">
            <v>0</v>
          </cell>
          <cell r="T148">
            <v>219</v>
          </cell>
          <cell r="U148">
            <v>860</v>
          </cell>
          <cell r="V148">
            <v>0</v>
          </cell>
          <cell r="W148">
            <v>0</v>
          </cell>
          <cell r="X148">
            <v>0</v>
          </cell>
          <cell r="Y148">
            <v>910</v>
          </cell>
          <cell r="Z148">
            <v>910</v>
          </cell>
          <cell r="AA148">
            <v>41.625</v>
          </cell>
          <cell r="AB148">
            <v>69.38</v>
          </cell>
          <cell r="AC148">
            <v>0</v>
          </cell>
          <cell r="AD148">
            <v>69.38</v>
          </cell>
          <cell r="AE148">
            <v>0</v>
          </cell>
          <cell r="AF148">
            <v>0.92500000000000004</v>
          </cell>
          <cell r="AG148">
            <v>0.6</v>
          </cell>
        </row>
        <row r="149">
          <cell r="B149">
            <v>240650207</v>
          </cell>
          <cell r="C149" t="str">
            <v/>
          </cell>
          <cell r="D149" t="str">
            <v>MARCADOR QUIRURGICO MINI SIN REGLA MC KENSSON (REF.19-1451) x Und</v>
          </cell>
          <cell r="E149" t="str">
            <v>MC KESSON</v>
          </cell>
          <cell r="F149" t="str">
            <v/>
          </cell>
          <cell r="G149" t="str">
            <v/>
          </cell>
          <cell r="H149" t="str">
            <v/>
          </cell>
          <cell r="I149" t="str">
            <v>CJX50</v>
          </cell>
          <cell r="J149">
            <v>1</v>
          </cell>
          <cell r="K149">
            <v>1</v>
          </cell>
          <cell r="L149" t="str">
            <v>C</v>
          </cell>
          <cell r="M149">
            <v>223</v>
          </cell>
          <cell r="N149" t="str">
            <v>C</v>
          </cell>
          <cell r="O149">
            <v>87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162</v>
          </cell>
          <cell r="U149">
            <v>291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190</v>
          </cell>
          <cell r="AA149">
            <v>29.25</v>
          </cell>
          <cell r="AB149">
            <v>30.79</v>
          </cell>
          <cell r="AC149">
            <v>0</v>
          </cell>
          <cell r="AD149">
            <v>30.79</v>
          </cell>
          <cell r="AE149">
            <v>0</v>
          </cell>
          <cell r="AF149">
            <v>0.65</v>
          </cell>
          <cell r="AG149">
            <v>0.95</v>
          </cell>
        </row>
        <row r="150">
          <cell r="B150">
            <v>243201204</v>
          </cell>
          <cell r="C150" t="str">
            <v>HCS4630</v>
          </cell>
          <cell r="D150" t="str">
            <v>MASCARA AEROSOL Marca medline x Und</v>
          </cell>
          <cell r="E150" t="str">
            <v>MEDLINE</v>
          </cell>
          <cell r="F150" t="str">
            <v/>
          </cell>
          <cell r="G150" t="str">
            <v>MASCARAS MICRO NEB ADULTO</v>
          </cell>
          <cell r="H150" t="str">
            <v/>
          </cell>
          <cell r="I150" t="str">
            <v>CJX50</v>
          </cell>
          <cell r="J150">
            <v>1</v>
          </cell>
          <cell r="K150">
            <v>1</v>
          </cell>
          <cell r="L150" t="str">
            <v>C</v>
          </cell>
          <cell r="M150">
            <v>381</v>
          </cell>
          <cell r="N150" t="str">
            <v>C</v>
          </cell>
          <cell r="O150">
            <v>226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5</v>
          </cell>
          <cell r="U150">
            <v>1136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1700</v>
          </cell>
          <cell r="AA150">
            <v>72</v>
          </cell>
          <cell r="AB150">
            <v>102.86</v>
          </cell>
          <cell r="AC150">
            <v>0</v>
          </cell>
          <cell r="AD150">
            <v>102.86</v>
          </cell>
          <cell r="AE150">
            <v>0</v>
          </cell>
          <cell r="AF150">
            <v>1.6</v>
          </cell>
          <cell r="AG150">
            <v>0.7</v>
          </cell>
        </row>
        <row r="151">
          <cell r="B151">
            <v>243050903</v>
          </cell>
          <cell r="C151" t="str">
            <v>HCS4640B</v>
          </cell>
          <cell r="D151" t="str">
            <v>MASCARA DE OXIGENO ADULTO C/RESERVORIO Marca Medline (Ref.HCS4640B) x Und</v>
          </cell>
          <cell r="E151" t="str">
            <v>MEDLINE</v>
          </cell>
          <cell r="F151" t="str">
            <v/>
          </cell>
          <cell r="G151" t="str">
            <v/>
          </cell>
          <cell r="H151" t="str">
            <v/>
          </cell>
          <cell r="I151" t="str">
            <v>CJX50</v>
          </cell>
          <cell r="J151">
            <v>1</v>
          </cell>
          <cell r="K151">
            <v>1</v>
          </cell>
          <cell r="L151" t="str">
            <v>C</v>
          </cell>
          <cell r="M151">
            <v>280</v>
          </cell>
          <cell r="N151" t="str">
            <v>C</v>
          </cell>
          <cell r="O151">
            <v>105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5</v>
          </cell>
          <cell r="U151">
            <v>853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100</v>
          </cell>
          <cell r="AA151">
            <v>88.65</v>
          </cell>
          <cell r="AB151">
            <v>126.64</v>
          </cell>
          <cell r="AC151">
            <v>0</v>
          </cell>
          <cell r="AD151">
            <v>126.64</v>
          </cell>
          <cell r="AE151">
            <v>0</v>
          </cell>
          <cell r="AF151">
            <v>1.97</v>
          </cell>
          <cell r="AG151">
            <v>0.7</v>
          </cell>
        </row>
        <row r="152">
          <cell r="B152">
            <v>243050403</v>
          </cell>
          <cell r="C152" t="str">
            <v>HCS4600B</v>
          </cell>
          <cell r="D152" t="str">
            <v>MASCARA DE OXIGENO ADULTO MEDLINE (Ref.HCS4600B) x Und</v>
          </cell>
          <cell r="E152" t="str">
            <v>MEDLINE</v>
          </cell>
          <cell r="F152" t="str">
            <v/>
          </cell>
          <cell r="G152" t="str">
            <v/>
          </cell>
          <cell r="H152" t="str">
            <v/>
          </cell>
          <cell r="I152" t="str">
            <v>CJX50</v>
          </cell>
          <cell r="J152">
            <v>1</v>
          </cell>
          <cell r="K152">
            <v>1</v>
          </cell>
          <cell r="L152" t="str">
            <v>C</v>
          </cell>
          <cell r="M152">
            <v>38</v>
          </cell>
          <cell r="N152" t="str">
            <v>C</v>
          </cell>
          <cell r="O152">
            <v>46</v>
          </cell>
          <cell r="P152">
            <v>0</v>
          </cell>
          <cell r="Q152">
            <v>450</v>
          </cell>
          <cell r="R152">
            <v>450</v>
          </cell>
          <cell r="S152">
            <v>0</v>
          </cell>
          <cell r="T152">
            <v>5</v>
          </cell>
          <cell r="U152">
            <v>2394</v>
          </cell>
          <cell r="V152">
            <v>0</v>
          </cell>
          <cell r="W152">
            <v>0</v>
          </cell>
          <cell r="X152">
            <v>0</v>
          </cell>
          <cell r="Y152">
            <v>800</v>
          </cell>
          <cell r="Z152">
            <v>800</v>
          </cell>
          <cell r="AA152">
            <v>85.5</v>
          </cell>
          <cell r="AB152">
            <v>122.14</v>
          </cell>
          <cell r="AC152">
            <v>0</v>
          </cell>
          <cell r="AD152">
            <v>122.14</v>
          </cell>
          <cell r="AE152">
            <v>0</v>
          </cell>
          <cell r="AF152">
            <v>1.9</v>
          </cell>
          <cell r="AG152">
            <v>0.7</v>
          </cell>
        </row>
        <row r="153">
          <cell r="B153">
            <v>243050410</v>
          </cell>
          <cell r="C153" t="str">
            <v>REF HCSU12</v>
          </cell>
          <cell r="D153" t="str">
            <v>MASCARA DE VENTURY ADULTO CON 6 VALVULAS (REF.HCSU120E) MEDLINEx Und</v>
          </cell>
          <cell r="E153" t="str">
            <v>MEDLINE</v>
          </cell>
          <cell r="F153" t="str">
            <v/>
          </cell>
          <cell r="G153" t="str">
            <v/>
          </cell>
          <cell r="H153" t="str">
            <v/>
          </cell>
          <cell r="I153" t="str">
            <v>UND</v>
          </cell>
          <cell r="J153">
            <v>1</v>
          </cell>
          <cell r="K153">
            <v>1</v>
          </cell>
          <cell r="L153" t="str">
            <v>C</v>
          </cell>
          <cell r="M153">
            <v>265</v>
          </cell>
          <cell r="N153" t="str">
            <v>C</v>
          </cell>
          <cell r="O153">
            <v>169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5</v>
          </cell>
          <cell r="U153">
            <v>149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108</v>
          </cell>
          <cell r="AB153">
            <v>154.29</v>
          </cell>
          <cell r="AC153">
            <v>0</v>
          </cell>
          <cell r="AD153">
            <v>154.29</v>
          </cell>
          <cell r="AE153">
            <v>0</v>
          </cell>
          <cell r="AF153">
            <v>2.4</v>
          </cell>
          <cell r="AG153">
            <v>0.7</v>
          </cell>
        </row>
        <row r="154">
          <cell r="B154">
            <v>263050210</v>
          </cell>
          <cell r="C154" t="str">
            <v>263050210</v>
          </cell>
          <cell r="D154" t="str">
            <v>MASCARA DE VENTURY CON 6 VALVULAS  MEDEXx Und</v>
          </cell>
          <cell r="E154" t="str">
            <v>MEDEX</v>
          </cell>
          <cell r="F154" t="str">
            <v/>
          </cell>
          <cell r="G154" t="str">
            <v/>
          </cell>
          <cell r="H154" t="str">
            <v/>
          </cell>
          <cell r="I154" t="str">
            <v>BTOX50</v>
          </cell>
          <cell r="J154">
            <v>1</v>
          </cell>
          <cell r="K154">
            <v>1</v>
          </cell>
          <cell r="L154" t="str">
            <v>C</v>
          </cell>
          <cell r="M154">
            <v>418</v>
          </cell>
          <cell r="N154" t="str">
            <v>C</v>
          </cell>
          <cell r="O154">
            <v>184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5</v>
          </cell>
          <cell r="U154">
            <v>10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108</v>
          </cell>
          <cell r="AB154">
            <v>154.29</v>
          </cell>
          <cell r="AC154">
            <v>0</v>
          </cell>
          <cell r="AD154">
            <v>154.29</v>
          </cell>
          <cell r="AE154">
            <v>0</v>
          </cell>
          <cell r="AF154">
            <v>2.4</v>
          </cell>
          <cell r="AG154">
            <v>0.7</v>
          </cell>
        </row>
        <row r="155">
          <cell r="B155">
            <v>243050208</v>
          </cell>
          <cell r="C155" t="str">
            <v/>
          </cell>
          <cell r="D155" t="str">
            <v>MASCARILLA 2 LIGAS Marca Mc Medical x Und./\Presentacion Bulto x 50 Unds.</v>
          </cell>
          <cell r="E155" t="str">
            <v>DIPHOSYC</v>
          </cell>
          <cell r="F155" t="str">
            <v/>
          </cell>
          <cell r="G155" t="str">
            <v>MASCARILLAS TAPA BOCA</v>
          </cell>
          <cell r="H155" t="str">
            <v/>
          </cell>
          <cell r="I155" t="str">
            <v>CJX50</v>
          </cell>
          <cell r="J155">
            <v>50</v>
          </cell>
          <cell r="K155">
            <v>1</v>
          </cell>
          <cell r="L155" t="str">
            <v>C</v>
          </cell>
          <cell r="M155">
            <v>310</v>
          </cell>
          <cell r="N155" t="str">
            <v>C</v>
          </cell>
          <cell r="O155">
            <v>102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235</v>
          </cell>
          <cell r="U155">
            <v>4050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3000</v>
          </cell>
          <cell r="AA155">
            <v>1.26</v>
          </cell>
          <cell r="AB155">
            <v>1.8</v>
          </cell>
          <cell r="AC155">
            <v>0</v>
          </cell>
          <cell r="AD155">
            <v>1.8</v>
          </cell>
          <cell r="AE155">
            <v>0</v>
          </cell>
          <cell r="AF155">
            <v>2.8000000000000001E-2</v>
          </cell>
          <cell r="AG155">
            <v>0.7</v>
          </cell>
        </row>
        <row r="156">
          <cell r="B156">
            <v>243050218</v>
          </cell>
          <cell r="C156" t="str">
            <v/>
          </cell>
          <cell r="D156" t="str">
            <v>MASCARILLA 4 TIRAS Marca FVD x Und</v>
          </cell>
          <cell r="E156" t="str">
            <v>FVD</v>
          </cell>
          <cell r="F156" t="str">
            <v/>
          </cell>
          <cell r="G156" t="str">
            <v/>
          </cell>
          <cell r="H156" t="str">
            <v/>
          </cell>
          <cell r="I156" t="str">
            <v>BTOX3000</v>
          </cell>
          <cell r="J156">
            <v>1</v>
          </cell>
          <cell r="K156">
            <v>1</v>
          </cell>
          <cell r="L156" t="str">
            <v>C</v>
          </cell>
          <cell r="M156">
            <v>390</v>
          </cell>
          <cell r="N156" t="str">
            <v>C</v>
          </cell>
          <cell r="O156">
            <v>186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5</v>
          </cell>
          <cell r="U156">
            <v>7800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3000</v>
          </cell>
          <cell r="AA156">
            <v>4.5</v>
          </cell>
          <cell r="AB156">
            <v>5.63</v>
          </cell>
          <cell r="AC156">
            <v>0</v>
          </cell>
          <cell r="AD156">
            <v>5.63</v>
          </cell>
          <cell r="AE156">
            <v>0</v>
          </cell>
          <cell r="AF156">
            <v>0.1</v>
          </cell>
          <cell r="AG156">
            <v>0.8</v>
          </cell>
        </row>
        <row r="157">
          <cell r="B157">
            <v>243450201</v>
          </cell>
          <cell r="C157" t="str">
            <v/>
          </cell>
          <cell r="D157" t="str">
            <v>MASCARILLA 4 TIRAS Marca Rospital x Und</v>
          </cell>
          <cell r="E157" t="str">
            <v>SAMAR</v>
          </cell>
          <cell r="F157" t="str">
            <v/>
          </cell>
          <cell r="G157" t="str">
            <v>MASCARILLAS TAPABOCA</v>
          </cell>
          <cell r="H157" t="str">
            <v/>
          </cell>
          <cell r="I157" t="str">
            <v>CJX50</v>
          </cell>
          <cell r="J157">
            <v>1</v>
          </cell>
          <cell r="K157">
            <v>1</v>
          </cell>
          <cell r="L157" t="str">
            <v>C</v>
          </cell>
          <cell r="M157">
            <v>410</v>
          </cell>
          <cell r="N157" t="str">
            <v>C</v>
          </cell>
          <cell r="O157">
            <v>273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5</v>
          </cell>
          <cell r="U157">
            <v>7348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13000</v>
          </cell>
          <cell r="AA157">
            <v>4.5</v>
          </cell>
          <cell r="AB157">
            <v>5.63</v>
          </cell>
          <cell r="AC157">
            <v>0</v>
          </cell>
          <cell r="AD157">
            <v>5.63</v>
          </cell>
          <cell r="AE157">
            <v>0</v>
          </cell>
          <cell r="AF157">
            <v>0.1</v>
          </cell>
          <cell r="AG157">
            <v>0.8</v>
          </cell>
        </row>
        <row r="158">
          <cell r="B158">
            <v>243050213</v>
          </cell>
          <cell r="C158" t="str">
            <v/>
          </cell>
          <cell r="D158" t="str">
            <v>MASCARILLA 4 TIRAS Marca Samar x Und</v>
          </cell>
          <cell r="E158" t="str">
            <v>SAMAR</v>
          </cell>
          <cell r="F158" t="str">
            <v/>
          </cell>
          <cell r="G158" t="str">
            <v>MASCARAS LARINGEA</v>
          </cell>
          <cell r="H158" t="str">
            <v/>
          </cell>
          <cell r="I158" t="str">
            <v>BTOX1000</v>
          </cell>
          <cell r="J158">
            <v>50</v>
          </cell>
          <cell r="K158">
            <v>1</v>
          </cell>
          <cell r="L158" t="str">
            <v>C</v>
          </cell>
          <cell r="M158">
            <v>412</v>
          </cell>
          <cell r="N158" t="str">
            <v>C</v>
          </cell>
          <cell r="O158">
            <v>402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5</v>
          </cell>
          <cell r="U158">
            <v>300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6100</v>
          </cell>
          <cell r="AA158">
            <v>4.5</v>
          </cell>
          <cell r="AB158">
            <v>5.63</v>
          </cell>
          <cell r="AC158">
            <v>0</v>
          </cell>
          <cell r="AD158">
            <v>5.63</v>
          </cell>
          <cell r="AE158">
            <v>0</v>
          </cell>
          <cell r="AF158">
            <v>0.1</v>
          </cell>
          <cell r="AG158">
            <v>0.8</v>
          </cell>
        </row>
        <row r="159">
          <cell r="B159">
            <v>243200203</v>
          </cell>
          <cell r="C159" t="str">
            <v>11420002</v>
          </cell>
          <cell r="D159" t="str">
            <v>MICRONEBULIZADOR C/MASCARA ADULTO Marca Forsure x Und./\Presentacion Caja x 50 Unds.</v>
          </cell>
          <cell r="E159" t="str">
            <v>FORSURE</v>
          </cell>
          <cell r="F159" t="str">
            <v/>
          </cell>
          <cell r="G159" t="str">
            <v>MASCARAS MICRON NEB ADULTO</v>
          </cell>
          <cell r="H159" t="str">
            <v/>
          </cell>
          <cell r="I159" t="str">
            <v>CJX50</v>
          </cell>
          <cell r="J159">
            <v>1</v>
          </cell>
          <cell r="K159">
            <v>1</v>
          </cell>
          <cell r="L159" t="str">
            <v>C</v>
          </cell>
          <cell r="M159">
            <v>316</v>
          </cell>
          <cell r="N159" t="str">
            <v>C</v>
          </cell>
          <cell r="O159">
            <v>179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251</v>
          </cell>
          <cell r="U159">
            <v>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80.55</v>
          </cell>
          <cell r="AB159">
            <v>115.07</v>
          </cell>
          <cell r="AC159">
            <v>0</v>
          </cell>
          <cell r="AD159">
            <v>115.07</v>
          </cell>
          <cell r="AE159">
            <v>0</v>
          </cell>
          <cell r="AF159">
            <v>1.79</v>
          </cell>
          <cell r="AG159">
            <v>0.7</v>
          </cell>
        </row>
        <row r="160">
          <cell r="B160">
            <v>243201303</v>
          </cell>
          <cell r="C160" t="str">
            <v>RHS705U</v>
          </cell>
          <cell r="D160" t="str">
            <v>MICRONEBULIZADOR C/MASCARA ADULTO Marca HUDSON x Und</v>
          </cell>
          <cell r="E160" t="str">
            <v>HUDDSON</v>
          </cell>
          <cell r="F160" t="str">
            <v/>
          </cell>
          <cell r="G160" t="str">
            <v/>
          </cell>
          <cell r="H160" t="str">
            <v/>
          </cell>
          <cell r="I160" t="str">
            <v>CJX50</v>
          </cell>
          <cell r="J160">
            <v>1</v>
          </cell>
          <cell r="K160">
            <v>1</v>
          </cell>
          <cell r="L160" t="str">
            <v>C</v>
          </cell>
          <cell r="M160">
            <v>375</v>
          </cell>
          <cell r="N160" t="str">
            <v>C</v>
          </cell>
          <cell r="O160">
            <v>236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28</v>
          </cell>
          <cell r="U160">
            <v>335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100</v>
          </cell>
          <cell r="AA160">
            <v>80.55</v>
          </cell>
          <cell r="AB160">
            <v>115.07</v>
          </cell>
          <cell r="AC160">
            <v>0</v>
          </cell>
          <cell r="AD160">
            <v>115.07</v>
          </cell>
          <cell r="AE160">
            <v>0</v>
          </cell>
          <cell r="AF160">
            <v>1.79</v>
          </cell>
          <cell r="AG160">
            <v>0.7</v>
          </cell>
        </row>
        <row r="161">
          <cell r="B161">
            <v>243200204</v>
          </cell>
          <cell r="C161" t="str">
            <v>11420001</v>
          </cell>
          <cell r="D161" t="str">
            <v>MICRONEBULIZADOR C/MASCARA PEDIATRICO Marca Forsure x Und./\Presentacion Caja x 50 Unds.</v>
          </cell>
          <cell r="E161" t="str">
            <v>FORSURE</v>
          </cell>
          <cell r="F161" t="str">
            <v/>
          </cell>
          <cell r="G161" t="str">
            <v>MASCARAS MICRO NEB PEDRIATICO</v>
          </cell>
          <cell r="H161" t="str">
            <v/>
          </cell>
          <cell r="I161" t="str">
            <v>CJX50</v>
          </cell>
          <cell r="J161">
            <v>1</v>
          </cell>
          <cell r="K161">
            <v>1</v>
          </cell>
          <cell r="L161" t="str">
            <v>C</v>
          </cell>
          <cell r="M161">
            <v>317</v>
          </cell>
          <cell r="N161" t="str">
            <v>C</v>
          </cell>
          <cell r="O161">
            <v>180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251</v>
          </cell>
          <cell r="U161">
            <v>1000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80.55</v>
          </cell>
          <cell r="AB161">
            <v>115.07</v>
          </cell>
          <cell r="AC161">
            <v>0</v>
          </cell>
          <cell r="AD161">
            <v>115.07</v>
          </cell>
          <cell r="AE161">
            <v>0</v>
          </cell>
          <cell r="AF161">
            <v>1.79</v>
          </cell>
          <cell r="AG161">
            <v>0.7</v>
          </cell>
        </row>
        <row r="162">
          <cell r="B162">
            <v>243201404</v>
          </cell>
          <cell r="C162" t="str">
            <v>HCS4486</v>
          </cell>
          <cell r="D162" t="str">
            <v>MICRONEBULIZADOR C/MASCARA PEDIATRICO Marca Medline x unidad</v>
          </cell>
          <cell r="E162" t="str">
            <v>MEDLINE</v>
          </cell>
          <cell r="F162" t="str">
            <v/>
          </cell>
          <cell r="G162" t="str">
            <v/>
          </cell>
          <cell r="H162" t="str">
            <v/>
          </cell>
          <cell r="I162" t="str">
            <v>UND</v>
          </cell>
          <cell r="J162">
            <v>1</v>
          </cell>
          <cell r="K162">
            <v>1</v>
          </cell>
          <cell r="L162" t="str">
            <v>C</v>
          </cell>
          <cell r="M162">
            <v>313</v>
          </cell>
          <cell r="N162" t="str">
            <v>C</v>
          </cell>
          <cell r="O162">
            <v>244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256</v>
          </cell>
          <cell r="U162">
            <v>109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100</v>
          </cell>
          <cell r="AA162">
            <v>80.55</v>
          </cell>
          <cell r="AB162">
            <v>115.07</v>
          </cell>
          <cell r="AC162">
            <v>0</v>
          </cell>
          <cell r="AD162">
            <v>115.07</v>
          </cell>
          <cell r="AE162">
            <v>0</v>
          </cell>
          <cell r="AF162">
            <v>1.79</v>
          </cell>
          <cell r="AG162">
            <v>0.7</v>
          </cell>
        </row>
        <row r="163">
          <cell r="B163">
            <v>243300209</v>
          </cell>
          <cell r="C163" t="str">
            <v/>
          </cell>
          <cell r="D163" t="str">
            <v>MONO PARA CIRUJANO TALLA "M" Marca MMQ 50GR x Und</v>
          </cell>
          <cell r="E163" t="str">
            <v>MMQ</v>
          </cell>
          <cell r="F163" t="str">
            <v/>
          </cell>
          <cell r="G163" t="str">
            <v>LENCERIA MONOS</v>
          </cell>
          <cell r="H163" t="str">
            <v/>
          </cell>
          <cell r="I163" t="str">
            <v>CJX50</v>
          </cell>
          <cell r="J163">
            <v>1</v>
          </cell>
          <cell r="K163">
            <v>1</v>
          </cell>
          <cell r="L163" t="str">
            <v>C</v>
          </cell>
          <cell r="M163">
            <v>301</v>
          </cell>
          <cell r="N163" t="str">
            <v>C</v>
          </cell>
          <cell r="O163">
            <v>190</v>
          </cell>
          <cell r="P163">
            <v>0</v>
          </cell>
          <cell r="Q163">
            <v>208</v>
          </cell>
          <cell r="R163">
            <v>208</v>
          </cell>
          <cell r="S163">
            <v>0</v>
          </cell>
          <cell r="T163">
            <v>5</v>
          </cell>
          <cell r="U163">
            <v>271</v>
          </cell>
          <cell r="V163">
            <v>0</v>
          </cell>
          <cell r="W163">
            <v>0</v>
          </cell>
          <cell r="X163">
            <v>0</v>
          </cell>
          <cell r="Y163">
            <v>208</v>
          </cell>
          <cell r="Z163">
            <v>1550</v>
          </cell>
          <cell r="AA163">
            <v>54</v>
          </cell>
          <cell r="AB163">
            <v>72</v>
          </cell>
          <cell r="AC163">
            <v>0</v>
          </cell>
          <cell r="AD163">
            <v>72</v>
          </cell>
          <cell r="AE163">
            <v>0</v>
          </cell>
          <cell r="AF163">
            <v>1.2</v>
          </cell>
          <cell r="AG163">
            <v>0.75</v>
          </cell>
        </row>
        <row r="164">
          <cell r="B164">
            <v>250501323</v>
          </cell>
          <cell r="C164" t="str">
            <v/>
          </cell>
          <cell r="D164" t="str">
            <v>MONO PARA CIRUJANO TALLA "S" Marca DISMED 40GR  x Und</v>
          </cell>
          <cell r="E164" t="str">
            <v>DISMED</v>
          </cell>
          <cell r="F164" t="str">
            <v/>
          </cell>
          <cell r="G164" t="str">
            <v>LENCERIA MONOS</v>
          </cell>
          <cell r="H164" t="str">
            <v/>
          </cell>
          <cell r="I164" t="str">
            <v>CJX40</v>
          </cell>
          <cell r="J164">
            <v>1</v>
          </cell>
          <cell r="K164">
            <v>1</v>
          </cell>
          <cell r="L164" t="str">
            <v>C</v>
          </cell>
          <cell r="M164">
            <v>399</v>
          </cell>
          <cell r="N164" t="str">
            <v>C</v>
          </cell>
          <cell r="O164">
            <v>285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5</v>
          </cell>
          <cell r="U164">
            <v>486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200</v>
          </cell>
          <cell r="AA164">
            <v>54</v>
          </cell>
          <cell r="AB164">
            <v>63.53</v>
          </cell>
          <cell r="AC164">
            <v>0</v>
          </cell>
          <cell r="AD164">
            <v>63.53</v>
          </cell>
          <cell r="AE164">
            <v>0</v>
          </cell>
          <cell r="AF164">
            <v>1.2</v>
          </cell>
          <cell r="AG164">
            <v>0.85</v>
          </cell>
        </row>
        <row r="165">
          <cell r="B165">
            <v>243050102</v>
          </cell>
          <cell r="C165" t="str">
            <v/>
          </cell>
          <cell r="D165" t="str">
            <v>NARIZ ARTIFICIAL (Flexible) Marca Portex  Ref. 002841 x Und</v>
          </cell>
          <cell r="E165" t="str">
            <v>PORTEX</v>
          </cell>
          <cell r="F165" t="str">
            <v/>
          </cell>
          <cell r="G165" t="str">
            <v>OTROS OTROS</v>
          </cell>
          <cell r="H165" t="str">
            <v/>
          </cell>
          <cell r="I165" t="str">
            <v>CJX20</v>
          </cell>
          <cell r="J165">
            <v>1</v>
          </cell>
          <cell r="K165">
            <v>1</v>
          </cell>
          <cell r="L165" t="str">
            <v>C</v>
          </cell>
          <cell r="M165">
            <v>219</v>
          </cell>
          <cell r="N165" t="str">
            <v>C</v>
          </cell>
          <cell r="O165">
            <v>274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5</v>
          </cell>
          <cell r="U165">
            <v>1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300</v>
          </cell>
          <cell r="AA165">
            <v>147.9375</v>
          </cell>
          <cell r="AB165">
            <v>211.34</v>
          </cell>
          <cell r="AC165">
            <v>0</v>
          </cell>
          <cell r="AD165">
            <v>211.34</v>
          </cell>
          <cell r="AE165">
            <v>0</v>
          </cell>
          <cell r="AF165">
            <v>3.2875000000000001</v>
          </cell>
          <cell r="AG165">
            <v>0.7</v>
          </cell>
        </row>
        <row r="166">
          <cell r="B166">
            <v>243050302</v>
          </cell>
          <cell r="C166" t="str">
            <v/>
          </cell>
          <cell r="D166" t="str">
            <v>NARIZ ARTIFICIAL (Flexible) Marca Teleflex  Ref. 17732 x Und</v>
          </cell>
          <cell r="E166" t="str">
            <v>TELEFLEX</v>
          </cell>
          <cell r="F166" t="str">
            <v/>
          </cell>
          <cell r="G166" t="str">
            <v/>
          </cell>
          <cell r="H166" t="str">
            <v/>
          </cell>
          <cell r="I166" t="str">
            <v>CJX20</v>
          </cell>
          <cell r="J166">
            <v>1</v>
          </cell>
          <cell r="K166">
            <v>1</v>
          </cell>
          <cell r="L166" t="str">
            <v>C</v>
          </cell>
          <cell r="M166">
            <v>208</v>
          </cell>
          <cell r="N166" t="str">
            <v>C</v>
          </cell>
          <cell r="O166">
            <v>42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5</v>
          </cell>
          <cell r="U166">
            <v>542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530</v>
          </cell>
          <cell r="AA166">
            <v>247.5</v>
          </cell>
          <cell r="AB166">
            <v>353.57</v>
          </cell>
          <cell r="AC166">
            <v>0</v>
          </cell>
          <cell r="AD166">
            <v>353.57</v>
          </cell>
          <cell r="AE166">
            <v>0</v>
          </cell>
          <cell r="AF166">
            <v>5.5</v>
          </cell>
          <cell r="AG166">
            <v>0.7</v>
          </cell>
        </row>
        <row r="167">
          <cell r="B167">
            <v>242010702</v>
          </cell>
          <cell r="C167" t="str">
            <v/>
          </cell>
          <cell r="D167" t="str">
            <v>OBTURADOR HEPARINIZADO AMARILLO x Und</v>
          </cell>
          <cell r="E167" t="str">
            <v>HS</v>
          </cell>
          <cell r="F167" t="str">
            <v/>
          </cell>
          <cell r="G167" t="str">
            <v>KIT DE VIA OBTURADOR</v>
          </cell>
          <cell r="H167" t="str">
            <v/>
          </cell>
          <cell r="I167" t="str">
            <v>CJX200</v>
          </cell>
          <cell r="J167">
            <v>100</v>
          </cell>
          <cell r="K167">
            <v>1</v>
          </cell>
          <cell r="L167" t="str">
            <v>C</v>
          </cell>
          <cell r="M167">
            <v>374</v>
          </cell>
          <cell r="N167" t="str">
            <v>C</v>
          </cell>
          <cell r="O167">
            <v>187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101</v>
          </cell>
          <cell r="U167">
            <v>2100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600</v>
          </cell>
          <cell r="AA167">
            <v>5.85</v>
          </cell>
          <cell r="AB167">
            <v>6.5</v>
          </cell>
          <cell r="AC167">
            <v>0</v>
          </cell>
          <cell r="AD167">
            <v>6.5</v>
          </cell>
          <cell r="AE167">
            <v>0</v>
          </cell>
          <cell r="AF167">
            <v>0.13</v>
          </cell>
          <cell r="AG167">
            <v>0.90029999999999999</v>
          </cell>
        </row>
        <row r="168">
          <cell r="B168">
            <v>241000202</v>
          </cell>
          <cell r="C168" t="str">
            <v/>
          </cell>
          <cell r="D168" t="str">
            <v>OXISENSORES SFP-NCR-18A</v>
          </cell>
          <cell r="E168" t="str">
            <v>SENSORONICS</v>
          </cell>
          <cell r="F168" t="str">
            <v/>
          </cell>
          <cell r="G168" t="str">
            <v>OTROS OTROS</v>
          </cell>
          <cell r="H168" t="str">
            <v/>
          </cell>
          <cell r="I168" t="str">
            <v>CJX24</v>
          </cell>
          <cell r="J168">
            <v>1</v>
          </cell>
          <cell r="K168">
            <v>1</v>
          </cell>
          <cell r="L168" t="str">
            <v>C</v>
          </cell>
          <cell r="M168">
            <v>132</v>
          </cell>
          <cell r="N168" t="str">
            <v>C</v>
          </cell>
          <cell r="O168">
            <v>4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5</v>
          </cell>
          <cell r="U168">
            <v>228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578</v>
          </cell>
          <cell r="AA168">
            <v>457.2</v>
          </cell>
          <cell r="AB168">
            <v>571.5</v>
          </cell>
          <cell r="AC168">
            <v>0</v>
          </cell>
          <cell r="AD168">
            <v>571.5</v>
          </cell>
          <cell r="AE168">
            <v>0</v>
          </cell>
          <cell r="AF168">
            <v>10.16</v>
          </cell>
          <cell r="AG168">
            <v>0.8</v>
          </cell>
        </row>
        <row r="169">
          <cell r="B169">
            <v>272100250</v>
          </cell>
          <cell r="C169" t="str">
            <v/>
          </cell>
          <cell r="D169" t="str">
            <v>PANTALLA PARA BOMBA SINOMAT</v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>UND</v>
          </cell>
          <cell r="J169">
            <v>1</v>
          </cell>
          <cell r="K169">
            <v>1</v>
          </cell>
          <cell r="L169" t="str">
            <v>C</v>
          </cell>
          <cell r="M169">
            <v>330</v>
          </cell>
          <cell r="N169" t="str">
            <v>C</v>
          </cell>
          <cell r="O169">
            <v>19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259</v>
          </cell>
          <cell r="U169">
            <v>11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10</v>
          </cell>
          <cell r="AA169">
            <v>2418.75</v>
          </cell>
          <cell r="AB169">
            <v>3023.44</v>
          </cell>
          <cell r="AC169">
            <v>0</v>
          </cell>
          <cell r="AD169">
            <v>3023.44</v>
          </cell>
          <cell r="AE169">
            <v>0</v>
          </cell>
          <cell r="AF169">
            <v>53.75</v>
          </cell>
          <cell r="AG169">
            <v>0.8</v>
          </cell>
        </row>
        <row r="170">
          <cell r="B170">
            <v>240350108</v>
          </cell>
          <cell r="C170" t="str">
            <v/>
          </cell>
          <cell r="D170" t="str">
            <v>PAPEL POLIPROPILENO 0.76 x 0.76 (50 GR. SSMMS)  Marca MMQ x Und</v>
          </cell>
          <cell r="E170" t="str">
            <v>MEDIC-ART</v>
          </cell>
          <cell r="F170" t="str">
            <v/>
          </cell>
          <cell r="G170" t="str">
            <v>ESTERILIZACIÓN PAPEL DE POLIPROPILENO</v>
          </cell>
          <cell r="H170" t="str">
            <v/>
          </cell>
          <cell r="I170" t="str">
            <v>BTOX300</v>
          </cell>
          <cell r="J170">
            <v>1</v>
          </cell>
          <cell r="K170">
            <v>1</v>
          </cell>
          <cell r="L170" t="str">
            <v>C</v>
          </cell>
          <cell r="M170">
            <v>274</v>
          </cell>
          <cell r="N170" t="str">
            <v>C</v>
          </cell>
          <cell r="O170">
            <v>6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5</v>
          </cell>
          <cell r="U170">
            <v>4396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3000</v>
          </cell>
          <cell r="AA170">
            <v>22.5</v>
          </cell>
          <cell r="AB170">
            <v>45</v>
          </cell>
          <cell r="AC170">
            <v>0</v>
          </cell>
          <cell r="AD170">
            <v>45</v>
          </cell>
          <cell r="AE170">
            <v>0</v>
          </cell>
          <cell r="AF170">
            <v>0.5</v>
          </cell>
          <cell r="AG170">
            <v>0.5</v>
          </cell>
        </row>
        <row r="171">
          <cell r="B171">
            <v>240350112</v>
          </cell>
          <cell r="C171" t="str">
            <v/>
          </cell>
          <cell r="D171" t="str">
            <v>PAPEL POLIPROPILENO 1.20 x 1.20 (50 GR SSMMS) Marca MMQ x Und</v>
          </cell>
          <cell r="E171" t="str">
            <v>MEDIC-ART</v>
          </cell>
          <cell r="F171" t="str">
            <v/>
          </cell>
          <cell r="G171" t="str">
            <v>ESTERILIZACIÓN PAPEL DE POLIPROPILENO</v>
          </cell>
          <cell r="H171" t="str">
            <v/>
          </cell>
          <cell r="I171" t="str">
            <v>CJX100</v>
          </cell>
          <cell r="J171">
            <v>1</v>
          </cell>
          <cell r="K171">
            <v>1</v>
          </cell>
          <cell r="L171" t="str">
            <v>C</v>
          </cell>
          <cell r="M171">
            <v>259</v>
          </cell>
          <cell r="N171" t="str">
            <v>B</v>
          </cell>
          <cell r="O171">
            <v>10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5</v>
          </cell>
          <cell r="U171">
            <v>5110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17400</v>
          </cell>
          <cell r="AA171">
            <v>36</v>
          </cell>
          <cell r="AB171">
            <v>72</v>
          </cell>
          <cell r="AC171">
            <v>0</v>
          </cell>
          <cell r="AD171">
            <v>72</v>
          </cell>
          <cell r="AE171">
            <v>0</v>
          </cell>
          <cell r="AF171">
            <v>0.8</v>
          </cell>
          <cell r="AG171">
            <v>0.5</v>
          </cell>
        </row>
        <row r="172">
          <cell r="B172">
            <v>240450316</v>
          </cell>
          <cell r="C172" t="str">
            <v/>
          </cell>
          <cell r="D172" t="str">
            <v>POSICIONADOR DE CABEZA PAC/BOCA ABAJO/ADULTO</v>
          </cell>
          <cell r="E172" t="str">
            <v>WESTMED</v>
          </cell>
          <cell r="F172" t="str">
            <v/>
          </cell>
          <cell r="G172" t="str">
            <v/>
          </cell>
          <cell r="H172" t="str">
            <v/>
          </cell>
          <cell r="I172" t="str">
            <v>UND</v>
          </cell>
          <cell r="J172">
            <v>1</v>
          </cell>
          <cell r="K172">
            <v>1</v>
          </cell>
          <cell r="L172" t="str">
            <v>C</v>
          </cell>
          <cell r="M172">
            <v>154</v>
          </cell>
          <cell r="N172" t="str">
            <v>C</v>
          </cell>
          <cell r="O172">
            <v>247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5</v>
          </cell>
          <cell r="U172">
            <v>1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</v>
          </cell>
          <cell r="AA172">
            <v>432.5625</v>
          </cell>
          <cell r="AB172">
            <v>617.94000000000005</v>
          </cell>
          <cell r="AC172">
            <v>0</v>
          </cell>
          <cell r="AD172">
            <v>617.94000000000005</v>
          </cell>
          <cell r="AE172">
            <v>0</v>
          </cell>
          <cell r="AF172">
            <v>9.6125000000000007</v>
          </cell>
          <cell r="AG172">
            <v>0.7</v>
          </cell>
        </row>
        <row r="173">
          <cell r="B173">
            <v>241260102</v>
          </cell>
          <cell r="C173" t="str">
            <v/>
          </cell>
          <cell r="D173" t="str">
            <v>RECOLECTOR DE ORINA ( UROLAC ) Marca Dexx x Und./\Presentacion Caja x 250 Unds.</v>
          </cell>
          <cell r="E173" t="str">
            <v>DEXX MEDICAL</v>
          </cell>
          <cell r="F173" t="str">
            <v/>
          </cell>
          <cell r="G173" t="str">
            <v>RECOLECTOR CYSTOFLO</v>
          </cell>
          <cell r="H173" t="str">
            <v/>
          </cell>
          <cell r="I173" t="str">
            <v>CJ</v>
          </cell>
          <cell r="J173">
            <v>250</v>
          </cell>
          <cell r="K173">
            <v>1</v>
          </cell>
          <cell r="L173" t="str">
            <v>C</v>
          </cell>
          <cell r="M173">
            <v>290</v>
          </cell>
          <cell r="N173" t="str">
            <v>C</v>
          </cell>
          <cell r="O173">
            <v>139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241</v>
          </cell>
          <cell r="U173">
            <v>750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1000</v>
          </cell>
          <cell r="AA173">
            <v>3.609</v>
          </cell>
          <cell r="AB173">
            <v>4.51</v>
          </cell>
          <cell r="AC173">
            <v>0</v>
          </cell>
          <cell r="AD173">
            <v>4.51</v>
          </cell>
          <cell r="AE173">
            <v>0</v>
          </cell>
          <cell r="AF173">
            <v>8.0199999999999994E-2</v>
          </cell>
          <cell r="AG173">
            <v>0.79959999999999998</v>
          </cell>
        </row>
        <row r="174">
          <cell r="B174">
            <v>241260902</v>
          </cell>
          <cell r="C174" t="str">
            <v>DYNC1674</v>
          </cell>
          <cell r="D174" t="str">
            <v>RECOLECTOR DE ORINA 2000cc (Cystoflo) Marca Medline x Und</v>
          </cell>
          <cell r="E174" t="str">
            <v>MEDLINE</v>
          </cell>
          <cell r="F174" t="str">
            <v/>
          </cell>
          <cell r="G174" t="str">
            <v/>
          </cell>
          <cell r="H174" t="str">
            <v/>
          </cell>
          <cell r="I174" t="str">
            <v>CJX20</v>
          </cell>
          <cell r="J174">
            <v>1</v>
          </cell>
          <cell r="K174">
            <v>1</v>
          </cell>
          <cell r="L174" t="str">
            <v>C</v>
          </cell>
          <cell r="M174">
            <v>229</v>
          </cell>
          <cell r="N174" t="str">
            <v>C</v>
          </cell>
          <cell r="O174">
            <v>53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5</v>
          </cell>
          <cell r="U174">
            <v>950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140</v>
          </cell>
          <cell r="AA174">
            <v>128.25</v>
          </cell>
          <cell r="AB174">
            <v>183.21</v>
          </cell>
          <cell r="AC174">
            <v>0</v>
          </cell>
          <cell r="AD174">
            <v>183.21</v>
          </cell>
          <cell r="AE174">
            <v>0</v>
          </cell>
          <cell r="AF174">
            <v>2.85</v>
          </cell>
          <cell r="AG174">
            <v>0.7</v>
          </cell>
        </row>
        <row r="175">
          <cell r="B175">
            <v>241270103</v>
          </cell>
          <cell r="C175" t="str">
            <v/>
          </cell>
          <cell r="D175" t="str">
            <v>RECOLECTOR PARA HECES (Paquete x 100 Unid) MARCA DEXX MEDICAL</v>
          </cell>
          <cell r="E175" t="str">
            <v>DEXX MEDICAL</v>
          </cell>
          <cell r="F175" t="str">
            <v/>
          </cell>
          <cell r="G175" t="str">
            <v>PLASTICOS RECOLECTOR DE HECES</v>
          </cell>
          <cell r="H175" t="str">
            <v/>
          </cell>
          <cell r="I175" t="str">
            <v>BTOX100</v>
          </cell>
          <cell r="J175">
            <v>100</v>
          </cell>
          <cell r="K175">
            <v>1</v>
          </cell>
          <cell r="L175" t="str">
            <v>C</v>
          </cell>
          <cell r="M175">
            <v>302</v>
          </cell>
          <cell r="N175" t="str">
            <v>C</v>
          </cell>
          <cell r="O175">
            <v>162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241</v>
          </cell>
          <cell r="U175">
            <v>799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800</v>
          </cell>
          <cell r="AA175">
            <v>2.25</v>
          </cell>
          <cell r="AB175">
            <v>3.21</v>
          </cell>
          <cell r="AC175">
            <v>0</v>
          </cell>
          <cell r="AD175">
            <v>3.21</v>
          </cell>
          <cell r="AE175">
            <v>0</v>
          </cell>
          <cell r="AF175">
            <v>0.05</v>
          </cell>
          <cell r="AG175">
            <v>0.70030000000000003</v>
          </cell>
        </row>
        <row r="176">
          <cell r="B176">
            <v>252000901</v>
          </cell>
          <cell r="C176" t="str">
            <v>GM030201</v>
          </cell>
          <cell r="D176" t="str">
            <v>REGULADOR DE FLUJO (CUENTA GOTAS) Grossmed x Und./\Presentacion Bulto x 50 Unds.</v>
          </cell>
          <cell r="E176" t="str">
            <v>GROSSMED</v>
          </cell>
          <cell r="F176" t="str">
            <v>COMPRO 1.15 PASCUR/0.85 DROFARMA, LA MEDIA</v>
          </cell>
          <cell r="G176" t="str">
            <v>REGULADOR CUENTA GOTAS</v>
          </cell>
          <cell r="H176" t="str">
            <v/>
          </cell>
          <cell r="I176" t="str">
            <v>UND</v>
          </cell>
          <cell r="J176">
            <v>10</v>
          </cell>
          <cell r="K176">
            <v>1</v>
          </cell>
          <cell r="L176" t="str">
            <v>C</v>
          </cell>
          <cell r="M176">
            <v>275</v>
          </cell>
          <cell r="N176" t="str">
            <v>C</v>
          </cell>
          <cell r="O176">
            <v>134</v>
          </cell>
          <cell r="P176">
            <v>0</v>
          </cell>
          <cell r="Q176">
            <v>40</v>
          </cell>
          <cell r="R176">
            <v>40</v>
          </cell>
          <cell r="S176">
            <v>0</v>
          </cell>
          <cell r="T176">
            <v>314</v>
          </cell>
          <cell r="U176">
            <v>360</v>
          </cell>
          <cell r="V176">
            <v>0</v>
          </cell>
          <cell r="W176">
            <v>0</v>
          </cell>
          <cell r="X176">
            <v>0</v>
          </cell>
          <cell r="Y176">
            <v>40</v>
          </cell>
          <cell r="Z176">
            <v>800</v>
          </cell>
          <cell r="AA176">
            <v>31.5</v>
          </cell>
          <cell r="AB176">
            <v>39.380000000000003</v>
          </cell>
          <cell r="AC176">
            <v>0</v>
          </cell>
          <cell r="AD176">
            <v>39.380000000000003</v>
          </cell>
          <cell r="AE176">
            <v>0</v>
          </cell>
          <cell r="AF176">
            <v>0.7</v>
          </cell>
          <cell r="AG176">
            <v>0.8</v>
          </cell>
        </row>
        <row r="177">
          <cell r="B177">
            <v>250500319</v>
          </cell>
          <cell r="C177" t="str">
            <v/>
          </cell>
          <cell r="D177" t="str">
            <v>RESERVORIO 100cc Marca JACKSON - PRATT x Und</v>
          </cell>
          <cell r="E177" t="str">
            <v/>
          </cell>
          <cell r="F177" t="str">
            <v/>
          </cell>
          <cell r="G177" t="str">
            <v>DRENAJES RESERVORIOS 100CC</v>
          </cell>
          <cell r="H177" t="str">
            <v/>
          </cell>
          <cell r="I177" t="str">
            <v>UND</v>
          </cell>
          <cell r="J177">
            <v>1</v>
          </cell>
          <cell r="K177">
            <v>1</v>
          </cell>
          <cell r="L177" t="str">
            <v>C</v>
          </cell>
          <cell r="M177">
            <v>303</v>
          </cell>
          <cell r="N177" t="str">
            <v>C</v>
          </cell>
          <cell r="O177">
            <v>218</v>
          </cell>
          <cell r="P177">
            <v>0</v>
          </cell>
          <cell r="Q177">
            <v>20</v>
          </cell>
          <cell r="R177">
            <v>20</v>
          </cell>
          <cell r="S177">
            <v>0</v>
          </cell>
          <cell r="T177">
            <v>52</v>
          </cell>
          <cell r="U177">
            <v>166</v>
          </cell>
          <cell r="V177">
            <v>0</v>
          </cell>
          <cell r="W177">
            <v>0</v>
          </cell>
          <cell r="X177">
            <v>0</v>
          </cell>
          <cell r="Y177">
            <v>20</v>
          </cell>
          <cell r="Z177">
            <v>991</v>
          </cell>
          <cell r="AA177">
            <v>209.7</v>
          </cell>
          <cell r="AB177">
            <v>299.57</v>
          </cell>
          <cell r="AC177">
            <v>0</v>
          </cell>
          <cell r="AD177">
            <v>299.57</v>
          </cell>
          <cell r="AE177">
            <v>0</v>
          </cell>
          <cell r="AF177">
            <v>4.66</v>
          </cell>
          <cell r="AG177">
            <v>0.7</v>
          </cell>
        </row>
        <row r="178">
          <cell r="B178">
            <v>250510319</v>
          </cell>
          <cell r="C178" t="str">
            <v/>
          </cell>
          <cell r="D178" t="str">
            <v>RESERVORIO 400cc Marca BRANDEN x Und</v>
          </cell>
          <cell r="E178" t="str">
            <v>BRANDEN</v>
          </cell>
          <cell r="F178" t="str">
            <v/>
          </cell>
          <cell r="G178" t="str">
            <v>DRENAJES RESERVORIOS 400CC</v>
          </cell>
          <cell r="H178" t="str">
            <v/>
          </cell>
          <cell r="I178" t="str">
            <v>UND</v>
          </cell>
          <cell r="J178">
            <v>1</v>
          </cell>
          <cell r="K178">
            <v>1</v>
          </cell>
          <cell r="L178" t="str">
            <v>C</v>
          </cell>
          <cell r="M178">
            <v>379</v>
          </cell>
          <cell r="N178" t="str">
            <v>C</v>
          </cell>
          <cell r="O178">
            <v>240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5</v>
          </cell>
          <cell r="U178">
            <v>380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400</v>
          </cell>
          <cell r="AA178">
            <v>209.7</v>
          </cell>
          <cell r="AB178">
            <v>299.57</v>
          </cell>
          <cell r="AC178">
            <v>0</v>
          </cell>
          <cell r="AD178">
            <v>299.57</v>
          </cell>
          <cell r="AE178">
            <v>0</v>
          </cell>
          <cell r="AF178">
            <v>4.66</v>
          </cell>
          <cell r="AG178">
            <v>0.7</v>
          </cell>
        </row>
        <row r="179">
          <cell r="B179">
            <v>250503320</v>
          </cell>
          <cell r="C179" t="str">
            <v>S/REF</v>
          </cell>
          <cell r="D179" t="str">
            <v>RESERVORIO PARA CANISTER DE SUCCION 1500CC CARDINAL HEALTH x Und (Base a Presión)</v>
          </cell>
          <cell r="E179" t="str">
            <v>CARDINAL HEALTH</v>
          </cell>
          <cell r="F179" t="str">
            <v/>
          </cell>
          <cell r="G179" t="str">
            <v>DRENAJES RESERVORIO CANISTER</v>
          </cell>
          <cell r="H179" t="str">
            <v/>
          </cell>
          <cell r="I179" t="str">
            <v>UND</v>
          </cell>
          <cell r="J179">
            <v>1</v>
          </cell>
          <cell r="K179">
            <v>1</v>
          </cell>
          <cell r="L179" t="str">
            <v>C</v>
          </cell>
          <cell r="M179">
            <v>150</v>
          </cell>
          <cell r="N179" t="str">
            <v>C</v>
          </cell>
          <cell r="O179">
            <v>92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5</v>
          </cell>
          <cell r="U179">
            <v>58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100</v>
          </cell>
          <cell r="AA179">
            <v>1350</v>
          </cell>
          <cell r="AB179">
            <v>1928.57</v>
          </cell>
          <cell r="AC179">
            <v>0</v>
          </cell>
          <cell r="AD179">
            <v>1928.57</v>
          </cell>
          <cell r="AE179">
            <v>0</v>
          </cell>
          <cell r="AF179">
            <v>30</v>
          </cell>
          <cell r="AG179">
            <v>0.7</v>
          </cell>
        </row>
        <row r="180">
          <cell r="B180">
            <v>250503321</v>
          </cell>
          <cell r="C180" t="str">
            <v>65652-631</v>
          </cell>
          <cell r="D180" t="str">
            <v>RESERVORIO PARA CANISTER DE SUCCION 3000CC CARDINAL HEALTH x Und (Base a Presión)</v>
          </cell>
          <cell r="E180" t="str">
            <v>CARDINAL HEALTH</v>
          </cell>
          <cell r="F180" t="str">
            <v/>
          </cell>
          <cell r="G180" t="str">
            <v/>
          </cell>
          <cell r="H180" t="str">
            <v/>
          </cell>
          <cell r="I180" t="str">
            <v>UND</v>
          </cell>
          <cell r="J180">
            <v>1</v>
          </cell>
          <cell r="K180">
            <v>1</v>
          </cell>
          <cell r="L180" t="str">
            <v>C</v>
          </cell>
          <cell r="M180">
            <v>125</v>
          </cell>
          <cell r="N180" t="str">
            <v>C</v>
          </cell>
          <cell r="O180">
            <v>82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5</v>
          </cell>
          <cell r="U180">
            <v>40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8</v>
          </cell>
          <cell r="AA180">
            <v>1800</v>
          </cell>
          <cell r="AB180">
            <v>2571.4299999999998</v>
          </cell>
          <cell r="AC180">
            <v>0</v>
          </cell>
          <cell r="AD180">
            <v>2571.4299999999998</v>
          </cell>
          <cell r="AE180">
            <v>0</v>
          </cell>
          <cell r="AF180">
            <v>40</v>
          </cell>
          <cell r="AG180">
            <v>0.7</v>
          </cell>
        </row>
        <row r="181">
          <cell r="B181">
            <v>242050101</v>
          </cell>
          <cell r="C181" t="str">
            <v/>
          </cell>
          <cell r="D181" t="str">
            <v>SET DE IRRIGACION EN Y MARCA MEDLINE x Und</v>
          </cell>
          <cell r="E181" t="str">
            <v>MEDLINE</v>
          </cell>
          <cell r="F181" t="str">
            <v/>
          </cell>
          <cell r="G181" t="str">
            <v>EQUIPO IRRIGACION EN Y</v>
          </cell>
          <cell r="H181" t="str">
            <v/>
          </cell>
          <cell r="I181" t="str">
            <v>CJX20</v>
          </cell>
          <cell r="J181">
            <v>1</v>
          </cell>
          <cell r="K181">
            <v>1</v>
          </cell>
          <cell r="L181" t="str">
            <v>C</v>
          </cell>
          <cell r="M181">
            <v>318</v>
          </cell>
          <cell r="N181" t="str">
            <v>C</v>
          </cell>
          <cell r="O181">
            <v>253</v>
          </cell>
          <cell r="P181">
            <v>0</v>
          </cell>
          <cell r="Q181">
            <v>10</v>
          </cell>
          <cell r="R181">
            <v>10</v>
          </cell>
          <cell r="S181">
            <v>0</v>
          </cell>
          <cell r="T181">
            <v>307</v>
          </cell>
          <cell r="U181">
            <v>258</v>
          </cell>
          <cell r="V181">
            <v>0</v>
          </cell>
          <cell r="W181">
            <v>0</v>
          </cell>
          <cell r="X181">
            <v>0</v>
          </cell>
          <cell r="Y181">
            <v>10</v>
          </cell>
          <cell r="Z181">
            <v>52</v>
          </cell>
          <cell r="AA181">
            <v>305.55</v>
          </cell>
          <cell r="AB181">
            <v>1018.5</v>
          </cell>
          <cell r="AC181">
            <v>0</v>
          </cell>
          <cell r="AD181">
            <v>1018.5</v>
          </cell>
          <cell r="AE181">
            <v>0</v>
          </cell>
          <cell r="AF181">
            <v>6.79</v>
          </cell>
          <cell r="AG181">
            <v>0.3</v>
          </cell>
        </row>
        <row r="182">
          <cell r="B182">
            <v>253400033</v>
          </cell>
          <cell r="C182" t="str">
            <v/>
          </cell>
          <cell r="D182" t="str">
            <v>SET LINEA ART.AXILAR 20G ARR-NS-04100-SN</v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>UND</v>
          </cell>
          <cell r="J182">
            <v>1</v>
          </cell>
          <cell r="K182">
            <v>1</v>
          </cell>
          <cell r="L182" t="str">
            <v>C</v>
          </cell>
          <cell r="M182">
            <v>74</v>
          </cell>
          <cell r="N182" t="str">
            <v>C</v>
          </cell>
          <cell r="O182">
            <v>114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5</v>
          </cell>
          <cell r="U182">
            <v>7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5008.5</v>
          </cell>
          <cell r="AB182">
            <v>7155</v>
          </cell>
          <cell r="AC182">
            <v>0</v>
          </cell>
          <cell r="AD182">
            <v>7155</v>
          </cell>
          <cell r="AE182">
            <v>0</v>
          </cell>
          <cell r="AF182">
            <v>111.3</v>
          </cell>
          <cell r="AG182">
            <v>0.7</v>
          </cell>
        </row>
        <row r="183">
          <cell r="B183">
            <v>250500812</v>
          </cell>
          <cell r="C183" t="str">
            <v/>
          </cell>
          <cell r="D183" t="str">
            <v>SET TRANSFER PHARM-ASSITS DISPENSING  REF:PA01</v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>UND</v>
          </cell>
          <cell r="J183">
            <v>1</v>
          </cell>
          <cell r="K183">
            <v>1</v>
          </cell>
          <cell r="L183" t="str">
            <v>C</v>
          </cell>
          <cell r="M183">
            <v>174</v>
          </cell>
          <cell r="N183" t="str">
            <v>C</v>
          </cell>
          <cell r="O183">
            <v>159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5</v>
          </cell>
          <cell r="U183">
            <v>28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31</v>
          </cell>
          <cell r="AA183">
            <v>503.55</v>
          </cell>
          <cell r="AB183">
            <v>719.36</v>
          </cell>
          <cell r="AC183">
            <v>0</v>
          </cell>
          <cell r="AD183">
            <v>719.36</v>
          </cell>
          <cell r="AE183">
            <v>0</v>
          </cell>
          <cell r="AF183">
            <v>11.19</v>
          </cell>
          <cell r="AG183">
            <v>0.7</v>
          </cell>
        </row>
        <row r="184">
          <cell r="B184">
            <v>250450910</v>
          </cell>
          <cell r="C184" t="str">
            <v/>
          </cell>
          <cell r="D184" t="str">
            <v>SOLUCION FISIOLOGICA 500 ML  - MARCA SUMIC-HEALTH x Und</v>
          </cell>
          <cell r="E184" t="str">
            <v>BAXTER</v>
          </cell>
          <cell r="F184" t="str">
            <v/>
          </cell>
          <cell r="G184" t="str">
            <v/>
          </cell>
          <cell r="H184" t="str">
            <v/>
          </cell>
          <cell r="I184" t="str">
            <v>CJX30</v>
          </cell>
          <cell r="J184">
            <v>1</v>
          </cell>
          <cell r="K184">
            <v>1</v>
          </cell>
          <cell r="L184" t="str">
            <v>C</v>
          </cell>
          <cell r="M184">
            <v>52</v>
          </cell>
          <cell r="N184" t="str">
            <v>B</v>
          </cell>
          <cell r="O184">
            <v>35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246</v>
          </cell>
          <cell r="U184">
            <v>969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5000</v>
          </cell>
          <cell r="AA184">
            <v>36</v>
          </cell>
          <cell r="AB184">
            <v>40</v>
          </cell>
          <cell r="AC184">
            <v>0</v>
          </cell>
          <cell r="AD184">
            <v>40</v>
          </cell>
          <cell r="AE184">
            <v>0</v>
          </cell>
          <cell r="AF184">
            <v>0.8</v>
          </cell>
          <cell r="AG184">
            <v>0.9</v>
          </cell>
        </row>
        <row r="185">
          <cell r="B185">
            <v>252800018</v>
          </cell>
          <cell r="C185" t="str">
            <v>OPA-28</v>
          </cell>
          <cell r="D185" t="str">
            <v>SOLUCION OPA/28  MARCA MC KESSON  x Und</v>
          </cell>
          <cell r="E185" t="str">
            <v>MC KESSON</v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>
            <v>1</v>
          </cell>
          <cell r="K185">
            <v>1</v>
          </cell>
          <cell r="L185" t="str">
            <v>C</v>
          </cell>
          <cell r="M185">
            <v>315</v>
          </cell>
          <cell r="N185" t="str">
            <v>C</v>
          </cell>
          <cell r="O185">
            <v>278</v>
          </cell>
          <cell r="P185">
            <v>0</v>
          </cell>
          <cell r="Q185">
            <v>2</v>
          </cell>
          <cell r="R185">
            <v>2</v>
          </cell>
          <cell r="S185">
            <v>0</v>
          </cell>
          <cell r="T185">
            <v>5</v>
          </cell>
          <cell r="U185">
            <v>9</v>
          </cell>
          <cell r="V185">
            <v>0</v>
          </cell>
          <cell r="W185">
            <v>0</v>
          </cell>
          <cell r="X185">
            <v>0</v>
          </cell>
          <cell r="Y185">
            <v>2</v>
          </cell>
          <cell r="Z185">
            <v>2</v>
          </cell>
          <cell r="AA185">
            <v>1964.7</v>
          </cell>
          <cell r="AB185">
            <v>2455.88</v>
          </cell>
          <cell r="AC185">
            <v>0</v>
          </cell>
          <cell r="AD185">
            <v>2455.88</v>
          </cell>
          <cell r="AE185">
            <v>0</v>
          </cell>
          <cell r="AF185">
            <v>43.66</v>
          </cell>
          <cell r="AG185">
            <v>0.8</v>
          </cell>
        </row>
        <row r="186">
          <cell r="B186">
            <v>240550616</v>
          </cell>
          <cell r="C186" t="str">
            <v>20-7432</v>
          </cell>
          <cell r="D186" t="str">
            <v>SONDA CORFLO ULTRA # 12 FR. 43 PULG. 3 GM # 20-7432 - Marca Avanos x Und</v>
          </cell>
          <cell r="E186" t="str">
            <v>AVANOS</v>
          </cell>
          <cell r="F186" t="str">
            <v/>
          </cell>
          <cell r="G186" t="str">
            <v/>
          </cell>
          <cell r="H186" t="str">
            <v/>
          </cell>
          <cell r="I186" t="str">
            <v>UND</v>
          </cell>
          <cell r="J186">
            <v>1</v>
          </cell>
          <cell r="K186">
            <v>1</v>
          </cell>
          <cell r="L186" t="str">
            <v>C</v>
          </cell>
          <cell r="M186">
            <v>105</v>
          </cell>
          <cell r="N186" t="str">
            <v>C</v>
          </cell>
          <cell r="O186">
            <v>192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5</v>
          </cell>
          <cell r="U186">
            <v>4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</v>
          </cell>
          <cell r="AA186">
            <v>2103.75</v>
          </cell>
          <cell r="AB186">
            <v>2629.69</v>
          </cell>
          <cell r="AC186">
            <v>0</v>
          </cell>
          <cell r="AD186">
            <v>2629.69</v>
          </cell>
          <cell r="AE186">
            <v>0</v>
          </cell>
          <cell r="AF186">
            <v>46.75</v>
          </cell>
          <cell r="AG186">
            <v>0.8</v>
          </cell>
        </row>
        <row r="187">
          <cell r="B187">
            <v>240550607</v>
          </cell>
          <cell r="C187" t="str">
            <v>20-7432</v>
          </cell>
          <cell r="D187" t="str">
            <v>SONDA CORFLO ULTRA # 12 FR. 43 PULG. 3 GM # 20-7432 - Marca Halyard x Und</v>
          </cell>
          <cell r="E187" t="str">
            <v>HALYARD</v>
          </cell>
          <cell r="F187" t="str">
            <v/>
          </cell>
          <cell r="G187" t="str">
            <v>SONDAS LEVIN</v>
          </cell>
          <cell r="H187" t="str">
            <v/>
          </cell>
          <cell r="I187" t="str">
            <v>UND</v>
          </cell>
          <cell r="J187">
            <v>1</v>
          </cell>
          <cell r="K187">
            <v>1</v>
          </cell>
          <cell r="L187" t="str">
            <v>C</v>
          </cell>
          <cell r="M187">
            <v>104</v>
          </cell>
          <cell r="N187" t="str">
            <v>C</v>
          </cell>
          <cell r="O187">
            <v>117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5</v>
          </cell>
          <cell r="U187">
            <v>16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10</v>
          </cell>
          <cell r="AA187">
            <v>2103.75</v>
          </cell>
          <cell r="AB187">
            <v>2629.69</v>
          </cell>
          <cell r="AC187">
            <v>0</v>
          </cell>
          <cell r="AD187">
            <v>2629.69</v>
          </cell>
          <cell r="AE187">
            <v>0</v>
          </cell>
          <cell r="AF187">
            <v>46.75</v>
          </cell>
          <cell r="AG187">
            <v>0.8</v>
          </cell>
        </row>
        <row r="188">
          <cell r="B188">
            <v>240550613</v>
          </cell>
          <cell r="C188" t="str">
            <v>20-7438</v>
          </cell>
          <cell r="D188" t="str">
            <v>SONDA CORFLO ULTRA # 8 FR. 43 PULG. 3 GM # 20-7438 - Marca Corpak x Und</v>
          </cell>
          <cell r="E188" t="str">
            <v>CORPAK</v>
          </cell>
          <cell r="F188" t="str">
            <v/>
          </cell>
          <cell r="G188" t="str">
            <v>SONDAS ALIMENTACION</v>
          </cell>
          <cell r="H188" t="str">
            <v/>
          </cell>
          <cell r="I188" t="str">
            <v>UND</v>
          </cell>
          <cell r="J188">
            <v>1</v>
          </cell>
          <cell r="K188">
            <v>1</v>
          </cell>
          <cell r="L188" t="str">
            <v>C</v>
          </cell>
          <cell r="M188">
            <v>292</v>
          </cell>
          <cell r="N188" t="str">
            <v>C</v>
          </cell>
          <cell r="O188">
            <v>355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305</v>
          </cell>
          <cell r="U188">
            <v>3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200</v>
          </cell>
          <cell r="AA188">
            <v>2103.75</v>
          </cell>
          <cell r="AB188">
            <v>2629.69</v>
          </cell>
          <cell r="AC188">
            <v>0</v>
          </cell>
          <cell r="AD188">
            <v>2629.69</v>
          </cell>
          <cell r="AE188">
            <v>0</v>
          </cell>
          <cell r="AF188">
            <v>46.75</v>
          </cell>
          <cell r="AG188">
            <v>0.8</v>
          </cell>
        </row>
        <row r="189">
          <cell r="B189">
            <v>240550611</v>
          </cell>
          <cell r="C189" t="str">
            <v>8884711006</v>
          </cell>
          <cell r="D189" t="str">
            <v>SONDA DE ALIMENTACION DOBB HOFF 10Fr (Nasogastrica) - Ref. 8884711006 x Und</v>
          </cell>
          <cell r="E189" t="str">
            <v>0</v>
          </cell>
          <cell r="F189" t="str">
            <v/>
          </cell>
          <cell r="G189" t="str">
            <v>SONDAS ALIMENTACION</v>
          </cell>
          <cell r="H189" t="str">
            <v/>
          </cell>
          <cell r="I189" t="str">
            <v>UND</v>
          </cell>
          <cell r="J189">
            <v>1</v>
          </cell>
          <cell r="K189">
            <v>1</v>
          </cell>
          <cell r="L189" t="str">
            <v>C</v>
          </cell>
          <cell r="M189">
            <v>288</v>
          </cell>
          <cell r="N189" t="str">
            <v>C</v>
          </cell>
          <cell r="O189">
            <v>246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5</v>
          </cell>
          <cell r="U189">
            <v>27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</v>
          </cell>
          <cell r="AA189">
            <v>904.5</v>
          </cell>
          <cell r="AB189">
            <v>1206</v>
          </cell>
          <cell r="AC189">
            <v>0</v>
          </cell>
          <cell r="AD189">
            <v>1206</v>
          </cell>
          <cell r="AE189">
            <v>0</v>
          </cell>
          <cell r="AF189">
            <v>20.100000000000001</v>
          </cell>
          <cell r="AG189">
            <v>0.75</v>
          </cell>
        </row>
        <row r="190">
          <cell r="B190">
            <v>240550612</v>
          </cell>
          <cell r="C190" t="str">
            <v>8884711253</v>
          </cell>
          <cell r="D190" t="str">
            <v>SONDA DE ALIMENTACION DOBB HOFF 12Fr - (Nasogastrica) - Ref. 8884711253 x Und</v>
          </cell>
          <cell r="E190" t="str">
            <v/>
          </cell>
          <cell r="F190" t="str">
            <v/>
          </cell>
          <cell r="G190" t="str">
            <v>SONDAS ALIMENTACION</v>
          </cell>
          <cell r="H190" t="str">
            <v/>
          </cell>
          <cell r="I190" t="str">
            <v>UND</v>
          </cell>
          <cell r="J190">
            <v>1</v>
          </cell>
          <cell r="K190">
            <v>1</v>
          </cell>
          <cell r="L190" t="str">
            <v>C</v>
          </cell>
          <cell r="M190">
            <v>289</v>
          </cell>
          <cell r="N190" t="str">
            <v>C</v>
          </cell>
          <cell r="O190">
            <v>257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5</v>
          </cell>
          <cell r="U190">
            <v>21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10</v>
          </cell>
          <cell r="AA190">
            <v>931.5</v>
          </cell>
          <cell r="AB190">
            <v>1242</v>
          </cell>
          <cell r="AC190">
            <v>0</v>
          </cell>
          <cell r="AD190">
            <v>1242</v>
          </cell>
          <cell r="AE190">
            <v>0</v>
          </cell>
          <cell r="AF190">
            <v>20.7</v>
          </cell>
          <cell r="AG190">
            <v>0.75</v>
          </cell>
        </row>
        <row r="191">
          <cell r="B191">
            <v>240551406</v>
          </cell>
          <cell r="C191" t="str">
            <v>S/REF</v>
          </cell>
          <cell r="D191" t="str">
            <v>SONDA FOLEY 12 Fr 2V 100% SILICON Marca ROSPITAL x Und</v>
          </cell>
          <cell r="E191" t="str">
            <v>ROSPITAL</v>
          </cell>
          <cell r="F191" t="str">
            <v/>
          </cell>
          <cell r="G191" t="str">
            <v>SONDAS FOLEY 2V</v>
          </cell>
          <cell r="H191" t="str">
            <v/>
          </cell>
          <cell r="I191" t="str">
            <v>CJX10</v>
          </cell>
          <cell r="J191">
            <v>1</v>
          </cell>
          <cell r="K191">
            <v>1</v>
          </cell>
          <cell r="L191" t="str">
            <v>C</v>
          </cell>
          <cell r="M191">
            <v>263</v>
          </cell>
          <cell r="N191" t="str">
            <v>C</v>
          </cell>
          <cell r="O191">
            <v>74</v>
          </cell>
          <cell r="P191">
            <v>0</v>
          </cell>
          <cell r="Q191">
            <v>6</v>
          </cell>
          <cell r="R191">
            <v>6</v>
          </cell>
          <cell r="S191">
            <v>0</v>
          </cell>
          <cell r="T191">
            <v>5</v>
          </cell>
          <cell r="U191">
            <v>834</v>
          </cell>
          <cell r="V191">
            <v>0</v>
          </cell>
          <cell r="W191">
            <v>0</v>
          </cell>
          <cell r="X191">
            <v>0</v>
          </cell>
          <cell r="Y191">
            <v>6</v>
          </cell>
          <cell r="Z191">
            <v>730</v>
          </cell>
          <cell r="AA191">
            <v>107.55</v>
          </cell>
          <cell r="AB191">
            <v>153.63999999999999</v>
          </cell>
          <cell r="AC191">
            <v>0</v>
          </cell>
          <cell r="AD191">
            <v>153.63999999999999</v>
          </cell>
          <cell r="AE191">
            <v>0</v>
          </cell>
          <cell r="AF191">
            <v>2.39</v>
          </cell>
          <cell r="AG191">
            <v>0.7</v>
          </cell>
        </row>
        <row r="192">
          <cell r="B192">
            <v>242202546</v>
          </cell>
          <cell r="C192" t="str">
            <v>S/REF</v>
          </cell>
          <cell r="D192" t="str">
            <v>SONDA FOLEY 14 Fr 2V 100% SILICON Marca ROSPITAL x Und</v>
          </cell>
          <cell r="E192" t="str">
            <v>ROSPITAL</v>
          </cell>
          <cell r="F192" t="str">
            <v/>
          </cell>
          <cell r="G192" t="str">
            <v/>
          </cell>
          <cell r="H192" t="str">
            <v/>
          </cell>
          <cell r="I192" t="str">
            <v>CJX10</v>
          </cell>
          <cell r="J192">
            <v>1</v>
          </cell>
          <cell r="K192">
            <v>1</v>
          </cell>
          <cell r="L192" t="str">
            <v>C</v>
          </cell>
          <cell r="M192">
            <v>255</v>
          </cell>
          <cell r="N192" t="str">
            <v>C</v>
          </cell>
          <cell r="O192">
            <v>68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5</v>
          </cell>
          <cell r="U192">
            <v>758</v>
          </cell>
          <cell r="V192">
            <v>0</v>
          </cell>
          <cell r="W192">
            <v>40</v>
          </cell>
          <cell r="X192">
            <v>0</v>
          </cell>
          <cell r="Y192">
            <v>0</v>
          </cell>
          <cell r="Z192">
            <v>90</v>
          </cell>
          <cell r="AA192">
            <v>107.55</v>
          </cell>
          <cell r="AB192">
            <v>153.63999999999999</v>
          </cell>
          <cell r="AC192">
            <v>0</v>
          </cell>
          <cell r="AD192">
            <v>153.63999999999999</v>
          </cell>
          <cell r="AE192">
            <v>0</v>
          </cell>
          <cell r="AF192">
            <v>2.39</v>
          </cell>
          <cell r="AG192">
            <v>0.7</v>
          </cell>
        </row>
        <row r="193">
          <cell r="B193">
            <v>242202790</v>
          </cell>
          <cell r="C193" t="str">
            <v>S/REF</v>
          </cell>
          <cell r="D193" t="str">
            <v>SONDA FOLEY 16 Fr 2V 100% SILICON Marca ROSPITAL x Und</v>
          </cell>
          <cell r="E193" t="str">
            <v>ROSPITAL</v>
          </cell>
          <cell r="F193" t="str">
            <v/>
          </cell>
          <cell r="G193" t="str">
            <v/>
          </cell>
          <cell r="H193" t="str">
            <v/>
          </cell>
          <cell r="I193" t="str">
            <v>CJX10</v>
          </cell>
          <cell r="J193">
            <v>1</v>
          </cell>
          <cell r="K193">
            <v>1</v>
          </cell>
          <cell r="L193" t="str">
            <v>C</v>
          </cell>
          <cell r="M193">
            <v>253</v>
          </cell>
          <cell r="N193" t="str">
            <v>C</v>
          </cell>
          <cell r="O193">
            <v>88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5</v>
          </cell>
          <cell r="U193">
            <v>484</v>
          </cell>
          <cell r="V193">
            <v>0</v>
          </cell>
          <cell r="W193">
            <v>20</v>
          </cell>
          <cell r="X193">
            <v>0</v>
          </cell>
          <cell r="Y193">
            <v>0</v>
          </cell>
          <cell r="Z193">
            <v>220</v>
          </cell>
          <cell r="AA193">
            <v>107.55</v>
          </cell>
          <cell r="AB193">
            <v>153.63999999999999</v>
          </cell>
          <cell r="AC193">
            <v>0</v>
          </cell>
          <cell r="AD193">
            <v>153.63999999999999</v>
          </cell>
          <cell r="AE193">
            <v>0</v>
          </cell>
          <cell r="AF193">
            <v>2.39</v>
          </cell>
          <cell r="AG193">
            <v>0.7</v>
          </cell>
        </row>
        <row r="194">
          <cell r="B194">
            <v>241270102</v>
          </cell>
          <cell r="C194" t="str">
            <v>S/REF</v>
          </cell>
          <cell r="D194" t="str">
            <v>SONDA FOLEY 18 Fr 2V 100% SILICON Marca ROSPITAL x Und</v>
          </cell>
          <cell r="E194" t="str">
            <v>ROSPITAL</v>
          </cell>
          <cell r="F194" t="str">
            <v/>
          </cell>
          <cell r="G194" t="str">
            <v>SONDAS FOLEY 2V</v>
          </cell>
          <cell r="H194" t="str">
            <v/>
          </cell>
          <cell r="I194" t="str">
            <v>CJX10</v>
          </cell>
          <cell r="J194">
            <v>1</v>
          </cell>
          <cell r="K194">
            <v>1</v>
          </cell>
          <cell r="L194" t="str">
            <v>C</v>
          </cell>
          <cell r="M194">
            <v>257</v>
          </cell>
          <cell r="N194" t="str">
            <v>C</v>
          </cell>
          <cell r="O194">
            <v>60</v>
          </cell>
          <cell r="P194">
            <v>0</v>
          </cell>
          <cell r="Q194">
            <v>10</v>
          </cell>
          <cell r="R194">
            <v>10</v>
          </cell>
          <cell r="S194">
            <v>0</v>
          </cell>
          <cell r="T194">
            <v>5</v>
          </cell>
          <cell r="U194">
            <v>950</v>
          </cell>
          <cell r="V194">
            <v>0</v>
          </cell>
          <cell r="W194">
            <v>0</v>
          </cell>
          <cell r="X194">
            <v>0</v>
          </cell>
          <cell r="Y194">
            <v>10</v>
          </cell>
          <cell r="Z194">
            <v>250</v>
          </cell>
          <cell r="AA194">
            <v>107.55</v>
          </cell>
          <cell r="AB194">
            <v>153.63999999999999</v>
          </cell>
          <cell r="AC194">
            <v>0</v>
          </cell>
          <cell r="AD194">
            <v>153.63999999999999</v>
          </cell>
          <cell r="AE194">
            <v>0</v>
          </cell>
          <cell r="AF194">
            <v>2.39</v>
          </cell>
          <cell r="AG194">
            <v>0.7</v>
          </cell>
        </row>
        <row r="195">
          <cell r="B195">
            <v>242201690</v>
          </cell>
          <cell r="C195" t="str">
            <v>S/REF</v>
          </cell>
          <cell r="D195" t="str">
            <v>SONDA FOLEY 20 Fr 2V 100% SILICON Marca ROSPITAL x Und</v>
          </cell>
          <cell r="E195" t="str">
            <v>ROSPITAL</v>
          </cell>
          <cell r="F195" t="str">
            <v/>
          </cell>
          <cell r="G195" t="str">
            <v/>
          </cell>
          <cell r="H195" t="str">
            <v/>
          </cell>
          <cell r="I195" t="str">
            <v>UND</v>
          </cell>
          <cell r="J195">
            <v>1</v>
          </cell>
          <cell r="K195">
            <v>1</v>
          </cell>
          <cell r="L195" t="str">
            <v>C</v>
          </cell>
          <cell r="M195">
            <v>256</v>
          </cell>
          <cell r="N195" t="str">
            <v>C</v>
          </cell>
          <cell r="O195">
            <v>124</v>
          </cell>
          <cell r="P195">
            <v>0</v>
          </cell>
          <cell r="Q195">
            <v>3</v>
          </cell>
          <cell r="R195">
            <v>3</v>
          </cell>
          <cell r="S195">
            <v>0</v>
          </cell>
          <cell r="T195">
            <v>5</v>
          </cell>
          <cell r="U195">
            <v>298</v>
          </cell>
          <cell r="V195">
            <v>0</v>
          </cell>
          <cell r="W195">
            <v>0</v>
          </cell>
          <cell r="X195">
            <v>0</v>
          </cell>
          <cell r="Y195">
            <v>3</v>
          </cell>
          <cell r="Z195">
            <v>50</v>
          </cell>
          <cell r="AA195">
            <v>107.55</v>
          </cell>
          <cell r="AB195">
            <v>153.63999999999999</v>
          </cell>
          <cell r="AC195">
            <v>0</v>
          </cell>
          <cell r="AD195">
            <v>153.63999999999999</v>
          </cell>
          <cell r="AE195">
            <v>0</v>
          </cell>
          <cell r="AF195">
            <v>2.39</v>
          </cell>
          <cell r="AG195">
            <v>0.7</v>
          </cell>
        </row>
        <row r="196">
          <cell r="B196">
            <v>240550511</v>
          </cell>
          <cell r="C196" t="str">
            <v/>
          </cell>
          <cell r="D196" t="str">
            <v>SONDA FOLEY 20 Fr 3V 100% SILICON Marca ROSPITAL x Und</v>
          </cell>
          <cell r="E196" t="str">
            <v>ROSPITAL</v>
          </cell>
          <cell r="F196" t="str">
            <v/>
          </cell>
          <cell r="G196" t="str">
            <v/>
          </cell>
          <cell r="H196" t="str">
            <v/>
          </cell>
          <cell r="I196" t="str">
            <v>CJX10</v>
          </cell>
          <cell r="J196">
            <v>1</v>
          </cell>
          <cell r="K196">
            <v>1</v>
          </cell>
          <cell r="L196" t="str">
            <v>C</v>
          </cell>
          <cell r="M196">
            <v>254</v>
          </cell>
          <cell r="N196" t="str">
            <v>C</v>
          </cell>
          <cell r="O196">
            <v>189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5</v>
          </cell>
          <cell r="U196">
            <v>82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10</v>
          </cell>
          <cell r="AA196">
            <v>107.55</v>
          </cell>
          <cell r="AB196">
            <v>153.63999999999999</v>
          </cell>
          <cell r="AC196">
            <v>0</v>
          </cell>
          <cell r="AD196">
            <v>153.63999999999999</v>
          </cell>
          <cell r="AE196">
            <v>0</v>
          </cell>
          <cell r="AF196">
            <v>2.39</v>
          </cell>
          <cell r="AG196">
            <v>0.7</v>
          </cell>
        </row>
        <row r="197">
          <cell r="B197">
            <v>240550701</v>
          </cell>
          <cell r="C197" t="str">
            <v>8888264929</v>
          </cell>
          <cell r="D197" t="str">
            <v>SONDA SALEM 12 Fr. Marca COVIDIEN x Und</v>
          </cell>
          <cell r="E197" t="str">
            <v>MEDOVATIONS</v>
          </cell>
          <cell r="F197" t="str">
            <v/>
          </cell>
          <cell r="G197" t="str">
            <v>SONDAS SALEM</v>
          </cell>
          <cell r="H197" t="str">
            <v/>
          </cell>
          <cell r="I197" t="str">
            <v>CJX10</v>
          </cell>
          <cell r="J197">
            <v>1</v>
          </cell>
          <cell r="K197">
            <v>1</v>
          </cell>
          <cell r="L197" t="str">
            <v>C</v>
          </cell>
          <cell r="M197">
            <v>393</v>
          </cell>
          <cell r="N197" t="str">
            <v>C</v>
          </cell>
          <cell r="O197">
            <v>284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5</v>
          </cell>
          <cell r="U197">
            <v>112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30</v>
          </cell>
          <cell r="AA197">
            <v>69.75</v>
          </cell>
          <cell r="AB197">
            <v>99.64</v>
          </cell>
          <cell r="AC197">
            <v>0</v>
          </cell>
          <cell r="AD197">
            <v>99.64</v>
          </cell>
          <cell r="AE197">
            <v>0</v>
          </cell>
          <cell r="AF197">
            <v>1.55</v>
          </cell>
          <cell r="AG197">
            <v>0.7</v>
          </cell>
        </row>
        <row r="198">
          <cell r="B198">
            <v>240550902</v>
          </cell>
          <cell r="C198" t="str">
            <v>8888264945</v>
          </cell>
          <cell r="D198" t="str">
            <v>SONDA SALEM 14 Fr. Marca COVIDIEN x Und</v>
          </cell>
          <cell r="E198" t="str">
            <v>COVIDIEN</v>
          </cell>
          <cell r="F198" t="str">
            <v/>
          </cell>
          <cell r="G198" t="str">
            <v/>
          </cell>
          <cell r="H198" t="str">
            <v/>
          </cell>
          <cell r="I198" t="str">
            <v>CJX10</v>
          </cell>
          <cell r="J198">
            <v>1</v>
          </cell>
          <cell r="K198">
            <v>1</v>
          </cell>
          <cell r="L198" t="str">
            <v>C</v>
          </cell>
          <cell r="M198">
            <v>90</v>
          </cell>
          <cell r="N198" t="str">
            <v>C</v>
          </cell>
          <cell r="O198">
            <v>103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24</v>
          </cell>
          <cell r="U198">
            <v>292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50</v>
          </cell>
          <cell r="AA198">
            <v>69.75</v>
          </cell>
          <cell r="AB198">
            <v>99.64</v>
          </cell>
          <cell r="AC198">
            <v>0</v>
          </cell>
          <cell r="AD198">
            <v>99.64</v>
          </cell>
          <cell r="AE198">
            <v>0</v>
          </cell>
          <cell r="AF198">
            <v>1.55</v>
          </cell>
          <cell r="AG198">
            <v>0.7</v>
          </cell>
        </row>
        <row r="199">
          <cell r="B199">
            <v>240550706</v>
          </cell>
          <cell r="C199" t="str">
            <v>8888264960</v>
          </cell>
          <cell r="D199" t="str">
            <v>SONDA SALEM 16 Fr. Marca COVIDIEN x Und</v>
          </cell>
          <cell r="E199" t="str">
            <v>COVIDIEN</v>
          </cell>
          <cell r="F199" t="str">
            <v>REF 8888264960</v>
          </cell>
          <cell r="G199" t="str">
            <v/>
          </cell>
          <cell r="H199" t="str">
            <v/>
          </cell>
          <cell r="I199" t="str">
            <v>CJX10</v>
          </cell>
          <cell r="J199">
            <v>1</v>
          </cell>
          <cell r="K199">
            <v>1</v>
          </cell>
          <cell r="L199" t="str">
            <v>C</v>
          </cell>
          <cell r="M199">
            <v>230</v>
          </cell>
          <cell r="N199" t="str">
            <v>C</v>
          </cell>
          <cell r="O199">
            <v>143</v>
          </cell>
          <cell r="P199">
            <v>0</v>
          </cell>
          <cell r="Q199">
            <v>40</v>
          </cell>
          <cell r="R199">
            <v>40</v>
          </cell>
          <cell r="S199">
            <v>0</v>
          </cell>
          <cell r="T199">
            <v>5</v>
          </cell>
          <cell r="U199">
            <v>97</v>
          </cell>
          <cell r="V199">
            <v>0</v>
          </cell>
          <cell r="W199">
            <v>0</v>
          </cell>
          <cell r="X199">
            <v>0</v>
          </cell>
          <cell r="Y199">
            <v>40</v>
          </cell>
          <cell r="Z199">
            <v>134</v>
          </cell>
          <cell r="AA199">
            <v>104.85</v>
          </cell>
          <cell r="AB199">
            <v>149.79</v>
          </cell>
          <cell r="AC199">
            <v>0</v>
          </cell>
          <cell r="AD199">
            <v>149.79</v>
          </cell>
          <cell r="AE199">
            <v>0</v>
          </cell>
          <cell r="AF199">
            <v>2.33</v>
          </cell>
          <cell r="AG199">
            <v>0.7</v>
          </cell>
        </row>
        <row r="200">
          <cell r="B200">
            <v>240550906</v>
          </cell>
          <cell r="C200" t="str">
            <v>8888160333</v>
          </cell>
          <cell r="D200" t="str">
            <v>SONDA SALEM 18 Fr. Marca COVIDIEN x Und</v>
          </cell>
          <cell r="E200" t="str">
            <v>COVIDIEN</v>
          </cell>
          <cell r="F200" t="str">
            <v/>
          </cell>
          <cell r="G200" t="str">
            <v/>
          </cell>
          <cell r="H200" t="str">
            <v/>
          </cell>
          <cell r="I200" t="str">
            <v>UND</v>
          </cell>
          <cell r="J200">
            <v>1</v>
          </cell>
          <cell r="K200">
            <v>1</v>
          </cell>
          <cell r="L200" t="str">
            <v>C</v>
          </cell>
          <cell r="M200">
            <v>298</v>
          </cell>
          <cell r="N200" t="str">
            <v>C</v>
          </cell>
          <cell r="O200">
            <v>268</v>
          </cell>
          <cell r="P200">
            <v>0</v>
          </cell>
          <cell r="Q200">
            <v>25</v>
          </cell>
          <cell r="R200">
            <v>25</v>
          </cell>
          <cell r="S200">
            <v>0</v>
          </cell>
          <cell r="T200">
            <v>309</v>
          </cell>
          <cell r="U200">
            <v>11</v>
          </cell>
          <cell r="V200">
            <v>0</v>
          </cell>
          <cell r="W200">
            <v>0</v>
          </cell>
          <cell r="X200">
            <v>0</v>
          </cell>
          <cell r="Y200">
            <v>25</v>
          </cell>
          <cell r="Z200">
            <v>25</v>
          </cell>
          <cell r="AA200">
            <v>104.85</v>
          </cell>
          <cell r="AB200">
            <v>149.79</v>
          </cell>
          <cell r="AC200">
            <v>0</v>
          </cell>
          <cell r="AD200">
            <v>149.79</v>
          </cell>
          <cell r="AE200">
            <v>0</v>
          </cell>
          <cell r="AF200">
            <v>2.33</v>
          </cell>
          <cell r="AG200">
            <v>0.7</v>
          </cell>
        </row>
        <row r="201">
          <cell r="B201">
            <v>240550409</v>
          </cell>
          <cell r="C201" t="str">
            <v>570622</v>
          </cell>
          <cell r="D201" t="str">
            <v>SONDA SIMPLASTIC COUVALIER 3 VIAS 22 FR. Marca Rusch x Und</v>
          </cell>
          <cell r="E201" t="str">
            <v>RUSCH</v>
          </cell>
          <cell r="F201" t="str">
            <v>(REF 570622)</v>
          </cell>
          <cell r="G201" t="str">
            <v>SONDAS COUVALIER</v>
          </cell>
          <cell r="H201" t="str">
            <v/>
          </cell>
          <cell r="I201" t="str">
            <v>CJX10</v>
          </cell>
          <cell r="J201">
            <v>1</v>
          </cell>
          <cell r="K201">
            <v>1</v>
          </cell>
          <cell r="L201" t="str">
            <v>C</v>
          </cell>
          <cell r="M201">
            <v>47</v>
          </cell>
          <cell r="N201" t="str">
            <v>B</v>
          </cell>
          <cell r="O201">
            <v>13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5</v>
          </cell>
          <cell r="U201">
            <v>160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1454.4</v>
          </cell>
          <cell r="AB201">
            <v>2077.71</v>
          </cell>
          <cell r="AC201">
            <v>0</v>
          </cell>
          <cell r="AD201">
            <v>2077.71</v>
          </cell>
          <cell r="AE201">
            <v>0</v>
          </cell>
          <cell r="AF201">
            <v>32.32</v>
          </cell>
          <cell r="AG201">
            <v>0.7</v>
          </cell>
        </row>
        <row r="202">
          <cell r="B202">
            <v>240550419</v>
          </cell>
          <cell r="C202" t="str">
            <v>570624</v>
          </cell>
          <cell r="D202" t="str">
            <v>SONDA SIMPLASTIC COUVALIER 3 VIAS 24 FR. Marca Rusch x Und</v>
          </cell>
          <cell r="E202" t="str">
            <v>RUSCH</v>
          </cell>
          <cell r="F202" t="str">
            <v>REF 570624</v>
          </cell>
          <cell r="G202" t="str">
            <v>SONDAS COUVALIER</v>
          </cell>
          <cell r="H202" t="str">
            <v/>
          </cell>
          <cell r="I202" t="str">
            <v>CJX10</v>
          </cell>
          <cell r="J202">
            <v>1</v>
          </cell>
          <cell r="K202">
            <v>1</v>
          </cell>
          <cell r="L202" t="str">
            <v>C</v>
          </cell>
          <cell r="M202">
            <v>57</v>
          </cell>
          <cell r="N202" t="str">
            <v>B</v>
          </cell>
          <cell r="O202">
            <v>33</v>
          </cell>
          <cell r="P202">
            <v>0</v>
          </cell>
          <cell r="Q202">
            <v>1</v>
          </cell>
          <cell r="R202">
            <v>1</v>
          </cell>
          <cell r="S202">
            <v>0</v>
          </cell>
          <cell r="T202">
            <v>5</v>
          </cell>
          <cell r="U202">
            <v>192</v>
          </cell>
          <cell r="V202">
            <v>0</v>
          </cell>
          <cell r="W202">
            <v>0</v>
          </cell>
          <cell r="X202">
            <v>0</v>
          </cell>
          <cell r="Y202">
            <v>1</v>
          </cell>
          <cell r="Z202">
            <v>29</v>
          </cell>
          <cell r="AA202">
            <v>1454.4</v>
          </cell>
          <cell r="AB202">
            <v>2077.71</v>
          </cell>
          <cell r="AC202">
            <v>0</v>
          </cell>
          <cell r="AD202">
            <v>2077.71</v>
          </cell>
          <cell r="AE202">
            <v>0</v>
          </cell>
          <cell r="AF202">
            <v>32.32</v>
          </cell>
          <cell r="AG202">
            <v>0.7</v>
          </cell>
        </row>
        <row r="203">
          <cell r="B203">
            <v>242201463</v>
          </cell>
          <cell r="C203" t="str">
            <v/>
          </cell>
          <cell r="D203" t="str">
            <v>SUJETADOR DE SONDA NASOGASTRICA MARCA DALE x Und</v>
          </cell>
          <cell r="E203" t="str">
            <v>DALE</v>
          </cell>
          <cell r="F203" t="str">
            <v/>
          </cell>
          <cell r="G203" t="str">
            <v/>
          </cell>
          <cell r="H203" t="str">
            <v/>
          </cell>
          <cell r="I203" t="str">
            <v>CJX50</v>
          </cell>
          <cell r="J203">
            <v>1</v>
          </cell>
          <cell r="K203">
            <v>1</v>
          </cell>
          <cell r="L203" t="str">
            <v>C</v>
          </cell>
          <cell r="M203">
            <v>58</v>
          </cell>
          <cell r="N203" t="str">
            <v>C</v>
          </cell>
          <cell r="O203">
            <v>131</v>
          </cell>
          <cell r="P203">
            <v>0</v>
          </cell>
          <cell r="Q203">
            <v>20</v>
          </cell>
          <cell r="R203">
            <v>20</v>
          </cell>
          <cell r="S203">
            <v>0</v>
          </cell>
          <cell r="T203">
            <v>140</v>
          </cell>
          <cell r="U203">
            <v>81</v>
          </cell>
          <cell r="V203">
            <v>0</v>
          </cell>
          <cell r="W203">
            <v>10</v>
          </cell>
          <cell r="X203">
            <v>0</v>
          </cell>
          <cell r="Y203">
            <v>20</v>
          </cell>
          <cell r="Z203">
            <v>82</v>
          </cell>
          <cell r="AA203">
            <v>137.25</v>
          </cell>
          <cell r="AB203">
            <v>228.75</v>
          </cell>
          <cell r="AC203">
            <v>0</v>
          </cell>
          <cell r="AD203">
            <v>228.75</v>
          </cell>
          <cell r="AE203">
            <v>0</v>
          </cell>
          <cell r="AF203">
            <v>3.05</v>
          </cell>
          <cell r="AG203">
            <v>0.6</v>
          </cell>
        </row>
        <row r="204">
          <cell r="B204">
            <v>242201466</v>
          </cell>
          <cell r="C204" t="str">
            <v/>
          </cell>
          <cell r="D204" t="str">
            <v>SUJETADOR DE VIA VENOSA  Talla Larga (Venoclisis) x Und</v>
          </cell>
          <cell r="E204" t="str">
            <v>DIASI</v>
          </cell>
          <cell r="F204" t="str">
            <v/>
          </cell>
          <cell r="G204" t="str">
            <v>SUJETADORES DE VIA</v>
          </cell>
          <cell r="H204" t="str">
            <v/>
          </cell>
          <cell r="I204" t="str">
            <v>UND</v>
          </cell>
          <cell r="J204">
            <v>1</v>
          </cell>
          <cell r="K204">
            <v>1</v>
          </cell>
          <cell r="L204" t="str">
            <v>C</v>
          </cell>
          <cell r="M204">
            <v>212</v>
          </cell>
          <cell r="N204" t="str">
            <v>C</v>
          </cell>
          <cell r="O204">
            <v>13</v>
          </cell>
          <cell r="P204">
            <v>0</v>
          </cell>
          <cell r="Q204">
            <v>8</v>
          </cell>
          <cell r="R204">
            <v>8</v>
          </cell>
          <cell r="S204">
            <v>0</v>
          </cell>
          <cell r="T204">
            <v>5</v>
          </cell>
          <cell r="U204">
            <v>1055</v>
          </cell>
          <cell r="V204">
            <v>0</v>
          </cell>
          <cell r="W204">
            <v>0</v>
          </cell>
          <cell r="X204">
            <v>0</v>
          </cell>
          <cell r="Y204">
            <v>8</v>
          </cell>
          <cell r="Z204">
            <v>2500</v>
          </cell>
          <cell r="AA204">
            <v>270</v>
          </cell>
          <cell r="AB204">
            <v>600</v>
          </cell>
          <cell r="AC204">
            <v>0</v>
          </cell>
          <cell r="AD204">
            <v>600</v>
          </cell>
          <cell r="AE204">
            <v>0</v>
          </cell>
          <cell r="AF204">
            <v>6</v>
          </cell>
          <cell r="AG204">
            <v>0.45</v>
          </cell>
        </row>
        <row r="205">
          <cell r="B205">
            <v>242201465</v>
          </cell>
          <cell r="C205" t="str">
            <v/>
          </cell>
          <cell r="D205" t="str">
            <v>SUJETADOR DE VIA VENOSA Talla Neonatal  (Venoclisis) x Und</v>
          </cell>
          <cell r="E205" t="str">
            <v>DIASI</v>
          </cell>
          <cell r="F205" t="str">
            <v/>
          </cell>
          <cell r="G205" t="str">
            <v>SUJETADORES DE VIA</v>
          </cell>
          <cell r="H205" t="str">
            <v/>
          </cell>
          <cell r="I205" t="str">
            <v>UND</v>
          </cell>
          <cell r="J205">
            <v>1</v>
          </cell>
          <cell r="K205">
            <v>1</v>
          </cell>
          <cell r="L205" t="str">
            <v>C</v>
          </cell>
          <cell r="M205">
            <v>71</v>
          </cell>
          <cell r="N205" t="str">
            <v>C</v>
          </cell>
          <cell r="O205">
            <v>22</v>
          </cell>
          <cell r="P205">
            <v>0</v>
          </cell>
          <cell r="Q205">
            <v>55</v>
          </cell>
          <cell r="R205">
            <v>55</v>
          </cell>
          <cell r="S205">
            <v>0</v>
          </cell>
          <cell r="T205">
            <v>5</v>
          </cell>
          <cell r="U205">
            <v>2140</v>
          </cell>
          <cell r="V205">
            <v>0</v>
          </cell>
          <cell r="W205">
            <v>500</v>
          </cell>
          <cell r="X205">
            <v>0</v>
          </cell>
          <cell r="Y205">
            <v>55</v>
          </cell>
          <cell r="Z205">
            <v>210</v>
          </cell>
          <cell r="AA205">
            <v>67.5</v>
          </cell>
          <cell r="AB205">
            <v>150</v>
          </cell>
          <cell r="AC205">
            <v>0</v>
          </cell>
          <cell r="AD205">
            <v>150</v>
          </cell>
          <cell r="AE205">
            <v>0</v>
          </cell>
          <cell r="AF205">
            <v>1.5</v>
          </cell>
          <cell r="AG205">
            <v>0.45</v>
          </cell>
        </row>
        <row r="206">
          <cell r="B206">
            <v>242201468</v>
          </cell>
          <cell r="C206" t="str">
            <v/>
          </cell>
          <cell r="D206" t="str">
            <v>SUJETADOR DE VIA VENOSA Talla S  (Venoclisis) x Und</v>
          </cell>
          <cell r="E206" t="str">
            <v>DIASI</v>
          </cell>
          <cell r="F206" t="str">
            <v/>
          </cell>
          <cell r="G206" t="str">
            <v/>
          </cell>
          <cell r="H206" t="str">
            <v/>
          </cell>
          <cell r="I206" t="str">
            <v>UND</v>
          </cell>
          <cell r="J206">
            <v>1</v>
          </cell>
          <cell r="K206">
            <v>1</v>
          </cell>
          <cell r="L206" t="str">
            <v>C</v>
          </cell>
          <cell r="M206">
            <v>6</v>
          </cell>
          <cell r="N206" t="str">
            <v>B</v>
          </cell>
          <cell r="O206">
            <v>22</v>
          </cell>
          <cell r="P206">
            <v>0</v>
          </cell>
          <cell r="Q206">
            <v>70</v>
          </cell>
          <cell r="R206">
            <v>70</v>
          </cell>
          <cell r="S206">
            <v>0</v>
          </cell>
          <cell r="T206">
            <v>5</v>
          </cell>
          <cell r="U206">
            <v>1875</v>
          </cell>
          <cell r="V206">
            <v>0</v>
          </cell>
          <cell r="W206">
            <v>500</v>
          </cell>
          <cell r="X206">
            <v>0</v>
          </cell>
          <cell r="Y206">
            <v>70</v>
          </cell>
          <cell r="Z206">
            <v>144</v>
          </cell>
          <cell r="AA206">
            <v>90</v>
          </cell>
          <cell r="AB206">
            <v>200</v>
          </cell>
          <cell r="AC206">
            <v>0</v>
          </cell>
          <cell r="AD206">
            <v>200</v>
          </cell>
          <cell r="AE206">
            <v>0</v>
          </cell>
          <cell r="AF206">
            <v>2</v>
          </cell>
          <cell r="AG206">
            <v>0.45</v>
          </cell>
        </row>
        <row r="207">
          <cell r="B207">
            <v>242201362</v>
          </cell>
          <cell r="C207" t="str">
            <v/>
          </cell>
          <cell r="D207" t="str">
            <v>SUJETADOR P/SONDA FOLEY x Und</v>
          </cell>
          <cell r="E207" t="str">
            <v>DIASI</v>
          </cell>
          <cell r="F207" t="str">
            <v/>
          </cell>
          <cell r="G207" t="str">
            <v>SUJETADORES DE SONDA</v>
          </cell>
          <cell r="H207" t="str">
            <v/>
          </cell>
          <cell r="I207" t="str">
            <v>CJX50</v>
          </cell>
          <cell r="J207">
            <v>1</v>
          </cell>
          <cell r="K207">
            <v>1</v>
          </cell>
          <cell r="L207" t="str">
            <v>C</v>
          </cell>
          <cell r="M207">
            <v>33</v>
          </cell>
          <cell r="N207" t="str">
            <v>C</v>
          </cell>
          <cell r="O207">
            <v>45</v>
          </cell>
          <cell r="P207">
            <v>0</v>
          </cell>
          <cell r="Q207">
            <v>410</v>
          </cell>
          <cell r="R207">
            <v>410</v>
          </cell>
          <cell r="S207">
            <v>0</v>
          </cell>
          <cell r="T207">
            <v>5</v>
          </cell>
          <cell r="U207">
            <v>2727</v>
          </cell>
          <cell r="V207">
            <v>0</v>
          </cell>
          <cell r="W207">
            <v>1500</v>
          </cell>
          <cell r="X207">
            <v>0</v>
          </cell>
          <cell r="Y207">
            <v>410</v>
          </cell>
          <cell r="Z207">
            <v>750</v>
          </cell>
          <cell r="AA207">
            <v>40.5</v>
          </cell>
          <cell r="AB207">
            <v>162</v>
          </cell>
          <cell r="AC207">
            <v>0</v>
          </cell>
          <cell r="AD207">
            <v>162</v>
          </cell>
          <cell r="AE207">
            <v>0</v>
          </cell>
          <cell r="AF207">
            <v>0.9</v>
          </cell>
          <cell r="AG207">
            <v>0.25</v>
          </cell>
        </row>
        <row r="208">
          <cell r="B208">
            <v>242202364</v>
          </cell>
          <cell r="C208" t="str">
            <v/>
          </cell>
          <cell r="D208" t="str">
            <v>SUJETADOR P/TRANSDUCTOR 3 VIAS x Und</v>
          </cell>
          <cell r="E208" t="str">
            <v>DIASI</v>
          </cell>
          <cell r="F208" t="str">
            <v/>
          </cell>
          <cell r="G208" t="str">
            <v/>
          </cell>
          <cell r="H208" t="str">
            <v/>
          </cell>
          <cell r="I208" t="str">
            <v>UND</v>
          </cell>
          <cell r="J208">
            <v>1</v>
          </cell>
          <cell r="K208">
            <v>1</v>
          </cell>
          <cell r="L208" t="str">
            <v>C</v>
          </cell>
          <cell r="M208">
            <v>377</v>
          </cell>
          <cell r="N208" t="str">
            <v>C</v>
          </cell>
          <cell r="O208">
            <v>223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5</v>
          </cell>
          <cell r="U208">
            <v>740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120</v>
          </cell>
          <cell r="AA208">
            <v>225</v>
          </cell>
          <cell r="AB208">
            <v>321.43</v>
          </cell>
          <cell r="AC208">
            <v>0</v>
          </cell>
          <cell r="AD208">
            <v>321.43</v>
          </cell>
          <cell r="AE208">
            <v>0</v>
          </cell>
          <cell r="AF208">
            <v>5</v>
          </cell>
          <cell r="AG208">
            <v>0.7</v>
          </cell>
        </row>
        <row r="209">
          <cell r="B209">
            <v>242201364</v>
          </cell>
          <cell r="C209" t="str">
            <v/>
          </cell>
          <cell r="D209" t="str">
            <v>SUJETADOR P/TRAQUEOSTOMO x Und</v>
          </cell>
          <cell r="E209" t="str">
            <v>DIASI</v>
          </cell>
          <cell r="F209" t="str">
            <v/>
          </cell>
          <cell r="G209" t="str">
            <v>SUJETADORES TRAQUEOSTOMO</v>
          </cell>
          <cell r="H209" t="str">
            <v/>
          </cell>
          <cell r="I209" t="str">
            <v>CJX50</v>
          </cell>
          <cell r="J209">
            <v>1</v>
          </cell>
          <cell r="K209">
            <v>1</v>
          </cell>
          <cell r="L209" t="str">
            <v>C</v>
          </cell>
          <cell r="M209">
            <v>260</v>
          </cell>
          <cell r="N209" t="str">
            <v>C</v>
          </cell>
          <cell r="O209">
            <v>112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5</v>
          </cell>
          <cell r="U209">
            <v>431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50</v>
          </cell>
          <cell r="AA209">
            <v>101.25</v>
          </cell>
          <cell r="AB209">
            <v>144.63999999999999</v>
          </cell>
          <cell r="AC209">
            <v>0</v>
          </cell>
          <cell r="AD209">
            <v>144.63999999999999</v>
          </cell>
          <cell r="AE209">
            <v>0</v>
          </cell>
          <cell r="AF209">
            <v>2.25</v>
          </cell>
          <cell r="AG209">
            <v>0.7</v>
          </cell>
        </row>
        <row r="210">
          <cell r="B210">
            <v>242201464</v>
          </cell>
          <cell r="C210" t="str">
            <v/>
          </cell>
          <cell r="D210" t="str">
            <v>SUJETADOR P/TRAQUEOTOMO MARCA DALE x Und</v>
          </cell>
          <cell r="E210" t="str">
            <v>DALE</v>
          </cell>
          <cell r="F210" t="str">
            <v/>
          </cell>
          <cell r="G210" t="str">
            <v/>
          </cell>
          <cell r="H210" t="str">
            <v/>
          </cell>
          <cell r="I210" t="str">
            <v>CJX50</v>
          </cell>
          <cell r="J210">
            <v>1</v>
          </cell>
          <cell r="K210">
            <v>1</v>
          </cell>
          <cell r="L210" t="str">
            <v>C</v>
          </cell>
          <cell r="M210">
            <v>226</v>
          </cell>
          <cell r="N210" t="str">
            <v>C</v>
          </cell>
          <cell r="O210">
            <v>79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5</v>
          </cell>
          <cell r="U210">
            <v>406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20</v>
          </cell>
          <cell r="AA210">
            <v>175.5</v>
          </cell>
          <cell r="AB210">
            <v>219.38</v>
          </cell>
          <cell r="AC210">
            <v>0</v>
          </cell>
          <cell r="AD210">
            <v>219.38</v>
          </cell>
          <cell r="AE210">
            <v>0</v>
          </cell>
          <cell r="AF210">
            <v>3.9</v>
          </cell>
          <cell r="AG210">
            <v>0.8</v>
          </cell>
        </row>
        <row r="211">
          <cell r="B211">
            <v>252650045</v>
          </cell>
          <cell r="C211" t="str">
            <v>8886261753</v>
          </cell>
          <cell r="D211" t="str">
            <v>SUT. ACERO HILO P/Marcapaso 2-0 SH/RECTA C=(Covidien Flexon Cardiac 8886261753) x Und</v>
          </cell>
          <cell r="E211" t="str">
            <v>COVIDIEN</v>
          </cell>
          <cell r="F211" t="str">
            <v/>
          </cell>
          <cell r="G211" t="str">
            <v/>
          </cell>
          <cell r="H211" t="str">
            <v/>
          </cell>
          <cell r="I211" t="str">
            <v>CJX12</v>
          </cell>
          <cell r="J211">
            <v>12</v>
          </cell>
          <cell r="K211">
            <v>1</v>
          </cell>
          <cell r="L211" t="str">
            <v>C</v>
          </cell>
          <cell r="M211">
            <v>108</v>
          </cell>
          <cell r="N211" t="str">
            <v>C</v>
          </cell>
          <cell r="O211">
            <v>95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5</v>
          </cell>
          <cell r="U211">
            <v>24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12</v>
          </cell>
          <cell r="AA211">
            <v>1085.8499999999999</v>
          </cell>
          <cell r="AB211">
            <v>1357.31</v>
          </cell>
          <cell r="AC211">
            <v>0</v>
          </cell>
          <cell r="AD211">
            <v>1357.31</v>
          </cell>
          <cell r="AE211">
            <v>0</v>
          </cell>
          <cell r="AF211">
            <v>24.13</v>
          </cell>
          <cell r="AG211">
            <v>0.8</v>
          </cell>
        </row>
        <row r="212">
          <cell r="B212">
            <v>252800921</v>
          </cell>
          <cell r="C212" t="str">
            <v/>
          </cell>
          <cell r="D212" t="str">
            <v>SUT. CHROMIC CATGUT CC1120036B0P (CROMICO 0 812T)  70cm  1/2  Aguja Curva 36mm DCT-1</v>
          </cell>
          <cell r="E212" t="str">
            <v>DEMETECH</v>
          </cell>
          <cell r="F212" t="str">
            <v/>
          </cell>
          <cell r="G212" t="str">
            <v/>
          </cell>
          <cell r="H212" t="str">
            <v/>
          </cell>
          <cell r="I212" t="str">
            <v>CJX12</v>
          </cell>
          <cell r="J212">
            <v>12</v>
          </cell>
          <cell r="K212">
            <v>1</v>
          </cell>
          <cell r="L212" t="str">
            <v>C</v>
          </cell>
          <cell r="M212">
            <v>166</v>
          </cell>
          <cell r="N212" t="str">
            <v>C</v>
          </cell>
          <cell r="O212">
            <v>49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241</v>
          </cell>
          <cell r="U212">
            <v>192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96</v>
          </cell>
          <cell r="AA212">
            <v>78.3</v>
          </cell>
          <cell r="AB212">
            <v>97.88</v>
          </cell>
          <cell r="AC212">
            <v>0</v>
          </cell>
          <cell r="AD212">
            <v>97.88</v>
          </cell>
          <cell r="AE212">
            <v>0</v>
          </cell>
          <cell r="AF212">
            <v>1.74</v>
          </cell>
          <cell r="AG212">
            <v>0.8</v>
          </cell>
        </row>
        <row r="213">
          <cell r="B213">
            <v>252800923</v>
          </cell>
          <cell r="C213" t="str">
            <v/>
          </cell>
          <cell r="D213" t="str">
            <v>SUT. CHROMIC CATGUT CC1120136B0P (CROMICO 1 813T) 70CM Aguja curva Round Bodied DCT1 1/2 36MM  MUSCULO,NASAL,FARINGE,PIEL</v>
          </cell>
          <cell r="E213" t="str">
            <v>DEMETECH</v>
          </cell>
          <cell r="F213" t="str">
            <v/>
          </cell>
          <cell r="G213" t="str">
            <v/>
          </cell>
          <cell r="H213" t="str">
            <v/>
          </cell>
          <cell r="I213" t="str">
            <v>CJX12</v>
          </cell>
          <cell r="J213">
            <v>12</v>
          </cell>
          <cell r="K213">
            <v>1</v>
          </cell>
          <cell r="L213" t="str">
            <v>C</v>
          </cell>
          <cell r="M213">
            <v>167</v>
          </cell>
          <cell r="N213" t="str">
            <v>C</v>
          </cell>
          <cell r="O213">
            <v>50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241</v>
          </cell>
          <cell r="U213">
            <v>192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96</v>
          </cell>
          <cell r="AA213">
            <v>78.3</v>
          </cell>
          <cell r="AB213">
            <v>97.88</v>
          </cell>
          <cell r="AC213">
            <v>0</v>
          </cell>
          <cell r="AD213">
            <v>97.88</v>
          </cell>
          <cell r="AE213">
            <v>0</v>
          </cell>
          <cell r="AF213">
            <v>1.74</v>
          </cell>
          <cell r="AG213">
            <v>0.8</v>
          </cell>
        </row>
        <row r="214">
          <cell r="B214">
            <v>252800924</v>
          </cell>
          <cell r="C214" t="str">
            <v/>
          </cell>
          <cell r="D214" t="str">
            <v>SUT. CHROMIC CATGUT CC1122036BOP (CROMICO 2-0  811T )   70cm   1/2 Aguja Curva 36mm  DCT-1</v>
          </cell>
          <cell r="E214" t="str">
            <v>DEMETECH</v>
          </cell>
          <cell r="F214" t="str">
            <v/>
          </cell>
          <cell r="G214" t="str">
            <v/>
          </cell>
          <cell r="H214" t="str">
            <v/>
          </cell>
          <cell r="I214" t="str">
            <v>CJX12</v>
          </cell>
          <cell r="J214">
            <v>12</v>
          </cell>
          <cell r="K214">
            <v>1</v>
          </cell>
          <cell r="L214" t="str">
            <v>C</v>
          </cell>
          <cell r="M214">
            <v>168</v>
          </cell>
          <cell r="N214" t="str">
            <v>C</v>
          </cell>
          <cell r="O214">
            <v>51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241</v>
          </cell>
          <cell r="U214">
            <v>156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144</v>
          </cell>
          <cell r="AA214">
            <v>78.3</v>
          </cell>
          <cell r="AB214">
            <v>97.88</v>
          </cell>
          <cell r="AC214">
            <v>0</v>
          </cell>
          <cell r="AD214">
            <v>97.88</v>
          </cell>
          <cell r="AE214">
            <v>0</v>
          </cell>
          <cell r="AF214">
            <v>1.74</v>
          </cell>
          <cell r="AG214">
            <v>0.8</v>
          </cell>
        </row>
        <row r="215">
          <cell r="B215">
            <v>252650417</v>
          </cell>
          <cell r="C215" t="str">
            <v/>
          </cell>
          <cell r="D215" t="str">
            <v>SUT. CHROMIC GUT 4-0 UG203 x Und</v>
          </cell>
          <cell r="E215" t="str">
            <v>ETHICON</v>
          </cell>
          <cell r="F215" t="str">
            <v>U203H COVIDIEN</v>
          </cell>
          <cell r="G215" t="str">
            <v/>
          </cell>
          <cell r="H215" t="str">
            <v/>
          </cell>
          <cell r="I215" t="str">
            <v>CJX36</v>
          </cell>
          <cell r="J215">
            <v>36</v>
          </cell>
          <cell r="K215">
            <v>1</v>
          </cell>
          <cell r="L215" t="str">
            <v>C</v>
          </cell>
          <cell r="M215">
            <v>194</v>
          </cell>
          <cell r="N215" t="str">
            <v>C</v>
          </cell>
          <cell r="O215">
            <v>166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5</v>
          </cell>
          <cell r="U215">
            <v>36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406.35</v>
          </cell>
          <cell r="AB215">
            <v>507.94</v>
          </cell>
          <cell r="AC215">
            <v>0</v>
          </cell>
          <cell r="AD215">
            <v>507.94</v>
          </cell>
          <cell r="AE215">
            <v>0</v>
          </cell>
          <cell r="AF215">
            <v>9.0299999999999994</v>
          </cell>
          <cell r="AG215">
            <v>0.8</v>
          </cell>
        </row>
        <row r="216">
          <cell r="B216">
            <v>252800022</v>
          </cell>
          <cell r="C216" t="str">
            <v/>
          </cell>
          <cell r="D216" t="str">
            <v>SUT. COV V-LOC 180 ABSORBIBLE. 0 GS-21 (15 Cm.) REF:L0306 x Und</v>
          </cell>
          <cell r="E216" t="str">
            <v>COVIDIEN</v>
          </cell>
          <cell r="F216" t="str">
            <v/>
          </cell>
          <cell r="G216" t="str">
            <v/>
          </cell>
          <cell r="H216" t="str">
            <v/>
          </cell>
          <cell r="I216" t="str">
            <v>CJX12</v>
          </cell>
          <cell r="J216">
            <v>12</v>
          </cell>
          <cell r="K216">
            <v>1</v>
          </cell>
          <cell r="L216" t="str">
            <v>C</v>
          </cell>
          <cell r="M216">
            <v>170</v>
          </cell>
          <cell r="N216" t="str">
            <v>C</v>
          </cell>
          <cell r="O216">
            <v>163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5</v>
          </cell>
          <cell r="U216">
            <v>24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12</v>
          </cell>
          <cell r="AA216">
            <v>2999.7</v>
          </cell>
          <cell r="AB216">
            <v>3749.63</v>
          </cell>
          <cell r="AC216">
            <v>0</v>
          </cell>
          <cell r="AD216">
            <v>3749.63</v>
          </cell>
          <cell r="AE216">
            <v>0</v>
          </cell>
          <cell r="AF216">
            <v>66.66</v>
          </cell>
          <cell r="AG216">
            <v>0.8</v>
          </cell>
        </row>
        <row r="217">
          <cell r="B217">
            <v>252800021</v>
          </cell>
          <cell r="C217" t="str">
            <v/>
          </cell>
          <cell r="D217" t="str">
            <v>SUT. COV V-LOC 180 ABSORBIBLE. 0 GS-21 (30 Cm.) REF:L0316 x Und</v>
          </cell>
          <cell r="E217" t="str">
            <v>COVIDIEN</v>
          </cell>
          <cell r="F217" t="str">
            <v/>
          </cell>
          <cell r="G217" t="str">
            <v/>
          </cell>
          <cell r="H217" t="str">
            <v/>
          </cell>
          <cell r="I217" t="str">
            <v>CJX12</v>
          </cell>
          <cell r="J217">
            <v>12</v>
          </cell>
          <cell r="K217">
            <v>1</v>
          </cell>
          <cell r="L217" t="str">
            <v>C</v>
          </cell>
          <cell r="M217">
            <v>36</v>
          </cell>
          <cell r="N217" t="str">
            <v>C</v>
          </cell>
          <cell r="O217">
            <v>32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18</v>
          </cell>
          <cell r="U217">
            <v>12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24</v>
          </cell>
          <cell r="AA217">
            <v>446.4</v>
          </cell>
          <cell r="AB217">
            <v>558</v>
          </cell>
          <cell r="AC217">
            <v>0</v>
          </cell>
          <cell r="AD217">
            <v>558</v>
          </cell>
          <cell r="AE217">
            <v>0</v>
          </cell>
          <cell r="AF217">
            <v>9.92</v>
          </cell>
          <cell r="AG217">
            <v>0.8</v>
          </cell>
        </row>
        <row r="218">
          <cell r="B218">
            <v>252800518</v>
          </cell>
          <cell r="C218" t="str">
            <v/>
          </cell>
          <cell r="D218" t="str">
            <v>SUT. COV V-LOC 90 ABSORBIBLE. 3-0 GU-46 REF:M1744  x Und</v>
          </cell>
          <cell r="E218" t="str">
            <v>COVIDIEN</v>
          </cell>
          <cell r="F218" t="str">
            <v/>
          </cell>
          <cell r="G218" t="str">
            <v/>
          </cell>
          <cell r="H218" t="str">
            <v/>
          </cell>
          <cell r="I218" t="str">
            <v>CJX12</v>
          </cell>
          <cell r="J218">
            <v>12</v>
          </cell>
          <cell r="K218">
            <v>1</v>
          </cell>
          <cell r="L218" t="str">
            <v>C</v>
          </cell>
          <cell r="M218">
            <v>89</v>
          </cell>
          <cell r="N218" t="str">
            <v>C</v>
          </cell>
          <cell r="O218">
            <v>66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5</v>
          </cell>
          <cell r="U218">
            <v>24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2476.8000000000002</v>
          </cell>
          <cell r="AB218">
            <v>3096</v>
          </cell>
          <cell r="AC218">
            <v>0</v>
          </cell>
          <cell r="AD218">
            <v>3096</v>
          </cell>
          <cell r="AE218">
            <v>0</v>
          </cell>
          <cell r="AF218">
            <v>55.04</v>
          </cell>
          <cell r="AG218">
            <v>0.8</v>
          </cell>
        </row>
        <row r="219">
          <cell r="B219">
            <v>252650419</v>
          </cell>
          <cell r="C219" t="str">
            <v>CG-48</v>
          </cell>
          <cell r="D219" t="str">
            <v>SUT. CROMICO 1 GUT CG-48 BP- 27x Und</v>
          </cell>
          <cell r="E219" t="str">
            <v>COVIDIEN</v>
          </cell>
          <cell r="F219" t="str">
            <v/>
          </cell>
          <cell r="G219" t="str">
            <v/>
          </cell>
          <cell r="H219" t="str">
            <v/>
          </cell>
          <cell r="I219" t="str">
            <v>CJX24</v>
          </cell>
          <cell r="J219">
            <v>24</v>
          </cell>
          <cell r="K219">
            <v>1</v>
          </cell>
          <cell r="L219" t="str">
            <v>C</v>
          </cell>
          <cell r="M219">
            <v>111</v>
          </cell>
          <cell r="N219" t="str">
            <v>C</v>
          </cell>
          <cell r="O219">
            <v>37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5</v>
          </cell>
          <cell r="U219">
            <v>72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1520.1</v>
          </cell>
          <cell r="AB219">
            <v>1900.13</v>
          </cell>
          <cell r="AC219">
            <v>0</v>
          </cell>
          <cell r="AD219">
            <v>1900.13</v>
          </cell>
          <cell r="AE219">
            <v>0</v>
          </cell>
          <cell r="AF219">
            <v>33.78</v>
          </cell>
          <cell r="AG219">
            <v>0.8</v>
          </cell>
        </row>
        <row r="220">
          <cell r="B220">
            <v>252800608</v>
          </cell>
          <cell r="C220" t="str">
            <v/>
          </cell>
          <cell r="D220" t="str">
            <v>SUT. ETHIBOND 2-0 SH/SH PXX82 SIN TELFA x Und</v>
          </cell>
          <cell r="E220" t="str">
            <v>ETHICON</v>
          </cell>
          <cell r="F220" t="str">
            <v/>
          </cell>
          <cell r="G220" t="str">
            <v/>
          </cell>
          <cell r="H220" t="str">
            <v/>
          </cell>
          <cell r="I220" t="str">
            <v>CJX12</v>
          </cell>
          <cell r="J220">
            <v>1</v>
          </cell>
          <cell r="K220">
            <v>1</v>
          </cell>
          <cell r="L220" t="str">
            <v>C</v>
          </cell>
          <cell r="M220">
            <v>139</v>
          </cell>
          <cell r="N220" t="str">
            <v>C</v>
          </cell>
          <cell r="O220">
            <v>168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5</v>
          </cell>
          <cell r="U220">
            <v>12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12</v>
          </cell>
          <cell r="AA220">
            <v>1875.15</v>
          </cell>
          <cell r="AB220">
            <v>2343.94</v>
          </cell>
          <cell r="AC220">
            <v>0</v>
          </cell>
          <cell r="AD220">
            <v>2343.94</v>
          </cell>
          <cell r="AE220">
            <v>0</v>
          </cell>
          <cell r="AF220">
            <v>41.67</v>
          </cell>
          <cell r="AG220">
            <v>0.8</v>
          </cell>
        </row>
        <row r="221">
          <cell r="B221">
            <v>252800621</v>
          </cell>
          <cell r="C221" t="str">
            <v>X563H</v>
          </cell>
          <cell r="D221" t="str">
            <v>SUT. ETHIBOND 2-0SH X563H SIN TELFA x Und</v>
          </cell>
          <cell r="E221" t="str">
            <v>J&amp;J</v>
          </cell>
          <cell r="F221" t="str">
            <v/>
          </cell>
          <cell r="G221" t="str">
            <v/>
          </cell>
          <cell r="H221" t="str">
            <v/>
          </cell>
          <cell r="I221" t="str">
            <v>CJX36</v>
          </cell>
          <cell r="J221">
            <v>1</v>
          </cell>
          <cell r="K221">
            <v>1</v>
          </cell>
          <cell r="L221" t="str">
            <v>C</v>
          </cell>
          <cell r="M221">
            <v>149</v>
          </cell>
          <cell r="N221" t="str">
            <v>C</v>
          </cell>
          <cell r="O221">
            <v>125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5</v>
          </cell>
          <cell r="U221">
            <v>36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940.05</v>
          </cell>
          <cell r="AB221">
            <v>1175.06</v>
          </cell>
          <cell r="AC221">
            <v>0</v>
          </cell>
          <cell r="AD221">
            <v>1175.06</v>
          </cell>
          <cell r="AE221">
            <v>0</v>
          </cell>
          <cell r="AF221">
            <v>20.89</v>
          </cell>
          <cell r="AG221">
            <v>0.8</v>
          </cell>
        </row>
        <row r="222">
          <cell r="B222">
            <v>252800101</v>
          </cell>
          <cell r="C222" t="str">
            <v/>
          </cell>
          <cell r="D222" t="str">
            <v>SUT. MONOSOF 2-0 18" 45CM  (SN 764-164T) x Und./\Presentacion Caja x 36 Unds.</v>
          </cell>
          <cell r="E222" t="str">
            <v>COVIDIEN</v>
          </cell>
          <cell r="F222" t="str">
            <v>SN-764 COVIDIEN/664H ETHICON//</v>
          </cell>
          <cell r="G222" t="str">
            <v>SUTURAS DAFILON</v>
          </cell>
          <cell r="H222" t="str">
            <v/>
          </cell>
          <cell r="I222" t="str">
            <v>CJ</v>
          </cell>
          <cell r="J222">
            <v>36</v>
          </cell>
          <cell r="K222">
            <v>1</v>
          </cell>
          <cell r="L222" t="str">
            <v>C</v>
          </cell>
          <cell r="M222">
            <v>222</v>
          </cell>
          <cell r="N222" t="str">
            <v>C</v>
          </cell>
          <cell r="O222">
            <v>201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5</v>
          </cell>
          <cell r="U222">
            <v>36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85.95</v>
          </cell>
          <cell r="AB222">
            <v>107.44</v>
          </cell>
          <cell r="AC222">
            <v>0</v>
          </cell>
          <cell r="AD222">
            <v>107.44</v>
          </cell>
          <cell r="AE222">
            <v>0</v>
          </cell>
          <cell r="AF222">
            <v>1.91</v>
          </cell>
          <cell r="AG222">
            <v>0.8</v>
          </cell>
        </row>
        <row r="223">
          <cell r="B223">
            <v>252800932</v>
          </cell>
          <cell r="C223" t="str">
            <v/>
          </cell>
          <cell r="D223" t="str">
            <v>SUT. NYLON MONOFILAMENT NL163024F4P (ETHILON 3-0 163T) 45cm Aguja curva reverse cutting DFS-1 3/8 24mm PIEL</v>
          </cell>
          <cell r="E223" t="str">
            <v>DEMETECH</v>
          </cell>
          <cell r="F223" t="str">
            <v/>
          </cell>
          <cell r="G223" t="str">
            <v/>
          </cell>
          <cell r="H223" t="str">
            <v/>
          </cell>
          <cell r="I223" t="str">
            <v>CJX12</v>
          </cell>
          <cell r="J223">
            <v>1</v>
          </cell>
          <cell r="K223">
            <v>1</v>
          </cell>
          <cell r="L223" t="str">
            <v>C</v>
          </cell>
          <cell r="M223">
            <v>179</v>
          </cell>
          <cell r="N223" t="str">
            <v>C</v>
          </cell>
          <cell r="O223">
            <v>67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241</v>
          </cell>
          <cell r="U223">
            <v>180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48</v>
          </cell>
          <cell r="AA223">
            <v>61.65</v>
          </cell>
          <cell r="AB223">
            <v>77.06</v>
          </cell>
          <cell r="AC223">
            <v>0</v>
          </cell>
          <cell r="AD223">
            <v>77.06</v>
          </cell>
          <cell r="AE223">
            <v>0</v>
          </cell>
          <cell r="AF223">
            <v>1.37</v>
          </cell>
          <cell r="AG223">
            <v>0.8</v>
          </cell>
        </row>
        <row r="224">
          <cell r="B224">
            <v>252600167</v>
          </cell>
          <cell r="C224" t="str">
            <v>Z496G</v>
          </cell>
          <cell r="D224" t="str">
            <v>SUT. PDS II 4-0  Z496G x Und</v>
          </cell>
          <cell r="E224" t="str">
            <v>J&amp;J</v>
          </cell>
          <cell r="F224" t="str">
            <v/>
          </cell>
          <cell r="G224" t="str">
            <v/>
          </cell>
          <cell r="H224" t="str">
            <v/>
          </cell>
          <cell r="I224" t="str">
            <v>CJX12</v>
          </cell>
          <cell r="J224">
            <v>12</v>
          </cell>
          <cell r="K224">
            <v>1</v>
          </cell>
          <cell r="L224" t="str">
            <v>C</v>
          </cell>
          <cell r="M224">
            <v>130</v>
          </cell>
          <cell r="N224" t="str">
            <v>C</v>
          </cell>
          <cell r="O224">
            <v>71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5</v>
          </cell>
          <cell r="U224">
            <v>36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232.65</v>
          </cell>
          <cell r="AB224">
            <v>290.81</v>
          </cell>
          <cell r="AC224">
            <v>0</v>
          </cell>
          <cell r="AD224">
            <v>290.81</v>
          </cell>
          <cell r="AE224">
            <v>0</v>
          </cell>
          <cell r="AF224">
            <v>5.17</v>
          </cell>
          <cell r="AG224">
            <v>0.8</v>
          </cell>
        </row>
        <row r="225">
          <cell r="B225">
            <v>252600168</v>
          </cell>
          <cell r="C225" t="str">
            <v>Z493G</v>
          </cell>
          <cell r="D225" t="str">
            <v>SUT. PDS II 5-0  Z493G x Und</v>
          </cell>
          <cell r="E225" t="str">
            <v>ETHICON</v>
          </cell>
          <cell r="F225" t="str">
            <v/>
          </cell>
          <cell r="G225" t="str">
            <v/>
          </cell>
          <cell r="H225" t="str">
            <v/>
          </cell>
          <cell r="I225" t="str">
            <v>CJX12</v>
          </cell>
          <cell r="J225">
            <v>12</v>
          </cell>
          <cell r="K225">
            <v>1</v>
          </cell>
          <cell r="L225" t="str">
            <v>C</v>
          </cell>
          <cell r="M225">
            <v>127</v>
          </cell>
          <cell r="N225" t="str">
            <v>C</v>
          </cell>
          <cell r="O225">
            <v>121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24</v>
          </cell>
          <cell r="U225">
            <v>24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633.6</v>
          </cell>
          <cell r="AB225">
            <v>792</v>
          </cell>
          <cell r="AC225">
            <v>0</v>
          </cell>
          <cell r="AD225">
            <v>792</v>
          </cell>
          <cell r="AE225">
            <v>0</v>
          </cell>
          <cell r="AF225">
            <v>14.08</v>
          </cell>
          <cell r="AG225">
            <v>0.8</v>
          </cell>
        </row>
        <row r="226">
          <cell r="B226">
            <v>252600166</v>
          </cell>
          <cell r="C226" t="str">
            <v>Z123H</v>
          </cell>
          <cell r="D226" t="str">
            <v>SUT. PDS II 6-0  Z123H x Und</v>
          </cell>
          <cell r="E226" t="str">
            <v>J&amp;J</v>
          </cell>
          <cell r="F226" t="str">
            <v/>
          </cell>
          <cell r="G226" t="str">
            <v/>
          </cell>
          <cell r="H226" t="str">
            <v/>
          </cell>
          <cell r="I226" t="str">
            <v>CJX36</v>
          </cell>
          <cell r="J226">
            <v>36</v>
          </cell>
          <cell r="K226">
            <v>1</v>
          </cell>
          <cell r="L226" t="str">
            <v>C</v>
          </cell>
          <cell r="M226">
            <v>87</v>
          </cell>
          <cell r="N226" t="str">
            <v>C</v>
          </cell>
          <cell r="O226">
            <v>40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5</v>
          </cell>
          <cell r="U226">
            <v>36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36</v>
          </cell>
          <cell r="AA226">
            <v>677.7</v>
          </cell>
          <cell r="AB226">
            <v>847.13</v>
          </cell>
          <cell r="AC226">
            <v>0</v>
          </cell>
          <cell r="AD226">
            <v>847.13</v>
          </cell>
          <cell r="AE226">
            <v>0</v>
          </cell>
          <cell r="AF226">
            <v>15.06</v>
          </cell>
          <cell r="AG226">
            <v>0.8</v>
          </cell>
        </row>
        <row r="227">
          <cell r="B227">
            <v>252650410</v>
          </cell>
          <cell r="C227" t="str">
            <v>J341H</v>
          </cell>
          <cell r="D227" t="str">
            <v>SUT. POLYGLACTIN 910 G1180136B0P (VICRYL 1  J341H)/70 cm Aguja Curva Round Bodied DCT-1 1/2 36mm x Und.^Marca DEMETECH</v>
          </cell>
          <cell r="E227" t="str">
            <v>DEMETECH</v>
          </cell>
          <cell r="F227" t="str">
            <v/>
          </cell>
          <cell r="G227" t="str">
            <v>SUTURAS SAFIL</v>
          </cell>
          <cell r="H227" t="str">
            <v/>
          </cell>
          <cell r="I227" t="str">
            <v>CJX12</v>
          </cell>
          <cell r="J227">
            <v>12</v>
          </cell>
          <cell r="K227">
            <v>1</v>
          </cell>
          <cell r="L227" t="str">
            <v>C</v>
          </cell>
          <cell r="M227">
            <v>142</v>
          </cell>
          <cell r="N227" t="str">
            <v>C</v>
          </cell>
          <cell r="O227">
            <v>27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241</v>
          </cell>
          <cell r="U227">
            <v>168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648</v>
          </cell>
          <cell r="AA227">
            <v>118.8</v>
          </cell>
          <cell r="AB227">
            <v>148.5</v>
          </cell>
          <cell r="AC227">
            <v>0</v>
          </cell>
          <cell r="AD227">
            <v>148.5</v>
          </cell>
          <cell r="AE227">
            <v>0</v>
          </cell>
          <cell r="AF227">
            <v>2.64</v>
          </cell>
          <cell r="AG227">
            <v>0.8</v>
          </cell>
        </row>
        <row r="228">
          <cell r="B228">
            <v>252650844</v>
          </cell>
          <cell r="C228" t="str">
            <v>SL690</v>
          </cell>
          <cell r="D228" t="str">
            <v>SUT. POLYSORB 5/0 AGUJA C-13 REF SL690 (COVIDIEN) x Und</v>
          </cell>
          <cell r="E228" t="str">
            <v>COVIDIEN</v>
          </cell>
          <cell r="F228" t="str">
            <v/>
          </cell>
          <cell r="G228" t="str">
            <v/>
          </cell>
          <cell r="H228" t="str">
            <v/>
          </cell>
          <cell r="I228" t="str">
            <v>CJX36</v>
          </cell>
          <cell r="J228">
            <v>36</v>
          </cell>
          <cell r="K228">
            <v>1</v>
          </cell>
          <cell r="L228" t="str">
            <v>C</v>
          </cell>
          <cell r="M228">
            <v>177</v>
          </cell>
          <cell r="N228" t="str">
            <v>C</v>
          </cell>
          <cell r="O228">
            <v>148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5</v>
          </cell>
          <cell r="U228">
            <v>36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435.6</v>
          </cell>
          <cell r="AB228">
            <v>544.5</v>
          </cell>
          <cell r="AC228">
            <v>0</v>
          </cell>
          <cell r="AD228">
            <v>544.5</v>
          </cell>
          <cell r="AE228">
            <v>0</v>
          </cell>
          <cell r="AF228">
            <v>9.68</v>
          </cell>
          <cell r="AG228">
            <v>0.8</v>
          </cell>
        </row>
        <row r="229">
          <cell r="B229">
            <v>252800419</v>
          </cell>
          <cell r="C229" t="str">
            <v>8521H</v>
          </cell>
          <cell r="D229" t="str">
            <v>SUT. PROLENE 4-0, ag SH/SH, (8521H) Marca Johnson &amp; Johnson x Und</v>
          </cell>
          <cell r="E229" t="str">
            <v>J&amp;J</v>
          </cell>
          <cell r="F229" t="str">
            <v/>
          </cell>
          <cell r="G229" t="str">
            <v/>
          </cell>
          <cell r="H229" t="str">
            <v/>
          </cell>
          <cell r="I229" t="str">
            <v>CJX36</v>
          </cell>
          <cell r="J229">
            <v>36</v>
          </cell>
          <cell r="K229">
            <v>1</v>
          </cell>
          <cell r="L229" t="str">
            <v>C</v>
          </cell>
          <cell r="M229">
            <v>161</v>
          </cell>
          <cell r="N229" t="str">
            <v>C</v>
          </cell>
          <cell r="O229">
            <v>35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5</v>
          </cell>
          <cell r="U229">
            <v>216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1173.5999999999999</v>
          </cell>
          <cell r="AB229">
            <v>1467</v>
          </cell>
          <cell r="AC229">
            <v>0</v>
          </cell>
          <cell r="AD229">
            <v>1467</v>
          </cell>
          <cell r="AE229">
            <v>0</v>
          </cell>
          <cell r="AF229">
            <v>26.08</v>
          </cell>
          <cell r="AG229">
            <v>0.8</v>
          </cell>
        </row>
        <row r="230">
          <cell r="B230">
            <v>244010004</v>
          </cell>
          <cell r="C230" t="str">
            <v>8318H</v>
          </cell>
          <cell r="D230" t="str">
            <v>SUT. PROLENE 6-0, Marca Johnson &amp; Johnson (8318H) x Und</v>
          </cell>
          <cell r="E230" t="str">
            <v>J&amp;J</v>
          </cell>
          <cell r="F230" t="str">
            <v/>
          </cell>
          <cell r="G230" t="str">
            <v/>
          </cell>
          <cell r="H230" t="str">
            <v/>
          </cell>
          <cell r="I230" t="str">
            <v>CJX36</v>
          </cell>
          <cell r="J230">
            <v>1</v>
          </cell>
          <cell r="K230">
            <v>1</v>
          </cell>
          <cell r="L230" t="str">
            <v>C</v>
          </cell>
          <cell r="M230">
            <v>94</v>
          </cell>
          <cell r="N230" t="str">
            <v>C</v>
          </cell>
          <cell r="O230">
            <v>15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5</v>
          </cell>
          <cell r="U230">
            <v>72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3443.4</v>
          </cell>
          <cell r="AB230">
            <v>4304.25</v>
          </cell>
          <cell r="AC230">
            <v>0</v>
          </cell>
          <cell r="AD230">
            <v>4304.25</v>
          </cell>
          <cell r="AE230">
            <v>0</v>
          </cell>
          <cell r="AF230">
            <v>76.52</v>
          </cell>
          <cell r="AG230">
            <v>0.8</v>
          </cell>
        </row>
        <row r="231">
          <cell r="B231">
            <v>252850528</v>
          </cell>
          <cell r="C231" t="str">
            <v>SA87G</v>
          </cell>
          <cell r="D231" t="str">
            <v>SUT. SEDA NEGRA TRENZ 1 PERMA-HAND (SA87G) x Und./\Caja x 12 Unds.</v>
          </cell>
          <cell r="E231" t="str">
            <v>BRAUN</v>
          </cell>
          <cell r="F231" t="str">
            <v/>
          </cell>
          <cell r="G231" t="str">
            <v>SUTURAS SILKAM</v>
          </cell>
          <cell r="H231" t="str">
            <v/>
          </cell>
          <cell r="I231" t="str">
            <v>CJX12</v>
          </cell>
          <cell r="J231">
            <v>12</v>
          </cell>
          <cell r="K231">
            <v>1</v>
          </cell>
          <cell r="L231" t="str">
            <v>C</v>
          </cell>
          <cell r="M231">
            <v>264</v>
          </cell>
          <cell r="N231" t="str">
            <v>C</v>
          </cell>
          <cell r="O231">
            <v>222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5</v>
          </cell>
          <cell r="U231">
            <v>36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135</v>
          </cell>
          <cell r="AB231">
            <v>168.75</v>
          </cell>
          <cell r="AC231">
            <v>0</v>
          </cell>
          <cell r="AD231">
            <v>168.75</v>
          </cell>
          <cell r="AE231">
            <v>0</v>
          </cell>
          <cell r="AF231">
            <v>3</v>
          </cell>
          <cell r="AG231">
            <v>0.8</v>
          </cell>
        </row>
        <row r="232">
          <cell r="B232">
            <v>252650415</v>
          </cell>
          <cell r="C232" t="str">
            <v>8703H</v>
          </cell>
          <cell r="D232" t="str">
            <v>SUT. SURGIPRO 7-0 BV-1 VP713/8703H/20S x Und</v>
          </cell>
          <cell r="E232" t="str">
            <v>COVIDIEN</v>
          </cell>
          <cell r="F232" t="str">
            <v/>
          </cell>
          <cell r="G232" t="str">
            <v/>
          </cell>
          <cell r="H232" t="str">
            <v/>
          </cell>
          <cell r="I232" t="str">
            <v>CJX36</v>
          </cell>
          <cell r="J232">
            <v>36</v>
          </cell>
          <cell r="K232">
            <v>1</v>
          </cell>
          <cell r="L232" t="str">
            <v>C</v>
          </cell>
          <cell r="M232">
            <v>128</v>
          </cell>
          <cell r="N232" t="str">
            <v>C</v>
          </cell>
          <cell r="O232">
            <v>93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5</v>
          </cell>
          <cell r="U232">
            <v>36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702</v>
          </cell>
          <cell r="AB232">
            <v>877.5</v>
          </cell>
          <cell r="AC232">
            <v>0</v>
          </cell>
          <cell r="AD232">
            <v>877.5</v>
          </cell>
          <cell r="AE232">
            <v>0</v>
          </cell>
          <cell r="AF232">
            <v>15.6</v>
          </cell>
          <cell r="AG232">
            <v>0.8</v>
          </cell>
        </row>
        <row r="233">
          <cell r="B233">
            <v>252600369</v>
          </cell>
          <cell r="C233" t="str">
            <v/>
          </cell>
          <cell r="D233" t="str">
            <v>SUT. SURGIPRO II 3-0 SP-5663G x Und</v>
          </cell>
          <cell r="E233" t="str">
            <v>COVIDIEN</v>
          </cell>
          <cell r="F233" t="str">
            <v/>
          </cell>
          <cell r="G233" t="str">
            <v/>
          </cell>
          <cell r="H233" t="str">
            <v/>
          </cell>
          <cell r="I233" t="str">
            <v>CJX12</v>
          </cell>
          <cell r="J233">
            <v>1</v>
          </cell>
          <cell r="K233">
            <v>1</v>
          </cell>
          <cell r="L233" t="str">
            <v>C</v>
          </cell>
          <cell r="M233">
            <v>205</v>
          </cell>
          <cell r="N233" t="str">
            <v>C</v>
          </cell>
          <cell r="O233">
            <v>164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5</v>
          </cell>
          <cell r="U233">
            <v>48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154.80000000000001</v>
          </cell>
          <cell r="AB233">
            <v>193.5</v>
          </cell>
          <cell r="AC233">
            <v>0</v>
          </cell>
          <cell r="AD233">
            <v>193.5</v>
          </cell>
          <cell r="AE233">
            <v>0</v>
          </cell>
          <cell r="AF233">
            <v>3.44</v>
          </cell>
          <cell r="AG233">
            <v>0.8</v>
          </cell>
        </row>
        <row r="234">
          <cell r="B234">
            <v>252800127</v>
          </cell>
          <cell r="C234" t="str">
            <v>1696G</v>
          </cell>
          <cell r="D234" t="str">
            <v>SUT. SUT. NYLON MONOFILAMENT ETHILON 7-0, P-1 1696G x Und</v>
          </cell>
          <cell r="E234" t="str">
            <v>J&amp;J</v>
          </cell>
          <cell r="F234" t="str">
            <v/>
          </cell>
          <cell r="G234" t="str">
            <v/>
          </cell>
          <cell r="H234" t="str">
            <v/>
          </cell>
          <cell r="I234" t="str">
            <v>CJX12</v>
          </cell>
          <cell r="J234">
            <v>12</v>
          </cell>
          <cell r="K234">
            <v>1</v>
          </cell>
          <cell r="L234" t="str">
            <v>C</v>
          </cell>
          <cell r="M234">
            <v>138</v>
          </cell>
          <cell r="N234" t="str">
            <v>C</v>
          </cell>
          <cell r="O234">
            <v>113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5</v>
          </cell>
          <cell r="U234">
            <v>36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916.65</v>
          </cell>
          <cell r="AB234">
            <v>1145.81</v>
          </cell>
          <cell r="AC234">
            <v>0</v>
          </cell>
          <cell r="AD234">
            <v>1145.81</v>
          </cell>
          <cell r="AE234">
            <v>0</v>
          </cell>
          <cell r="AF234">
            <v>20.37</v>
          </cell>
          <cell r="AG234">
            <v>0.8</v>
          </cell>
        </row>
        <row r="235">
          <cell r="B235">
            <v>252650422</v>
          </cell>
          <cell r="C235" t="str">
            <v/>
          </cell>
          <cell r="D235" t="str">
            <v>SUT. Vicryl 1 J341H ETHICON  x Und</v>
          </cell>
          <cell r="E235" t="str">
            <v>ETHICON</v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>
            <v>1</v>
          </cell>
          <cell r="K235">
            <v>1</v>
          </cell>
          <cell r="L235" t="str">
            <v>C</v>
          </cell>
          <cell r="M235">
            <v>109</v>
          </cell>
          <cell r="N235" t="str">
            <v>B</v>
          </cell>
          <cell r="O235">
            <v>34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162</v>
          </cell>
          <cell r="U235">
            <v>144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287.10000000000002</v>
          </cell>
          <cell r="AB235">
            <v>358.88</v>
          </cell>
          <cell r="AC235">
            <v>0</v>
          </cell>
          <cell r="AD235">
            <v>358.88</v>
          </cell>
          <cell r="AE235">
            <v>0</v>
          </cell>
          <cell r="AF235">
            <v>6.38</v>
          </cell>
          <cell r="AG235">
            <v>0.8</v>
          </cell>
        </row>
        <row r="236">
          <cell r="B236">
            <v>252650421</v>
          </cell>
          <cell r="C236" t="str">
            <v>G121H</v>
          </cell>
          <cell r="D236" t="str">
            <v>SUT.CHROMIC GUT ETHICON 4-0 G121H x Und</v>
          </cell>
          <cell r="E236" t="str">
            <v>ETHICON</v>
          </cell>
          <cell r="F236" t="str">
            <v>G121T  COVIDIEN</v>
          </cell>
          <cell r="G236" t="str">
            <v>SUTURAS VICRYL</v>
          </cell>
          <cell r="H236" t="str">
            <v/>
          </cell>
          <cell r="I236" t="str">
            <v>CJX36</v>
          </cell>
          <cell r="J236">
            <v>1</v>
          </cell>
          <cell r="K236">
            <v>1</v>
          </cell>
          <cell r="L236" t="str">
            <v>C</v>
          </cell>
          <cell r="M236">
            <v>201</v>
          </cell>
          <cell r="N236" t="str">
            <v>C</v>
          </cell>
          <cell r="O236">
            <v>138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5</v>
          </cell>
          <cell r="U236">
            <v>72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152.55000000000001</v>
          </cell>
          <cell r="AB236">
            <v>190.69</v>
          </cell>
          <cell r="AC236">
            <v>0</v>
          </cell>
          <cell r="AD236">
            <v>190.69</v>
          </cell>
          <cell r="AE236">
            <v>0</v>
          </cell>
          <cell r="AF236">
            <v>3.39</v>
          </cell>
          <cell r="AG236">
            <v>0.8</v>
          </cell>
        </row>
        <row r="237">
          <cell r="B237">
            <v>250100408</v>
          </cell>
          <cell r="C237" t="str">
            <v/>
          </cell>
          <cell r="D237" t="str">
            <v>TIRA REACTIVA . MCKESSON x Und</v>
          </cell>
          <cell r="E237" t="str">
            <v>MCKESSON</v>
          </cell>
          <cell r="F237" t="str">
            <v/>
          </cell>
          <cell r="G237" t="str">
            <v/>
          </cell>
          <cell r="H237" t="str">
            <v/>
          </cell>
          <cell r="I237" t="str">
            <v>CJX50</v>
          </cell>
          <cell r="J237">
            <v>50</v>
          </cell>
          <cell r="K237">
            <v>1</v>
          </cell>
          <cell r="L237" t="str">
            <v>C</v>
          </cell>
          <cell r="M237">
            <v>403</v>
          </cell>
          <cell r="N237" t="str">
            <v>C</v>
          </cell>
          <cell r="O237">
            <v>271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21</v>
          </cell>
          <cell r="U237">
            <v>1400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1500</v>
          </cell>
          <cell r="AA237">
            <v>10.426500000000001</v>
          </cell>
          <cell r="AB237">
            <v>14.9</v>
          </cell>
          <cell r="AC237">
            <v>0</v>
          </cell>
          <cell r="AD237">
            <v>14.9</v>
          </cell>
          <cell r="AE237">
            <v>0</v>
          </cell>
          <cell r="AF237">
            <v>0.23169999999999999</v>
          </cell>
          <cell r="AG237">
            <v>0.7</v>
          </cell>
        </row>
        <row r="238">
          <cell r="B238">
            <v>240500403</v>
          </cell>
          <cell r="C238" t="str">
            <v>DYND44140</v>
          </cell>
          <cell r="D238" t="str">
            <v>TRAMPA DE LUCKENS  40 CC Marca MEDLINE x Und</v>
          </cell>
          <cell r="E238" t="str">
            <v>MEDLINE</v>
          </cell>
          <cell r="F238" t="str">
            <v/>
          </cell>
          <cell r="G238" t="str">
            <v/>
          </cell>
          <cell r="H238" t="str">
            <v/>
          </cell>
          <cell r="I238" t="str">
            <v>CJX50</v>
          </cell>
          <cell r="J238">
            <v>1</v>
          </cell>
          <cell r="K238">
            <v>1</v>
          </cell>
          <cell r="L238" t="str">
            <v>C</v>
          </cell>
          <cell r="M238">
            <v>53</v>
          </cell>
          <cell r="N238" t="str">
            <v>C</v>
          </cell>
          <cell r="O238">
            <v>3</v>
          </cell>
          <cell r="P238">
            <v>0</v>
          </cell>
          <cell r="Q238">
            <v>70</v>
          </cell>
          <cell r="R238">
            <v>70</v>
          </cell>
          <cell r="S238">
            <v>0</v>
          </cell>
          <cell r="T238">
            <v>24</v>
          </cell>
          <cell r="U238">
            <v>619</v>
          </cell>
          <cell r="V238">
            <v>0</v>
          </cell>
          <cell r="W238">
            <v>0</v>
          </cell>
          <cell r="X238">
            <v>0</v>
          </cell>
          <cell r="Y238">
            <v>70</v>
          </cell>
          <cell r="Z238">
            <v>70</v>
          </cell>
          <cell r="AA238">
            <v>90.45</v>
          </cell>
          <cell r="AB238">
            <v>150.75</v>
          </cell>
          <cell r="AC238">
            <v>0</v>
          </cell>
          <cell r="AD238">
            <v>150.75</v>
          </cell>
          <cell r="AE238">
            <v>0</v>
          </cell>
          <cell r="AF238">
            <v>2.0099999999999998</v>
          </cell>
          <cell r="AG238">
            <v>0.6</v>
          </cell>
        </row>
        <row r="239">
          <cell r="B239">
            <v>240850111</v>
          </cell>
          <cell r="C239" t="str">
            <v/>
          </cell>
          <cell r="D239" t="str">
            <v>TRANSDUCTOR DE PRESION /DELTRAN II (DPT248-A) - Marca FORSURE x Und</v>
          </cell>
          <cell r="E239" t="str">
            <v>FORSURE</v>
          </cell>
          <cell r="F239" t="str">
            <v/>
          </cell>
          <cell r="G239" t="str">
            <v/>
          </cell>
          <cell r="H239" t="str">
            <v/>
          </cell>
          <cell r="I239" t="str">
            <v>UND</v>
          </cell>
          <cell r="J239">
            <v>1</v>
          </cell>
          <cell r="K239">
            <v>1</v>
          </cell>
          <cell r="L239" t="str">
            <v>B</v>
          </cell>
          <cell r="M239">
            <v>5</v>
          </cell>
          <cell r="N239" t="str">
            <v>B</v>
          </cell>
          <cell r="O239">
            <v>6</v>
          </cell>
          <cell r="P239">
            <v>0</v>
          </cell>
          <cell r="Q239">
            <v>80</v>
          </cell>
          <cell r="R239">
            <v>80</v>
          </cell>
          <cell r="S239">
            <v>0</v>
          </cell>
          <cell r="T239">
            <v>5</v>
          </cell>
          <cell r="U239">
            <v>76</v>
          </cell>
          <cell r="V239">
            <v>0</v>
          </cell>
          <cell r="W239">
            <v>0</v>
          </cell>
          <cell r="X239">
            <v>0</v>
          </cell>
          <cell r="Y239">
            <v>100</v>
          </cell>
          <cell r="Z239">
            <v>120</v>
          </cell>
          <cell r="AA239">
            <v>731.25</v>
          </cell>
          <cell r="AB239">
            <v>1044.6400000000001</v>
          </cell>
          <cell r="AC239">
            <v>0</v>
          </cell>
          <cell r="AD239">
            <v>1044.6400000000001</v>
          </cell>
          <cell r="AE239">
            <v>0</v>
          </cell>
          <cell r="AF239">
            <v>16.25</v>
          </cell>
          <cell r="AG239">
            <v>0.7</v>
          </cell>
        </row>
        <row r="240">
          <cell r="B240">
            <v>253400233</v>
          </cell>
          <cell r="C240" t="str">
            <v>7CN80H</v>
          </cell>
          <cell r="D240" t="str">
            <v>TRAQUEOSTOMO DE CRISTAL Nª 8.0 x Und</v>
          </cell>
          <cell r="E240" t="str">
            <v>COVIDIEN</v>
          </cell>
          <cell r="F240" t="str">
            <v/>
          </cell>
          <cell r="G240" t="str">
            <v>TRAQUEOSTOMO TRAQUEOSTOMO</v>
          </cell>
          <cell r="H240" t="str">
            <v/>
          </cell>
          <cell r="I240" t="str">
            <v>UND</v>
          </cell>
          <cell r="J240">
            <v>1</v>
          </cell>
          <cell r="K240">
            <v>1</v>
          </cell>
          <cell r="L240" t="str">
            <v>C</v>
          </cell>
          <cell r="M240">
            <v>62</v>
          </cell>
          <cell r="N240" t="str">
            <v>C</v>
          </cell>
          <cell r="O240">
            <v>198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221</v>
          </cell>
          <cell r="U240">
            <v>1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9</v>
          </cell>
          <cell r="AA240">
            <v>6930</v>
          </cell>
          <cell r="AB240">
            <v>8152.94</v>
          </cell>
          <cell r="AC240">
            <v>0</v>
          </cell>
          <cell r="AD240">
            <v>8152.94</v>
          </cell>
          <cell r="AE240">
            <v>0</v>
          </cell>
          <cell r="AF240">
            <v>154</v>
          </cell>
          <cell r="AG240">
            <v>0.85</v>
          </cell>
        </row>
        <row r="241">
          <cell r="B241">
            <v>253400333</v>
          </cell>
          <cell r="C241" t="str">
            <v>5CN70H</v>
          </cell>
          <cell r="D241" t="str">
            <v>TRAQUEOTOMO CRISTAL 7.0  CON BALON x Und</v>
          </cell>
          <cell r="E241" t="str">
            <v>COVIDIEN</v>
          </cell>
          <cell r="F241" t="str">
            <v/>
          </cell>
          <cell r="G241" t="str">
            <v/>
          </cell>
          <cell r="H241" t="str">
            <v/>
          </cell>
          <cell r="I241" t="str">
            <v>UND</v>
          </cell>
          <cell r="J241">
            <v>1</v>
          </cell>
          <cell r="K241">
            <v>1</v>
          </cell>
          <cell r="L241" t="str">
            <v>C</v>
          </cell>
          <cell r="M241">
            <v>85</v>
          </cell>
          <cell r="N241" t="str">
            <v>C</v>
          </cell>
          <cell r="O241">
            <v>167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5</v>
          </cell>
          <cell r="U241">
            <v>3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</v>
          </cell>
          <cell r="AA241">
            <v>3430.35</v>
          </cell>
          <cell r="AB241">
            <v>4035.71</v>
          </cell>
          <cell r="AC241">
            <v>0</v>
          </cell>
          <cell r="AD241">
            <v>4035.71</v>
          </cell>
          <cell r="AE241">
            <v>0</v>
          </cell>
          <cell r="AF241">
            <v>76.23</v>
          </cell>
          <cell r="AG241">
            <v>0.85</v>
          </cell>
        </row>
        <row r="242">
          <cell r="B242">
            <v>253400833</v>
          </cell>
          <cell r="C242" t="str">
            <v/>
          </cell>
          <cell r="D242" t="str">
            <v>TRAQUEOTOMO DE CRISTAL 6.0 CON BALON x Und</v>
          </cell>
          <cell r="E242" t="str">
            <v>PORTEX</v>
          </cell>
          <cell r="F242" t="str">
            <v/>
          </cell>
          <cell r="G242" t="str">
            <v/>
          </cell>
          <cell r="H242" t="str">
            <v/>
          </cell>
          <cell r="I242" t="str">
            <v>UND</v>
          </cell>
          <cell r="J242">
            <v>1</v>
          </cell>
          <cell r="K242">
            <v>1</v>
          </cell>
          <cell r="L242" t="str">
            <v>C</v>
          </cell>
          <cell r="M242">
            <v>112</v>
          </cell>
          <cell r="N242" t="str">
            <v>C</v>
          </cell>
          <cell r="O242">
            <v>213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5</v>
          </cell>
          <cell r="U242">
            <v>2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3431.7</v>
          </cell>
          <cell r="AB242">
            <v>4037.29</v>
          </cell>
          <cell r="AC242">
            <v>0</v>
          </cell>
          <cell r="AD242">
            <v>4037.29</v>
          </cell>
          <cell r="AE242">
            <v>0</v>
          </cell>
          <cell r="AF242">
            <v>76.260000000000005</v>
          </cell>
          <cell r="AG242">
            <v>0.85</v>
          </cell>
        </row>
        <row r="243">
          <cell r="B243">
            <v>253400893</v>
          </cell>
          <cell r="C243" t="str">
            <v/>
          </cell>
          <cell r="D243" t="str">
            <v>TRAQUEOTOMO DE CRISTAL 6.5 CON BALON x Und</v>
          </cell>
          <cell r="E243" t="str">
            <v>COVIDIEN</v>
          </cell>
          <cell r="F243" t="str">
            <v/>
          </cell>
          <cell r="G243" t="str">
            <v/>
          </cell>
          <cell r="H243" t="str">
            <v/>
          </cell>
          <cell r="I243" t="str">
            <v>UND</v>
          </cell>
          <cell r="J243">
            <v>1</v>
          </cell>
          <cell r="K243">
            <v>1</v>
          </cell>
          <cell r="L243" t="str">
            <v>C</v>
          </cell>
          <cell r="M243">
            <v>133</v>
          </cell>
          <cell r="N243" t="str">
            <v>C</v>
          </cell>
          <cell r="O243">
            <v>207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298</v>
          </cell>
          <cell r="U243">
            <v>4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3431.7</v>
          </cell>
          <cell r="AB243">
            <v>4037.29</v>
          </cell>
          <cell r="AC243">
            <v>0</v>
          </cell>
          <cell r="AD243">
            <v>4037.29</v>
          </cell>
          <cell r="AE243">
            <v>0</v>
          </cell>
          <cell r="AF243">
            <v>76.260000000000005</v>
          </cell>
          <cell r="AG243">
            <v>0.85</v>
          </cell>
        </row>
        <row r="244">
          <cell r="B244">
            <v>253400133</v>
          </cell>
          <cell r="C244" t="str">
            <v>3.5NCF</v>
          </cell>
          <cell r="D244" t="str">
            <v>TRAQUEOTOMO NEONATAL C/BALON 3.5 COVIDIEN X UNIDAD</v>
          </cell>
          <cell r="E244" t="str">
            <v>COVIDIEN</v>
          </cell>
          <cell r="F244" t="str">
            <v/>
          </cell>
          <cell r="G244" t="str">
            <v/>
          </cell>
          <cell r="H244" t="str">
            <v/>
          </cell>
          <cell r="I244" t="str">
            <v>UND</v>
          </cell>
          <cell r="J244">
            <v>1</v>
          </cell>
          <cell r="K244">
            <v>1</v>
          </cell>
          <cell r="L244" t="str">
            <v>C</v>
          </cell>
          <cell r="M244">
            <v>2</v>
          </cell>
          <cell r="N244" t="str">
            <v>C</v>
          </cell>
          <cell r="O244">
            <v>111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5</v>
          </cell>
          <cell r="U244">
            <v>1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1</v>
          </cell>
          <cell r="AA244">
            <v>6930</v>
          </cell>
          <cell r="AB244">
            <v>8152.94</v>
          </cell>
          <cell r="AC244">
            <v>0</v>
          </cell>
          <cell r="AD244">
            <v>8152.94</v>
          </cell>
          <cell r="AE244">
            <v>0</v>
          </cell>
          <cell r="AF244">
            <v>154</v>
          </cell>
          <cell r="AG244">
            <v>0.85</v>
          </cell>
        </row>
        <row r="245">
          <cell r="B245">
            <v>240600222</v>
          </cell>
          <cell r="C245" t="str">
            <v>11230035</v>
          </cell>
          <cell r="D245" t="str">
            <v>TUBO ENDOBRONQUIAL DOBLE LUMEN 35 FR. DER. ROBERTSHAW - FORSURE x Und</v>
          </cell>
          <cell r="E245" t="str">
            <v>FORSURE</v>
          </cell>
          <cell r="F245" t="str">
            <v/>
          </cell>
          <cell r="G245" t="str">
            <v>TUBOS ENDOBRONQUIAL</v>
          </cell>
          <cell r="H245" t="str">
            <v/>
          </cell>
          <cell r="I245" t="str">
            <v>UND</v>
          </cell>
          <cell r="J245">
            <v>1</v>
          </cell>
          <cell r="K245">
            <v>1</v>
          </cell>
          <cell r="L245" t="str">
            <v>C</v>
          </cell>
          <cell r="M245">
            <v>93</v>
          </cell>
          <cell r="N245" t="str">
            <v>C</v>
          </cell>
          <cell r="O245">
            <v>137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5</v>
          </cell>
          <cell r="U245">
            <v>7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5</v>
          </cell>
          <cell r="AA245">
            <v>2362.5</v>
          </cell>
          <cell r="AB245">
            <v>2779.41</v>
          </cell>
          <cell r="AC245">
            <v>0</v>
          </cell>
          <cell r="AD245">
            <v>2779.41</v>
          </cell>
          <cell r="AE245">
            <v>0</v>
          </cell>
          <cell r="AF245">
            <v>52.5</v>
          </cell>
          <cell r="AG245">
            <v>0.85</v>
          </cell>
        </row>
        <row r="246">
          <cell r="B246">
            <v>240600227</v>
          </cell>
          <cell r="C246" t="str">
            <v>240600227</v>
          </cell>
          <cell r="D246" t="str">
            <v>TUBO ENDOBRONQUIAL DOBLE LUMEN 35 FR. IZQ. ROBERTSHAW - FORSURE</v>
          </cell>
          <cell r="E246" t="str">
            <v>FORSURE</v>
          </cell>
          <cell r="F246" t="str">
            <v/>
          </cell>
          <cell r="G246" t="str">
            <v>TUBOS ENDOBRONQUIAL</v>
          </cell>
          <cell r="H246" t="str">
            <v/>
          </cell>
          <cell r="I246" t="str">
            <v>UND</v>
          </cell>
          <cell r="J246">
            <v>1</v>
          </cell>
          <cell r="K246">
            <v>1</v>
          </cell>
          <cell r="L246" t="str">
            <v>C</v>
          </cell>
          <cell r="M246">
            <v>31</v>
          </cell>
          <cell r="N246" t="str">
            <v>C</v>
          </cell>
          <cell r="O246">
            <v>10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5</v>
          </cell>
          <cell r="U246">
            <v>18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1</v>
          </cell>
          <cell r="AA246">
            <v>2362.5</v>
          </cell>
          <cell r="AB246">
            <v>2779.41</v>
          </cell>
          <cell r="AC246">
            <v>0</v>
          </cell>
          <cell r="AD246">
            <v>2779.41</v>
          </cell>
          <cell r="AE246">
            <v>0</v>
          </cell>
          <cell r="AF246">
            <v>52.5</v>
          </cell>
          <cell r="AG246">
            <v>0.85</v>
          </cell>
        </row>
        <row r="247">
          <cell r="B247">
            <v>240600229</v>
          </cell>
          <cell r="C247" t="str">
            <v>240600229</v>
          </cell>
          <cell r="D247" t="str">
            <v>TUBO ENDOBRONQUIAL DOBLE LUMEN 37 FR. IZQ. ROBERTSHAW - FORSURE x Und</v>
          </cell>
          <cell r="E247" t="str">
            <v>FORSURE</v>
          </cell>
          <cell r="F247" t="str">
            <v/>
          </cell>
          <cell r="G247" t="str">
            <v>TUBOS ENDOBRONQUIAL</v>
          </cell>
          <cell r="H247" t="str">
            <v/>
          </cell>
          <cell r="I247" t="str">
            <v>UND</v>
          </cell>
          <cell r="J247">
            <v>1</v>
          </cell>
          <cell r="K247">
            <v>1</v>
          </cell>
          <cell r="L247" t="str">
            <v>C</v>
          </cell>
          <cell r="M247">
            <v>419</v>
          </cell>
          <cell r="N247" t="str">
            <v>B</v>
          </cell>
          <cell r="O247">
            <v>21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5</v>
          </cell>
          <cell r="U247">
            <v>16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</v>
          </cell>
          <cell r="AA247">
            <v>2362.5</v>
          </cell>
          <cell r="AB247">
            <v>2779.41</v>
          </cell>
          <cell r="AC247">
            <v>0</v>
          </cell>
          <cell r="AD247">
            <v>2779.41</v>
          </cell>
          <cell r="AE247">
            <v>0</v>
          </cell>
          <cell r="AF247">
            <v>52.5</v>
          </cell>
          <cell r="AG247">
            <v>0.85</v>
          </cell>
        </row>
        <row r="248">
          <cell r="B248">
            <v>250450201</v>
          </cell>
          <cell r="C248" t="str">
            <v>5-10404</v>
          </cell>
          <cell r="D248" t="str">
            <v>TUBO ENDOTRAQUEAL  2.0 S/BALON MARCA HUDDSON x Und</v>
          </cell>
          <cell r="E248" t="str">
            <v>HUDDSON</v>
          </cell>
          <cell r="F248" t="str">
            <v/>
          </cell>
          <cell r="G248" t="str">
            <v>TUBOS ENDOTRAQUEAL</v>
          </cell>
          <cell r="H248" t="str">
            <v/>
          </cell>
          <cell r="I248" t="str">
            <v>CJX10</v>
          </cell>
          <cell r="J248">
            <v>1</v>
          </cell>
          <cell r="K248">
            <v>1</v>
          </cell>
          <cell r="L248" t="str">
            <v/>
          </cell>
          <cell r="M248">
            <v>0</v>
          </cell>
          <cell r="N248" t="str">
            <v/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</v>
          </cell>
          <cell r="U248">
            <v>11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1450</v>
          </cell>
          <cell r="AA248">
            <v>138.15</v>
          </cell>
          <cell r="AB248">
            <v>162.53</v>
          </cell>
          <cell r="AC248">
            <v>0</v>
          </cell>
          <cell r="AD248">
            <v>162.53</v>
          </cell>
          <cell r="AE248">
            <v>0</v>
          </cell>
          <cell r="AF248">
            <v>3.07</v>
          </cell>
          <cell r="AG248">
            <v>0.85</v>
          </cell>
        </row>
        <row r="249">
          <cell r="B249">
            <v>250450202</v>
          </cell>
          <cell r="C249" t="str">
            <v/>
          </cell>
          <cell r="D249" t="str">
            <v>TUBO ENDOTRAQUEAL  2.5 S/BALON  Marca Portex Smith Medical x Und</v>
          </cell>
          <cell r="E249" t="str">
            <v>SMITH MEDICAL</v>
          </cell>
          <cell r="F249" t="str">
            <v/>
          </cell>
          <cell r="G249" t="str">
            <v/>
          </cell>
          <cell r="H249" t="str">
            <v/>
          </cell>
          <cell r="I249" t="str">
            <v>CJX10</v>
          </cell>
          <cell r="J249">
            <v>1</v>
          </cell>
          <cell r="K249">
            <v>1</v>
          </cell>
          <cell r="L249" t="str">
            <v>C</v>
          </cell>
          <cell r="M249">
            <v>220</v>
          </cell>
          <cell r="N249" t="str">
            <v>C</v>
          </cell>
          <cell r="O249">
            <v>249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24</v>
          </cell>
          <cell r="U249">
            <v>4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5</v>
          </cell>
          <cell r="AA249">
            <v>138.15</v>
          </cell>
          <cell r="AB249">
            <v>162.53</v>
          </cell>
          <cell r="AC249">
            <v>0</v>
          </cell>
          <cell r="AD249">
            <v>162.53</v>
          </cell>
          <cell r="AE249">
            <v>0</v>
          </cell>
          <cell r="AF249">
            <v>3.07</v>
          </cell>
          <cell r="AG249">
            <v>0.85</v>
          </cell>
        </row>
        <row r="250">
          <cell r="B250">
            <v>250450214</v>
          </cell>
          <cell r="C250" t="str">
            <v>11290050</v>
          </cell>
          <cell r="D250" t="str">
            <v>TUBO ENDOTRAQUEAL  5,0 C/BALON REFORZADO Marca Forsure x Und</v>
          </cell>
          <cell r="E250" t="str">
            <v>FORSURE</v>
          </cell>
          <cell r="F250" t="str">
            <v/>
          </cell>
          <cell r="G250" t="str">
            <v>TUBOS ENDOTRAQUEAL</v>
          </cell>
          <cell r="H250" t="str">
            <v/>
          </cell>
          <cell r="I250" t="str">
            <v>CJX5</v>
          </cell>
          <cell r="J250">
            <v>1</v>
          </cell>
          <cell r="K250">
            <v>1</v>
          </cell>
          <cell r="L250" t="str">
            <v>C</v>
          </cell>
          <cell r="M250">
            <v>307</v>
          </cell>
          <cell r="N250" t="str">
            <v>C</v>
          </cell>
          <cell r="O250">
            <v>265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</v>
          </cell>
          <cell r="U250">
            <v>20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1500</v>
          </cell>
          <cell r="AA250">
            <v>183.15</v>
          </cell>
          <cell r="AB250">
            <v>215.47</v>
          </cell>
          <cell r="AC250">
            <v>0</v>
          </cell>
          <cell r="AD250">
            <v>215.47</v>
          </cell>
          <cell r="AE250">
            <v>0</v>
          </cell>
          <cell r="AF250">
            <v>4.07</v>
          </cell>
          <cell r="AG250">
            <v>0.85</v>
          </cell>
        </row>
        <row r="251">
          <cell r="B251">
            <v>250450223</v>
          </cell>
          <cell r="C251" t="str">
            <v>100/100/05</v>
          </cell>
          <cell r="D251" t="str">
            <v>TUBO ENDOTRAQUEAL 3.5 C/BALON MARCA MEDLINE x Und</v>
          </cell>
          <cell r="E251" t="str">
            <v>MEDLINE</v>
          </cell>
          <cell r="F251" t="str">
            <v/>
          </cell>
          <cell r="G251" t="str">
            <v/>
          </cell>
          <cell r="H251" t="str">
            <v/>
          </cell>
          <cell r="I251" t="str">
            <v>CJX10</v>
          </cell>
          <cell r="J251">
            <v>1</v>
          </cell>
          <cell r="K251">
            <v>1</v>
          </cell>
          <cell r="L251" t="str">
            <v>C</v>
          </cell>
          <cell r="M251">
            <v>165</v>
          </cell>
          <cell r="N251" t="str">
            <v>C</v>
          </cell>
          <cell r="O251">
            <v>194</v>
          </cell>
          <cell r="P251">
            <v>0</v>
          </cell>
          <cell r="Q251">
            <v>10</v>
          </cell>
          <cell r="R251">
            <v>10</v>
          </cell>
          <cell r="S251">
            <v>0</v>
          </cell>
          <cell r="T251">
            <v>5</v>
          </cell>
          <cell r="U251">
            <v>3</v>
          </cell>
          <cell r="V251">
            <v>0</v>
          </cell>
          <cell r="W251">
            <v>0</v>
          </cell>
          <cell r="X251">
            <v>0</v>
          </cell>
          <cell r="Y251">
            <v>10</v>
          </cell>
          <cell r="Z251">
            <v>10</v>
          </cell>
          <cell r="AA251">
            <v>138.15</v>
          </cell>
          <cell r="AB251">
            <v>162.53</v>
          </cell>
          <cell r="AC251">
            <v>0</v>
          </cell>
          <cell r="AD251">
            <v>162.53</v>
          </cell>
          <cell r="AE251">
            <v>0</v>
          </cell>
          <cell r="AF251">
            <v>3.07</v>
          </cell>
          <cell r="AG251">
            <v>0.85</v>
          </cell>
        </row>
        <row r="252">
          <cell r="B252">
            <v>250450199</v>
          </cell>
          <cell r="C252" t="str">
            <v>100/100/04</v>
          </cell>
          <cell r="D252" t="str">
            <v>TUBO ENDOTRAQUEAL 4.0 C/BALON MARCA AIRCARE SMITH MEDICAL x Und</v>
          </cell>
          <cell r="E252" t="str">
            <v>SMITH MEDICAL</v>
          </cell>
          <cell r="F252" t="str">
            <v/>
          </cell>
          <cell r="G252" t="str">
            <v/>
          </cell>
          <cell r="H252" t="str">
            <v/>
          </cell>
          <cell r="I252" t="str">
            <v>UND</v>
          </cell>
          <cell r="J252">
            <v>1</v>
          </cell>
          <cell r="K252">
            <v>1</v>
          </cell>
          <cell r="L252" t="str">
            <v>C</v>
          </cell>
          <cell r="M252">
            <v>173</v>
          </cell>
          <cell r="N252" t="str">
            <v>C</v>
          </cell>
          <cell r="O252">
            <v>141</v>
          </cell>
          <cell r="P252">
            <v>0</v>
          </cell>
          <cell r="Q252">
            <v>10</v>
          </cell>
          <cell r="R252">
            <v>10</v>
          </cell>
          <cell r="S252">
            <v>0</v>
          </cell>
          <cell r="T252">
            <v>5</v>
          </cell>
          <cell r="U252">
            <v>27</v>
          </cell>
          <cell r="V252">
            <v>0</v>
          </cell>
          <cell r="W252">
            <v>0</v>
          </cell>
          <cell r="X252">
            <v>0</v>
          </cell>
          <cell r="Y252">
            <v>10</v>
          </cell>
          <cell r="Z252">
            <v>15</v>
          </cell>
          <cell r="AA252">
            <v>138.15</v>
          </cell>
          <cell r="AB252">
            <v>162.53</v>
          </cell>
          <cell r="AC252">
            <v>0</v>
          </cell>
          <cell r="AD252">
            <v>162.53</v>
          </cell>
          <cell r="AE252">
            <v>0</v>
          </cell>
          <cell r="AF252">
            <v>3.07</v>
          </cell>
          <cell r="AG252">
            <v>0.85</v>
          </cell>
        </row>
        <row r="253">
          <cell r="B253">
            <v>240600300</v>
          </cell>
          <cell r="C253" t="str">
            <v>DYNJAETC55</v>
          </cell>
          <cell r="D253" t="str">
            <v>TUBO ENDOTRAQUEAL 5,5 C/BALON //C ESTILETA MEDLINE x Und</v>
          </cell>
          <cell r="E253" t="str">
            <v>MEDLINE</v>
          </cell>
          <cell r="F253" t="str">
            <v/>
          </cell>
          <cell r="G253" t="str">
            <v/>
          </cell>
          <cell r="H253" t="str">
            <v/>
          </cell>
          <cell r="I253" t="str">
            <v>UND</v>
          </cell>
          <cell r="J253">
            <v>1</v>
          </cell>
          <cell r="K253">
            <v>1</v>
          </cell>
          <cell r="L253" t="str">
            <v>C</v>
          </cell>
          <cell r="M253">
            <v>183</v>
          </cell>
          <cell r="N253" t="str">
            <v>C</v>
          </cell>
          <cell r="O253">
            <v>262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</v>
          </cell>
          <cell r="U253">
            <v>1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10</v>
          </cell>
          <cell r="AA253">
            <v>138.15</v>
          </cell>
          <cell r="AB253">
            <v>162.53</v>
          </cell>
          <cell r="AC253">
            <v>0</v>
          </cell>
          <cell r="AD253">
            <v>162.53</v>
          </cell>
          <cell r="AE253">
            <v>0</v>
          </cell>
          <cell r="AF253">
            <v>3.07</v>
          </cell>
          <cell r="AG253">
            <v>0.85</v>
          </cell>
        </row>
        <row r="254">
          <cell r="B254">
            <v>250450323</v>
          </cell>
          <cell r="C254" t="str">
            <v>100/100/05</v>
          </cell>
          <cell r="D254" t="str">
            <v>TUBO ENDOTRAQUEAL 5.0 C/BALON MARCA MEDLINE x Und</v>
          </cell>
          <cell r="E254" t="str">
            <v>MEDLINE</v>
          </cell>
          <cell r="F254" t="str">
            <v/>
          </cell>
          <cell r="G254" t="str">
            <v/>
          </cell>
          <cell r="H254" t="str">
            <v/>
          </cell>
          <cell r="I254" t="str">
            <v>CJX10</v>
          </cell>
          <cell r="J254">
            <v>1</v>
          </cell>
          <cell r="K254">
            <v>1</v>
          </cell>
          <cell r="L254" t="str">
            <v>C</v>
          </cell>
          <cell r="M254">
            <v>195</v>
          </cell>
          <cell r="N254" t="str">
            <v>C</v>
          </cell>
          <cell r="O254">
            <v>151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</v>
          </cell>
          <cell r="U254">
            <v>50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16</v>
          </cell>
          <cell r="AA254">
            <v>138.15</v>
          </cell>
          <cell r="AB254">
            <v>162.53</v>
          </cell>
          <cell r="AC254">
            <v>0</v>
          </cell>
          <cell r="AD254">
            <v>162.53</v>
          </cell>
          <cell r="AE254">
            <v>0</v>
          </cell>
          <cell r="AF254">
            <v>3.07</v>
          </cell>
          <cell r="AG254">
            <v>0.85</v>
          </cell>
        </row>
        <row r="255">
          <cell r="B255">
            <v>250450498</v>
          </cell>
          <cell r="C255" t="str">
            <v/>
          </cell>
          <cell r="D255" t="str">
            <v>TUBO ENDOTRAQUEAL 5.5 C/BALON MARCA MEDLINE x Und</v>
          </cell>
          <cell r="E255" t="str">
            <v>MEDLINE</v>
          </cell>
          <cell r="F255" t="str">
            <v/>
          </cell>
          <cell r="G255" t="str">
            <v/>
          </cell>
          <cell r="H255" t="str">
            <v/>
          </cell>
          <cell r="I255" t="str">
            <v>UND</v>
          </cell>
          <cell r="J255">
            <v>1</v>
          </cell>
          <cell r="K255">
            <v>1</v>
          </cell>
          <cell r="L255" t="str">
            <v>C</v>
          </cell>
          <cell r="M255">
            <v>372</v>
          </cell>
          <cell r="N255" t="str">
            <v>C</v>
          </cell>
          <cell r="O255">
            <v>251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</v>
          </cell>
          <cell r="U255">
            <v>73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10</v>
          </cell>
          <cell r="AA255">
            <v>138.15</v>
          </cell>
          <cell r="AB255">
            <v>162.53</v>
          </cell>
          <cell r="AC255">
            <v>0</v>
          </cell>
          <cell r="AD255">
            <v>162.53</v>
          </cell>
          <cell r="AE255">
            <v>0</v>
          </cell>
          <cell r="AF255">
            <v>3.07</v>
          </cell>
          <cell r="AG255">
            <v>0.85</v>
          </cell>
        </row>
        <row r="256">
          <cell r="B256">
            <v>240600234</v>
          </cell>
          <cell r="C256" t="str">
            <v/>
          </cell>
          <cell r="D256" t="str">
            <v>TUBO ENDOTRAQUEAL 6,0 C/BALON RUSCH x Und</v>
          </cell>
          <cell r="E256" t="str">
            <v>RUSCH</v>
          </cell>
          <cell r="F256" t="str">
            <v>REF 112082060</v>
          </cell>
          <cell r="G256" t="str">
            <v/>
          </cell>
          <cell r="H256" t="str">
            <v/>
          </cell>
          <cell r="I256" t="str">
            <v>UND</v>
          </cell>
          <cell r="J256">
            <v>1</v>
          </cell>
          <cell r="K256">
            <v>1</v>
          </cell>
          <cell r="L256" t="str">
            <v>C</v>
          </cell>
          <cell r="M256">
            <v>180</v>
          </cell>
          <cell r="N256" t="str">
            <v>C</v>
          </cell>
          <cell r="O256">
            <v>57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33</v>
          </cell>
          <cell r="U256">
            <v>222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15</v>
          </cell>
          <cell r="AA256">
            <v>138.15</v>
          </cell>
          <cell r="AB256">
            <v>162.53</v>
          </cell>
          <cell r="AC256">
            <v>0</v>
          </cell>
          <cell r="AD256">
            <v>162.53</v>
          </cell>
          <cell r="AE256">
            <v>0</v>
          </cell>
          <cell r="AF256">
            <v>3.07</v>
          </cell>
          <cell r="AG256">
            <v>0.85</v>
          </cell>
        </row>
        <row r="257">
          <cell r="B257">
            <v>240600299</v>
          </cell>
          <cell r="C257" t="str">
            <v>DYNJAETC70</v>
          </cell>
          <cell r="D257" t="str">
            <v>TUBO ENDOTRAQUEAL 7,0 C/BALON MARCA MEDLINE x Und</v>
          </cell>
          <cell r="E257" t="str">
            <v>MEDLINE</v>
          </cell>
          <cell r="F257" t="str">
            <v/>
          </cell>
          <cell r="G257" t="str">
            <v/>
          </cell>
          <cell r="H257" t="str">
            <v/>
          </cell>
          <cell r="I257" t="str">
            <v>CJX10</v>
          </cell>
          <cell r="J257">
            <v>1</v>
          </cell>
          <cell r="K257">
            <v>1</v>
          </cell>
          <cell r="L257" t="str">
            <v>C</v>
          </cell>
          <cell r="M257">
            <v>202</v>
          </cell>
          <cell r="N257" t="str">
            <v>C</v>
          </cell>
          <cell r="O257">
            <v>120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167</v>
          </cell>
          <cell r="U257">
            <v>110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40</v>
          </cell>
          <cell r="AA257">
            <v>138.15</v>
          </cell>
          <cell r="AB257">
            <v>162.53</v>
          </cell>
          <cell r="AC257">
            <v>0</v>
          </cell>
          <cell r="AD257">
            <v>162.53</v>
          </cell>
          <cell r="AE257">
            <v>0</v>
          </cell>
          <cell r="AF257">
            <v>3.07</v>
          </cell>
          <cell r="AG257">
            <v>0.85</v>
          </cell>
        </row>
        <row r="258">
          <cell r="B258">
            <v>240600200</v>
          </cell>
          <cell r="C258" t="str">
            <v>DYNJAETC80</v>
          </cell>
          <cell r="D258" t="str">
            <v>TUBO ENDOTRAQUEAL 8,0 C/BALON //C ESTILETA MEDLINE x Und</v>
          </cell>
          <cell r="E258" t="str">
            <v>MEDLINE</v>
          </cell>
          <cell r="F258" t="str">
            <v/>
          </cell>
          <cell r="G258" t="str">
            <v/>
          </cell>
          <cell r="H258" t="str">
            <v/>
          </cell>
          <cell r="I258" t="str">
            <v>UND</v>
          </cell>
          <cell r="J258">
            <v>1</v>
          </cell>
          <cell r="K258">
            <v>1</v>
          </cell>
          <cell r="L258" t="str">
            <v>C</v>
          </cell>
          <cell r="M258">
            <v>200</v>
          </cell>
          <cell r="N258" t="str">
            <v>C</v>
          </cell>
          <cell r="O258">
            <v>133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5</v>
          </cell>
          <cell r="U258">
            <v>76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10</v>
          </cell>
          <cell r="AA258">
            <v>138.15</v>
          </cell>
          <cell r="AB258">
            <v>162.53</v>
          </cell>
          <cell r="AC258">
            <v>0</v>
          </cell>
          <cell r="AD258">
            <v>162.53</v>
          </cell>
          <cell r="AE258">
            <v>0</v>
          </cell>
          <cell r="AF258">
            <v>3.07</v>
          </cell>
          <cell r="AG258">
            <v>0.85</v>
          </cell>
        </row>
        <row r="259">
          <cell r="B259">
            <v>240600901</v>
          </cell>
          <cell r="C259" t="str">
            <v>DYNJAETC85</v>
          </cell>
          <cell r="D259" t="str">
            <v>TUBO ENDOTRAQUEAL 8,5 C/BALON //C ESTILETA MEDLINE x Und</v>
          </cell>
          <cell r="E259" t="str">
            <v>MEDLINE</v>
          </cell>
          <cell r="F259" t="str">
            <v/>
          </cell>
          <cell r="G259" t="str">
            <v/>
          </cell>
          <cell r="H259" t="str">
            <v/>
          </cell>
          <cell r="I259" t="str">
            <v>UND</v>
          </cell>
          <cell r="J259">
            <v>1</v>
          </cell>
          <cell r="K259">
            <v>1</v>
          </cell>
          <cell r="L259" t="str">
            <v>C</v>
          </cell>
          <cell r="M259">
            <v>184</v>
          </cell>
          <cell r="N259" t="str">
            <v>C</v>
          </cell>
          <cell r="O259">
            <v>127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5</v>
          </cell>
          <cell r="U259">
            <v>65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10</v>
          </cell>
          <cell r="AA259">
            <v>138.15</v>
          </cell>
          <cell r="AB259">
            <v>162.53</v>
          </cell>
          <cell r="AC259">
            <v>0</v>
          </cell>
          <cell r="AD259">
            <v>162.53</v>
          </cell>
          <cell r="AE259">
            <v>0</v>
          </cell>
          <cell r="AF259">
            <v>3.07</v>
          </cell>
          <cell r="AG259">
            <v>0.85</v>
          </cell>
        </row>
        <row r="260">
          <cell r="B260">
            <v>250150402</v>
          </cell>
          <cell r="C260" t="str">
            <v>DYND48045</v>
          </cell>
          <cell r="D260" t="str">
            <v>TUBO ENDOTRAQUEAL HI LOW 4.5 S/BALON MEDLINE x Und</v>
          </cell>
          <cell r="E260" t="str">
            <v>MEDLINE</v>
          </cell>
          <cell r="F260" t="str">
            <v/>
          </cell>
          <cell r="G260" t="str">
            <v/>
          </cell>
          <cell r="H260" t="str">
            <v/>
          </cell>
          <cell r="I260" t="str">
            <v>CJX10</v>
          </cell>
          <cell r="J260">
            <v>1</v>
          </cell>
          <cell r="K260">
            <v>1</v>
          </cell>
          <cell r="L260" t="str">
            <v>C</v>
          </cell>
          <cell r="M260">
            <v>294</v>
          </cell>
          <cell r="N260" t="str">
            <v>C</v>
          </cell>
          <cell r="O260">
            <v>264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5</v>
          </cell>
          <cell r="U260">
            <v>11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8</v>
          </cell>
          <cell r="AA260">
            <v>138.15</v>
          </cell>
          <cell r="AB260">
            <v>162.53</v>
          </cell>
          <cell r="AC260">
            <v>0</v>
          </cell>
          <cell r="AD260">
            <v>162.53</v>
          </cell>
          <cell r="AE260">
            <v>0</v>
          </cell>
          <cell r="AF260">
            <v>3.07</v>
          </cell>
          <cell r="AG260">
            <v>0.85</v>
          </cell>
        </row>
        <row r="261">
          <cell r="B261">
            <v>250150902</v>
          </cell>
          <cell r="C261" t="str">
            <v/>
          </cell>
          <cell r="D261" t="str">
            <v>TUBO ENDOTRAQUEAL HI LOW 5.0 S/BALON MEDLINE x Und</v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>UND</v>
          </cell>
          <cell r="J261">
            <v>1</v>
          </cell>
          <cell r="K261">
            <v>1</v>
          </cell>
          <cell r="L261" t="str">
            <v>C</v>
          </cell>
          <cell r="M261">
            <v>424</v>
          </cell>
          <cell r="N261" t="str">
            <v>C</v>
          </cell>
          <cell r="O261">
            <v>135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26</v>
          </cell>
          <cell r="U261">
            <v>20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138.15</v>
          </cell>
          <cell r="AB261">
            <v>162.53</v>
          </cell>
          <cell r="AC261">
            <v>0</v>
          </cell>
          <cell r="AD261">
            <v>162.53</v>
          </cell>
          <cell r="AE261">
            <v>0</v>
          </cell>
          <cell r="AF261">
            <v>3.07</v>
          </cell>
          <cell r="AG261">
            <v>0.85</v>
          </cell>
        </row>
        <row r="262">
          <cell r="B262">
            <v>250150502</v>
          </cell>
          <cell r="C262" t="str">
            <v>DYND48055</v>
          </cell>
          <cell r="D262" t="str">
            <v>TUBO ENDOTRAQUEAL HI LOW 5.5 S/BALON MEDLINE x Und</v>
          </cell>
          <cell r="E262" t="str">
            <v>MEDLINE</v>
          </cell>
          <cell r="F262" t="str">
            <v/>
          </cell>
          <cell r="G262" t="str">
            <v/>
          </cell>
          <cell r="H262" t="str">
            <v/>
          </cell>
          <cell r="I262" t="str">
            <v>CJX10</v>
          </cell>
          <cell r="J262">
            <v>1</v>
          </cell>
          <cell r="K262">
            <v>1</v>
          </cell>
          <cell r="L262" t="str">
            <v>C</v>
          </cell>
          <cell r="M262">
            <v>295</v>
          </cell>
          <cell r="N262" t="str">
            <v>C</v>
          </cell>
          <cell r="O262">
            <v>276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5</v>
          </cell>
          <cell r="U262">
            <v>4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10</v>
          </cell>
          <cell r="AA262">
            <v>138.15</v>
          </cell>
          <cell r="AB262">
            <v>162.53</v>
          </cell>
          <cell r="AC262">
            <v>0</v>
          </cell>
          <cell r="AD262">
            <v>162.53</v>
          </cell>
          <cell r="AE262">
            <v>0</v>
          </cell>
          <cell r="AF262">
            <v>3.07</v>
          </cell>
          <cell r="AG262">
            <v>0.85</v>
          </cell>
        </row>
        <row r="263">
          <cell r="B263">
            <v>243450306</v>
          </cell>
          <cell r="C263" t="str">
            <v/>
          </cell>
          <cell r="D263" t="str">
            <v>TUBO ENDOTRAQUEAL HI LOW 6.5 C/BALON MEDLINE x UND</v>
          </cell>
          <cell r="E263" t="str">
            <v>MEDLINE</v>
          </cell>
          <cell r="F263" t="str">
            <v/>
          </cell>
          <cell r="G263" t="str">
            <v/>
          </cell>
          <cell r="H263" t="str">
            <v/>
          </cell>
          <cell r="I263" t="str">
            <v>UND</v>
          </cell>
          <cell r="J263">
            <v>1</v>
          </cell>
          <cell r="K263">
            <v>1</v>
          </cell>
          <cell r="L263" t="str">
            <v>C</v>
          </cell>
          <cell r="M263">
            <v>235</v>
          </cell>
          <cell r="N263" t="str">
            <v>C</v>
          </cell>
          <cell r="O263">
            <v>239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5</v>
          </cell>
          <cell r="U263">
            <v>9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14</v>
          </cell>
          <cell r="AA263">
            <v>138.15</v>
          </cell>
          <cell r="AB263">
            <v>162.53</v>
          </cell>
          <cell r="AC263">
            <v>0</v>
          </cell>
          <cell r="AD263">
            <v>162.53</v>
          </cell>
          <cell r="AE263">
            <v>0</v>
          </cell>
          <cell r="AF263">
            <v>3.07</v>
          </cell>
          <cell r="AG263">
            <v>0.85</v>
          </cell>
        </row>
        <row r="264">
          <cell r="B264">
            <v>240600210</v>
          </cell>
          <cell r="C264" t="str">
            <v>DYND43070</v>
          </cell>
          <cell r="D264" t="str">
            <v>TUBO ENDOTRAQUEAL HI LOW 7,0 C/BALON MEDLINE x Und</v>
          </cell>
          <cell r="E264" t="str">
            <v>MEDLINE</v>
          </cell>
          <cell r="F264" t="str">
            <v/>
          </cell>
          <cell r="G264" t="str">
            <v>TUBOS ENDOTRAQUEAL</v>
          </cell>
          <cell r="H264" t="str">
            <v/>
          </cell>
          <cell r="I264" t="str">
            <v>CJX10</v>
          </cell>
          <cell r="J264">
            <v>1</v>
          </cell>
          <cell r="K264">
            <v>1</v>
          </cell>
          <cell r="L264" t="str">
            <v>C</v>
          </cell>
          <cell r="M264">
            <v>191</v>
          </cell>
          <cell r="N264" t="str">
            <v>C</v>
          </cell>
          <cell r="O264">
            <v>215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5</v>
          </cell>
          <cell r="U264">
            <v>9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5910</v>
          </cell>
          <cell r="AA264">
            <v>138.15</v>
          </cell>
          <cell r="AB264">
            <v>162.53</v>
          </cell>
          <cell r="AC264">
            <v>0</v>
          </cell>
          <cell r="AD264">
            <v>162.53</v>
          </cell>
          <cell r="AE264">
            <v>0</v>
          </cell>
          <cell r="AF264">
            <v>3.07</v>
          </cell>
          <cell r="AG264">
            <v>0.85</v>
          </cell>
        </row>
        <row r="265">
          <cell r="B265">
            <v>243450206</v>
          </cell>
          <cell r="C265" t="str">
            <v>DYND43075</v>
          </cell>
          <cell r="D265" t="str">
            <v>TUBO ENDOTRAQUEAL HI LOW 7.5 C/BALON MEDLINE x Und</v>
          </cell>
          <cell r="E265" t="str">
            <v>MEDLINE</v>
          </cell>
          <cell r="F265" t="str">
            <v/>
          </cell>
          <cell r="G265" t="str">
            <v>TUBOS ENDOTRAQUEAL</v>
          </cell>
          <cell r="H265" t="str">
            <v/>
          </cell>
          <cell r="I265" t="str">
            <v>CJX10</v>
          </cell>
          <cell r="J265">
            <v>1</v>
          </cell>
          <cell r="K265">
            <v>1</v>
          </cell>
          <cell r="L265" t="str">
            <v>C</v>
          </cell>
          <cell r="M265">
            <v>262</v>
          </cell>
          <cell r="N265" t="str">
            <v>C</v>
          </cell>
          <cell r="O265">
            <v>204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5</v>
          </cell>
          <cell r="U265">
            <v>75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1000</v>
          </cell>
          <cell r="AA265">
            <v>138.15</v>
          </cell>
          <cell r="AB265">
            <v>162.53</v>
          </cell>
          <cell r="AC265">
            <v>0</v>
          </cell>
          <cell r="AD265">
            <v>162.53</v>
          </cell>
          <cell r="AE265">
            <v>0</v>
          </cell>
          <cell r="AF265">
            <v>3.07</v>
          </cell>
          <cell r="AG265">
            <v>0.85</v>
          </cell>
        </row>
        <row r="266">
          <cell r="B266">
            <v>240600213</v>
          </cell>
          <cell r="C266" t="str">
            <v>DYND43085</v>
          </cell>
          <cell r="D266" t="str">
            <v>TUBO ENDOTRAQUEAL HI LOW 8,5 C/BALON MEDLINE x Und</v>
          </cell>
          <cell r="E266" t="str">
            <v>MEDLINE</v>
          </cell>
          <cell r="F266" t="str">
            <v/>
          </cell>
          <cell r="G266" t="str">
            <v>TUBOS ENDOTRAQUEAL</v>
          </cell>
          <cell r="H266" t="str">
            <v/>
          </cell>
          <cell r="I266" t="str">
            <v>CJX10</v>
          </cell>
          <cell r="J266">
            <v>1</v>
          </cell>
          <cell r="K266">
            <v>1</v>
          </cell>
          <cell r="L266" t="str">
            <v>C</v>
          </cell>
          <cell r="M266">
            <v>267</v>
          </cell>
          <cell r="N266" t="str">
            <v>C</v>
          </cell>
          <cell r="O266">
            <v>202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5</v>
          </cell>
          <cell r="U266">
            <v>89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1210</v>
          </cell>
          <cell r="AA266">
            <v>138.15</v>
          </cell>
          <cell r="AB266">
            <v>162.53</v>
          </cell>
          <cell r="AC266">
            <v>0</v>
          </cell>
          <cell r="AD266">
            <v>162.53</v>
          </cell>
          <cell r="AE266">
            <v>0</v>
          </cell>
          <cell r="AF266">
            <v>3.07</v>
          </cell>
          <cell r="AG266">
            <v>0.85</v>
          </cell>
        </row>
        <row r="267">
          <cell r="B267">
            <v>243450207</v>
          </cell>
          <cell r="C267" t="str">
            <v>DYND43080</v>
          </cell>
          <cell r="D267" t="str">
            <v>TUBO ENDOTRAQUEAL HI LOW 8.0 C/BALON MEDLINE x Und</v>
          </cell>
          <cell r="E267" t="str">
            <v>MEDLINE</v>
          </cell>
          <cell r="F267" t="str">
            <v/>
          </cell>
          <cell r="G267" t="str">
            <v>TUBOS ENDOTRAQUEAL</v>
          </cell>
          <cell r="H267" t="str">
            <v/>
          </cell>
          <cell r="I267" t="str">
            <v>CJX10</v>
          </cell>
          <cell r="J267">
            <v>1</v>
          </cell>
          <cell r="K267">
            <v>1</v>
          </cell>
          <cell r="L267" t="str">
            <v>C</v>
          </cell>
          <cell r="M267">
            <v>268</v>
          </cell>
          <cell r="N267" t="str">
            <v>C</v>
          </cell>
          <cell r="O267">
            <v>211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5</v>
          </cell>
          <cell r="U267">
            <v>56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489</v>
          </cell>
          <cell r="AA267">
            <v>138.15</v>
          </cell>
          <cell r="AB267">
            <v>162.53</v>
          </cell>
          <cell r="AC267">
            <v>0</v>
          </cell>
          <cell r="AD267">
            <v>162.53</v>
          </cell>
          <cell r="AE267">
            <v>0</v>
          </cell>
          <cell r="AF267">
            <v>3.07</v>
          </cell>
          <cell r="AG267">
            <v>0.85</v>
          </cell>
        </row>
        <row r="268">
          <cell r="B268">
            <v>240600216</v>
          </cell>
          <cell r="C268" t="str">
            <v/>
          </cell>
          <cell r="D268" t="str">
            <v>TUBO TAPA AZUL GRADILLA X 100 UNDS. MARCA DIPHOCARE</v>
          </cell>
          <cell r="E268" t="str">
            <v>DIPHOSYC</v>
          </cell>
          <cell r="F268" t="str">
            <v/>
          </cell>
          <cell r="G268" t="str">
            <v>TUBOS ENDOTRAQUEAL</v>
          </cell>
          <cell r="H268" t="str">
            <v/>
          </cell>
          <cell r="I268" t="str">
            <v>CJX100</v>
          </cell>
          <cell r="J268">
            <v>1</v>
          </cell>
          <cell r="K268">
            <v>1</v>
          </cell>
          <cell r="L268" t="str">
            <v>C</v>
          </cell>
          <cell r="M268">
            <v>16</v>
          </cell>
          <cell r="N268" t="str">
            <v>C</v>
          </cell>
          <cell r="O268">
            <v>47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238</v>
          </cell>
          <cell r="U268">
            <v>4500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1000</v>
          </cell>
          <cell r="AA268">
            <v>3.1004999999999998</v>
          </cell>
          <cell r="AB268">
            <v>3.65</v>
          </cell>
          <cell r="AC268">
            <v>0</v>
          </cell>
          <cell r="AD268">
            <v>3.65</v>
          </cell>
          <cell r="AE268">
            <v>0</v>
          </cell>
          <cell r="AF268">
            <v>6.8900000000000003E-2</v>
          </cell>
          <cell r="AG268">
            <v>0.84959999999999991</v>
          </cell>
        </row>
        <row r="269">
          <cell r="B269">
            <v>240600215</v>
          </cell>
          <cell r="C269" t="str">
            <v/>
          </cell>
          <cell r="D269" t="str">
            <v>TUBO TAPA MORADA GRADILLA X 100 UNDS. MARCA VACUUM DIAGNOSTICS</v>
          </cell>
          <cell r="E269" t="str">
            <v>DIPHOSYC</v>
          </cell>
          <cell r="F269" t="str">
            <v/>
          </cell>
          <cell r="G269" t="str">
            <v>TUBOS ENDOTRAQUEAL</v>
          </cell>
          <cell r="H269" t="str">
            <v/>
          </cell>
          <cell r="I269" t="str">
            <v>CJX100</v>
          </cell>
          <cell r="J269">
            <v>1</v>
          </cell>
          <cell r="K269">
            <v>1</v>
          </cell>
          <cell r="L269" t="str">
            <v>B</v>
          </cell>
          <cell r="M269">
            <v>10</v>
          </cell>
          <cell r="N269" t="str">
            <v>C</v>
          </cell>
          <cell r="O269">
            <v>16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238</v>
          </cell>
          <cell r="U269">
            <v>9100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2000</v>
          </cell>
          <cell r="AA269">
            <v>5.85</v>
          </cell>
          <cell r="AB269">
            <v>6.88</v>
          </cell>
          <cell r="AC269">
            <v>0</v>
          </cell>
          <cell r="AD269">
            <v>6.88</v>
          </cell>
          <cell r="AE269">
            <v>0</v>
          </cell>
          <cell r="AF269">
            <v>0.13</v>
          </cell>
          <cell r="AG269">
            <v>0.85019999999999996</v>
          </cell>
        </row>
        <row r="270">
          <cell r="B270">
            <v>242350299</v>
          </cell>
          <cell r="C270" t="str">
            <v>32630</v>
          </cell>
          <cell r="D270" t="str">
            <v>VASO HUMIDIFICADOR MARCA MC KESSON x Und</v>
          </cell>
          <cell r="E270" t="str">
            <v>MCKESSON</v>
          </cell>
          <cell r="F270" t="str">
            <v/>
          </cell>
          <cell r="G270" t="str">
            <v/>
          </cell>
          <cell r="H270" t="str">
            <v/>
          </cell>
          <cell r="I270" t="str">
            <v>UND</v>
          </cell>
          <cell r="J270">
            <v>1</v>
          </cell>
          <cell r="K270">
            <v>1</v>
          </cell>
          <cell r="L270" t="str">
            <v>C</v>
          </cell>
          <cell r="M270">
            <v>26</v>
          </cell>
          <cell r="N270" t="str">
            <v>C</v>
          </cell>
          <cell r="O270">
            <v>157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5</v>
          </cell>
          <cell r="U270">
            <v>16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25</v>
          </cell>
          <cell r="AA270">
            <v>189</v>
          </cell>
          <cell r="AB270">
            <v>252</v>
          </cell>
          <cell r="AC270">
            <v>0</v>
          </cell>
          <cell r="AD270">
            <v>252</v>
          </cell>
          <cell r="AE270">
            <v>0</v>
          </cell>
          <cell r="AF270">
            <v>4.2</v>
          </cell>
          <cell r="AG270">
            <v>0.75</v>
          </cell>
        </row>
        <row r="271">
          <cell r="B271">
            <v>242350209</v>
          </cell>
          <cell r="C271" t="str">
            <v>2006</v>
          </cell>
          <cell r="D271" t="str">
            <v>VASO HUMIDIFICADOR MARCA VYAIRE x Und</v>
          </cell>
          <cell r="E271" t="str">
            <v>VYAIRE</v>
          </cell>
          <cell r="F271" t="str">
            <v/>
          </cell>
          <cell r="G271" t="str">
            <v>OTROS OTROS</v>
          </cell>
          <cell r="H271" t="str">
            <v/>
          </cell>
          <cell r="I271" t="str">
            <v>BTOX50</v>
          </cell>
          <cell r="J271">
            <v>1</v>
          </cell>
          <cell r="K271">
            <v>1</v>
          </cell>
          <cell r="L271" t="str">
            <v>C</v>
          </cell>
          <cell r="M271">
            <v>249</v>
          </cell>
          <cell r="N271" t="str">
            <v>C</v>
          </cell>
          <cell r="O271">
            <v>77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223</v>
          </cell>
          <cell r="U271">
            <v>820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580</v>
          </cell>
          <cell r="AA271">
            <v>189</v>
          </cell>
          <cell r="AB271">
            <v>252</v>
          </cell>
          <cell r="AC271">
            <v>0</v>
          </cell>
          <cell r="AD271">
            <v>252</v>
          </cell>
          <cell r="AE271">
            <v>0</v>
          </cell>
          <cell r="AF271">
            <v>4.2</v>
          </cell>
          <cell r="AG271">
            <v>0.75</v>
          </cell>
        </row>
        <row r="272">
          <cell r="B272">
            <v>243200303</v>
          </cell>
          <cell r="C272" t="str">
            <v>243200303</v>
          </cell>
          <cell r="D272" t="str">
            <v>VASO NEBULIZADOR MARCA VYAIRE BOCA ANCHA x Und</v>
          </cell>
          <cell r="E272" t="str">
            <v>VYAIRE</v>
          </cell>
          <cell r="F272" t="str">
            <v/>
          </cell>
          <cell r="G272" t="str">
            <v/>
          </cell>
          <cell r="H272" t="str">
            <v/>
          </cell>
          <cell r="I272" t="str">
            <v>CJX24</v>
          </cell>
          <cell r="J272">
            <v>1</v>
          </cell>
          <cell r="K272">
            <v>1</v>
          </cell>
          <cell r="L272" t="str">
            <v>C</v>
          </cell>
          <cell r="M272">
            <v>258</v>
          </cell>
          <cell r="N272" t="str">
            <v>C</v>
          </cell>
          <cell r="O272">
            <v>170</v>
          </cell>
          <cell r="P272">
            <v>0</v>
          </cell>
          <cell r="Q272">
            <v>32</v>
          </cell>
          <cell r="R272">
            <v>32</v>
          </cell>
          <cell r="S272">
            <v>0</v>
          </cell>
          <cell r="T272">
            <v>144</v>
          </cell>
          <cell r="U272">
            <v>87</v>
          </cell>
          <cell r="V272">
            <v>0</v>
          </cell>
          <cell r="W272">
            <v>0</v>
          </cell>
          <cell r="X272">
            <v>0</v>
          </cell>
          <cell r="Y272">
            <v>32</v>
          </cell>
          <cell r="Z272">
            <v>32</v>
          </cell>
          <cell r="AA272">
            <v>166.5</v>
          </cell>
          <cell r="AB272">
            <v>222</v>
          </cell>
          <cell r="AC272">
            <v>0</v>
          </cell>
          <cell r="AD272">
            <v>222</v>
          </cell>
          <cell r="AE272">
            <v>0</v>
          </cell>
          <cell r="AF272">
            <v>3.7</v>
          </cell>
          <cell r="AG272">
            <v>0.75</v>
          </cell>
        </row>
        <row r="273">
          <cell r="B273">
            <v>250150308</v>
          </cell>
          <cell r="C273" t="str">
            <v/>
          </cell>
          <cell r="D273" t="str">
            <v>VENDA ELASTICA (IDEAL - LEROY) 20CM X 5 MTS x Und</v>
          </cell>
          <cell r="E273" t="str">
            <v>LEROY</v>
          </cell>
          <cell r="F273" t="str">
            <v/>
          </cell>
          <cell r="G273" t="str">
            <v/>
          </cell>
          <cell r="H273" t="str">
            <v/>
          </cell>
          <cell r="I273" t="str">
            <v>UND</v>
          </cell>
          <cell r="J273">
            <v>1</v>
          </cell>
          <cell r="K273">
            <v>1</v>
          </cell>
          <cell r="L273" t="str">
            <v>C</v>
          </cell>
          <cell r="M273">
            <v>123</v>
          </cell>
          <cell r="N273" t="str">
            <v>C</v>
          </cell>
          <cell r="O273">
            <v>61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248</v>
          </cell>
          <cell r="U273">
            <v>63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63</v>
          </cell>
          <cell r="AA273">
            <v>190.8</v>
          </cell>
          <cell r="AB273">
            <v>238.5</v>
          </cell>
          <cell r="AC273">
            <v>0</v>
          </cell>
          <cell r="AD273">
            <v>238.5</v>
          </cell>
          <cell r="AE273">
            <v>0</v>
          </cell>
          <cell r="AF273">
            <v>4.24</v>
          </cell>
          <cell r="AG273">
            <v>0.8</v>
          </cell>
        </row>
        <row r="274">
          <cell r="B274">
            <v>250150307</v>
          </cell>
          <cell r="C274" t="str">
            <v/>
          </cell>
          <cell r="D274" t="str">
            <v>VENDA ELASTICA (IDEAL) 15CM X 5 MTS LEROY x Und</v>
          </cell>
          <cell r="E274" t="str">
            <v>LEROY</v>
          </cell>
          <cell r="F274" t="str">
            <v/>
          </cell>
          <cell r="G274" t="str">
            <v/>
          </cell>
          <cell r="H274" t="str">
            <v/>
          </cell>
          <cell r="I274" t="str">
            <v>UND</v>
          </cell>
          <cell r="J274">
            <v>1</v>
          </cell>
          <cell r="K274">
            <v>1</v>
          </cell>
          <cell r="L274" t="str">
            <v>C</v>
          </cell>
          <cell r="M274">
            <v>135</v>
          </cell>
          <cell r="N274" t="str">
            <v>C</v>
          </cell>
          <cell r="O274">
            <v>72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248</v>
          </cell>
          <cell r="U274">
            <v>16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90</v>
          </cell>
          <cell r="AA274">
            <v>130.5</v>
          </cell>
          <cell r="AB274">
            <v>163.13</v>
          </cell>
          <cell r="AC274">
            <v>0</v>
          </cell>
          <cell r="AD274">
            <v>163.13</v>
          </cell>
          <cell r="AE274">
            <v>0</v>
          </cell>
          <cell r="AF274">
            <v>2.9</v>
          </cell>
          <cell r="AG274">
            <v>0.8</v>
          </cell>
        </row>
        <row r="275">
          <cell r="B275">
            <v>250150306</v>
          </cell>
          <cell r="C275" t="str">
            <v/>
          </cell>
          <cell r="D275" t="str">
            <v>VENDA ELASTICA 10CM X 5 MTS LEROY x Und</v>
          </cell>
          <cell r="E275" t="str">
            <v>LEROY</v>
          </cell>
          <cell r="F275" t="str">
            <v/>
          </cell>
          <cell r="G275" t="str">
            <v/>
          </cell>
          <cell r="H275" t="str">
            <v/>
          </cell>
          <cell r="I275" t="str">
            <v>UND</v>
          </cell>
          <cell r="J275">
            <v>1</v>
          </cell>
          <cell r="K275">
            <v>1</v>
          </cell>
          <cell r="L275" t="str">
            <v>C</v>
          </cell>
          <cell r="M275">
            <v>361</v>
          </cell>
          <cell r="N275" t="str">
            <v>C</v>
          </cell>
          <cell r="O275">
            <v>219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116</v>
          </cell>
          <cell r="U275">
            <v>77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76</v>
          </cell>
          <cell r="AA275">
            <v>91.35</v>
          </cell>
          <cell r="AB275">
            <v>130.5</v>
          </cell>
          <cell r="AC275">
            <v>0</v>
          </cell>
          <cell r="AD275">
            <v>130.5</v>
          </cell>
          <cell r="AE275">
            <v>0</v>
          </cell>
          <cell r="AF275">
            <v>2.0299999999999998</v>
          </cell>
          <cell r="AG275">
            <v>0.7</v>
          </cell>
        </row>
        <row r="276">
          <cell r="B276">
            <v>250150304</v>
          </cell>
          <cell r="C276" t="str">
            <v/>
          </cell>
          <cell r="D276" t="str">
            <v>VENDA ELASTICA 5CM X 5 MTS LEROY x Und</v>
          </cell>
          <cell r="E276" t="str">
            <v>LEROY</v>
          </cell>
          <cell r="F276" t="str">
            <v/>
          </cell>
          <cell r="G276" t="str">
            <v/>
          </cell>
          <cell r="H276" t="str">
            <v/>
          </cell>
          <cell r="I276" t="str">
            <v>UND</v>
          </cell>
          <cell r="J276">
            <v>1</v>
          </cell>
          <cell r="K276">
            <v>1</v>
          </cell>
          <cell r="L276" t="str">
            <v>C</v>
          </cell>
          <cell r="M276">
            <v>137</v>
          </cell>
          <cell r="N276" t="str">
            <v>C</v>
          </cell>
          <cell r="O276">
            <v>39</v>
          </cell>
          <cell r="P276">
            <v>0</v>
          </cell>
          <cell r="Q276">
            <v>65</v>
          </cell>
          <cell r="R276">
            <v>65</v>
          </cell>
          <cell r="S276">
            <v>0</v>
          </cell>
          <cell r="T276">
            <v>5</v>
          </cell>
          <cell r="U276">
            <v>6275</v>
          </cell>
          <cell r="V276">
            <v>0</v>
          </cell>
          <cell r="W276">
            <v>0</v>
          </cell>
          <cell r="X276">
            <v>0</v>
          </cell>
          <cell r="Y276">
            <v>90</v>
          </cell>
          <cell r="Z276">
            <v>90</v>
          </cell>
          <cell r="AA276">
            <v>62.4375</v>
          </cell>
          <cell r="AB276">
            <v>104.06</v>
          </cell>
          <cell r="AC276">
            <v>0</v>
          </cell>
          <cell r="AD276">
            <v>104.06</v>
          </cell>
          <cell r="AE276">
            <v>0</v>
          </cell>
          <cell r="AF276">
            <v>1.3875</v>
          </cell>
          <cell r="AG276">
            <v>0.6</v>
          </cell>
        </row>
        <row r="277">
          <cell r="B277">
            <v>250150305</v>
          </cell>
          <cell r="C277" t="str">
            <v/>
          </cell>
          <cell r="D277" t="str">
            <v>VENDA ELASTICA 7.5CM X 5 MTS LEROY x Und</v>
          </cell>
          <cell r="E277" t="str">
            <v>LEROY</v>
          </cell>
          <cell r="F277" t="str">
            <v/>
          </cell>
          <cell r="G277" t="str">
            <v/>
          </cell>
          <cell r="H277" t="str">
            <v/>
          </cell>
          <cell r="I277" t="str">
            <v>UND</v>
          </cell>
          <cell r="J277">
            <v>1</v>
          </cell>
          <cell r="K277">
            <v>1</v>
          </cell>
          <cell r="L277" t="str">
            <v>C</v>
          </cell>
          <cell r="M277">
            <v>291</v>
          </cell>
          <cell r="N277" t="str">
            <v>C</v>
          </cell>
          <cell r="O277">
            <v>100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5</v>
          </cell>
          <cell r="U277">
            <v>1884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30</v>
          </cell>
          <cell r="AA277">
            <v>73.125</v>
          </cell>
          <cell r="AB277">
            <v>121.87</v>
          </cell>
          <cell r="AC277">
            <v>0</v>
          </cell>
          <cell r="AD277">
            <v>121.87</v>
          </cell>
          <cell r="AE277">
            <v>0</v>
          </cell>
          <cell r="AF277">
            <v>1.625</v>
          </cell>
          <cell r="AG277">
            <v>0.6</v>
          </cell>
        </row>
        <row r="278">
          <cell r="B278">
            <v>250150104</v>
          </cell>
          <cell r="C278" t="str">
            <v/>
          </cell>
          <cell r="D278" t="str">
            <v>VENDA ELASTICA 7.5cm (3") ACTIMED SPORT x Und</v>
          </cell>
          <cell r="E278" t="str">
            <v>ACTIMED</v>
          </cell>
          <cell r="F278" t="str">
            <v/>
          </cell>
          <cell r="G278" t="str">
            <v>VENDAS ELASTICAS</v>
          </cell>
          <cell r="H278" t="str">
            <v/>
          </cell>
          <cell r="I278" t="str">
            <v>UND</v>
          </cell>
          <cell r="J278">
            <v>1</v>
          </cell>
          <cell r="K278">
            <v>1</v>
          </cell>
          <cell r="L278" t="str">
            <v>C</v>
          </cell>
          <cell r="M278">
            <v>408</v>
          </cell>
          <cell r="N278" t="str">
            <v>C</v>
          </cell>
          <cell r="O278">
            <v>399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5</v>
          </cell>
          <cell r="U278">
            <v>256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384</v>
          </cell>
          <cell r="AA278">
            <v>37.894500000000001</v>
          </cell>
          <cell r="AB278">
            <v>54.14</v>
          </cell>
          <cell r="AC278">
            <v>0</v>
          </cell>
          <cell r="AD278">
            <v>54.14</v>
          </cell>
          <cell r="AE278">
            <v>0</v>
          </cell>
          <cell r="AF278">
            <v>0.84209999999999996</v>
          </cell>
          <cell r="AG278">
            <v>0.7</v>
          </cell>
        </row>
        <row r="279">
          <cell r="B279">
            <v>250150517</v>
          </cell>
          <cell r="C279" t="str">
            <v/>
          </cell>
          <cell r="D279" t="str">
            <v>VENDA ESMARK COMPRESIVA 4 " X 9" x Und</v>
          </cell>
          <cell r="E279" t="str">
            <v>MCKESSON</v>
          </cell>
          <cell r="F279" t="str">
            <v/>
          </cell>
          <cell r="G279" t="str">
            <v/>
          </cell>
          <cell r="H279" t="str">
            <v/>
          </cell>
          <cell r="I279" t="str">
            <v>UND</v>
          </cell>
          <cell r="J279">
            <v>1</v>
          </cell>
          <cell r="K279">
            <v>1</v>
          </cell>
          <cell r="L279" t="str">
            <v>C</v>
          </cell>
          <cell r="M279">
            <v>147</v>
          </cell>
          <cell r="N279" t="str">
            <v>C</v>
          </cell>
          <cell r="O279">
            <v>165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5</v>
          </cell>
          <cell r="U279">
            <v>15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</v>
          </cell>
          <cell r="AA279">
            <v>148.05000000000001</v>
          </cell>
          <cell r="AB279">
            <v>246.75</v>
          </cell>
          <cell r="AC279">
            <v>0</v>
          </cell>
          <cell r="AD279">
            <v>246.75</v>
          </cell>
          <cell r="AE279">
            <v>0</v>
          </cell>
          <cell r="AF279">
            <v>3.29</v>
          </cell>
          <cell r="AG279">
            <v>0.6</v>
          </cell>
        </row>
        <row r="280">
          <cell r="B280">
            <v>242250102</v>
          </cell>
          <cell r="C280" t="str">
            <v>000-3</v>
          </cell>
          <cell r="D280" t="str">
            <v>VENDA ORTOBAN YESO (GYPSONA) 3" x 3 Yds - Marca Geniacare x Und/\Presentacion Caja x 24 Unds.</v>
          </cell>
          <cell r="E280" t="str">
            <v>GENIACARE</v>
          </cell>
          <cell r="F280" t="str">
            <v/>
          </cell>
          <cell r="G280" t="str">
            <v>VENDAS ENYESADA</v>
          </cell>
          <cell r="H280" t="str">
            <v/>
          </cell>
          <cell r="I280" t="str">
            <v>CJX24</v>
          </cell>
          <cell r="J280">
            <v>1</v>
          </cell>
          <cell r="K280">
            <v>1</v>
          </cell>
          <cell r="L280" t="str">
            <v>C</v>
          </cell>
          <cell r="M280">
            <v>190</v>
          </cell>
          <cell r="N280" t="str">
            <v>B</v>
          </cell>
          <cell r="O280">
            <v>7</v>
          </cell>
          <cell r="P280">
            <v>0</v>
          </cell>
          <cell r="Q280">
            <v>24</v>
          </cell>
          <cell r="R280">
            <v>24</v>
          </cell>
          <cell r="S280">
            <v>0</v>
          </cell>
          <cell r="T280">
            <v>5</v>
          </cell>
          <cell r="U280">
            <v>1701</v>
          </cell>
          <cell r="V280">
            <v>0</v>
          </cell>
          <cell r="W280">
            <v>0</v>
          </cell>
          <cell r="X280">
            <v>0</v>
          </cell>
          <cell r="Y280">
            <v>24</v>
          </cell>
          <cell r="Z280">
            <v>432</v>
          </cell>
          <cell r="AA280">
            <v>64.403999999999996</v>
          </cell>
          <cell r="AB280">
            <v>85.87</v>
          </cell>
          <cell r="AC280">
            <v>0</v>
          </cell>
          <cell r="AD280">
            <v>85.87</v>
          </cell>
          <cell r="AE280">
            <v>0</v>
          </cell>
          <cell r="AF280">
            <v>1.4312</v>
          </cell>
          <cell r="AG280">
            <v>0.75</v>
          </cell>
        </row>
        <row r="281">
          <cell r="B281">
            <v>242250103</v>
          </cell>
          <cell r="C281" t="str">
            <v>000-5</v>
          </cell>
          <cell r="D281" t="str">
            <v>VENDA ORTOBAN YESO (GYPSONA) 4" x 3 Yds - Marca Geniacare x Und/\Presentacion Caja x 24 Unds.</v>
          </cell>
          <cell r="E281" t="str">
            <v>GENIACARE</v>
          </cell>
          <cell r="F281" t="str">
            <v/>
          </cell>
          <cell r="G281" t="str">
            <v>VENDAS ENYESADA</v>
          </cell>
          <cell r="H281" t="str">
            <v/>
          </cell>
          <cell r="I281" t="str">
            <v>CJX24</v>
          </cell>
          <cell r="J281">
            <v>1</v>
          </cell>
          <cell r="K281">
            <v>1</v>
          </cell>
          <cell r="L281" t="str">
            <v>B</v>
          </cell>
          <cell r="M281">
            <v>16</v>
          </cell>
          <cell r="N281" t="str">
            <v>A</v>
          </cell>
          <cell r="O281">
            <v>8</v>
          </cell>
          <cell r="P281">
            <v>0</v>
          </cell>
          <cell r="Q281">
            <v>24</v>
          </cell>
          <cell r="R281">
            <v>24</v>
          </cell>
          <cell r="S281">
            <v>0</v>
          </cell>
          <cell r="T281">
            <v>5</v>
          </cell>
          <cell r="U281">
            <v>4209</v>
          </cell>
          <cell r="V281">
            <v>0</v>
          </cell>
          <cell r="W281">
            <v>24</v>
          </cell>
          <cell r="X281">
            <v>0</v>
          </cell>
          <cell r="Y281">
            <v>48</v>
          </cell>
          <cell r="Z281">
            <v>1202</v>
          </cell>
          <cell r="AA281">
            <v>78.862499999999997</v>
          </cell>
          <cell r="AB281">
            <v>105.15</v>
          </cell>
          <cell r="AC281">
            <v>0</v>
          </cell>
          <cell r="AD281">
            <v>105.15</v>
          </cell>
          <cell r="AE281">
            <v>0</v>
          </cell>
          <cell r="AF281">
            <v>1.7524999999999999</v>
          </cell>
          <cell r="AG281">
            <v>0.75</v>
          </cell>
        </row>
        <row r="282">
          <cell r="B282">
            <v>242250104</v>
          </cell>
          <cell r="C282" t="str">
            <v>000-7</v>
          </cell>
          <cell r="D282" t="str">
            <v>VENDA ORTOBAN YESO (GYPSONA) 6" x 3 Yds - Marca Geniacare x Und/\Presentacion Caja x 24 Unds.</v>
          </cell>
          <cell r="E282" t="str">
            <v>GENIACARE</v>
          </cell>
          <cell r="F282" t="str">
            <v/>
          </cell>
          <cell r="G282" t="str">
            <v>VENDAS ENYESADA</v>
          </cell>
          <cell r="H282" t="str">
            <v/>
          </cell>
          <cell r="I282" t="str">
            <v>UND</v>
          </cell>
          <cell r="J282">
            <v>1</v>
          </cell>
          <cell r="K282">
            <v>1</v>
          </cell>
          <cell r="L282" t="str">
            <v>B</v>
          </cell>
          <cell r="M282">
            <v>20</v>
          </cell>
          <cell r="N282" t="str">
            <v>A</v>
          </cell>
          <cell r="O282">
            <v>7</v>
          </cell>
          <cell r="P282">
            <v>0</v>
          </cell>
          <cell r="Q282">
            <v>24</v>
          </cell>
          <cell r="R282">
            <v>24</v>
          </cell>
          <cell r="S282">
            <v>0</v>
          </cell>
          <cell r="T282">
            <v>38</v>
          </cell>
          <cell r="U282">
            <v>3704</v>
          </cell>
          <cell r="V282">
            <v>0</v>
          </cell>
          <cell r="W282">
            <v>0</v>
          </cell>
          <cell r="X282">
            <v>0</v>
          </cell>
          <cell r="Y282">
            <v>48</v>
          </cell>
          <cell r="Z282">
            <v>741</v>
          </cell>
          <cell r="AA282">
            <v>113.922</v>
          </cell>
          <cell r="AB282">
            <v>151.9</v>
          </cell>
          <cell r="AC282">
            <v>0</v>
          </cell>
          <cell r="AD282">
            <v>151.9</v>
          </cell>
          <cell r="AE282">
            <v>0</v>
          </cell>
          <cell r="AF282">
            <v>2.5316000000000001</v>
          </cell>
          <cell r="AG282">
            <v>0.75</v>
          </cell>
        </row>
        <row r="283">
          <cell r="B283">
            <v>242250105</v>
          </cell>
          <cell r="C283" t="str">
            <v>000-9</v>
          </cell>
          <cell r="D283" t="str">
            <v>VENDA ORTOBAN YESO (GYPSONA) 8" x 3 Yds - Marca Geniacare x Und/\Presentacion Caja x 24 Unds.</v>
          </cell>
          <cell r="E283" t="str">
            <v>GENIACARE</v>
          </cell>
          <cell r="F283" t="str">
            <v/>
          </cell>
          <cell r="G283" t="str">
            <v>VENDAS ENYESADA</v>
          </cell>
          <cell r="H283" t="str">
            <v/>
          </cell>
          <cell r="I283" t="str">
            <v>CJX24</v>
          </cell>
          <cell r="J283">
            <v>1</v>
          </cell>
          <cell r="K283">
            <v>1</v>
          </cell>
          <cell r="L283" t="str">
            <v>B</v>
          </cell>
          <cell r="M283">
            <v>15</v>
          </cell>
          <cell r="N283" t="str">
            <v>A</v>
          </cell>
          <cell r="O283">
            <v>15</v>
          </cell>
          <cell r="P283">
            <v>0</v>
          </cell>
          <cell r="Q283">
            <v>24</v>
          </cell>
          <cell r="R283">
            <v>24</v>
          </cell>
          <cell r="S283">
            <v>0</v>
          </cell>
          <cell r="T283">
            <v>25</v>
          </cell>
          <cell r="U283">
            <v>1356</v>
          </cell>
          <cell r="V283">
            <v>0</v>
          </cell>
          <cell r="W283">
            <v>0</v>
          </cell>
          <cell r="X283">
            <v>0</v>
          </cell>
          <cell r="Y283">
            <v>24</v>
          </cell>
          <cell r="Z283">
            <v>252</v>
          </cell>
          <cell r="AA283">
            <v>151.893</v>
          </cell>
          <cell r="AB283">
            <v>202.52</v>
          </cell>
          <cell r="AC283">
            <v>0</v>
          </cell>
          <cell r="AD283">
            <v>202.52</v>
          </cell>
          <cell r="AE283">
            <v>0</v>
          </cell>
          <cell r="AF283">
            <v>3.3754</v>
          </cell>
          <cell r="AG283">
            <v>0.75</v>
          </cell>
        </row>
        <row r="284">
          <cell r="B284">
            <v>250210128</v>
          </cell>
          <cell r="C284" t="str">
            <v/>
          </cell>
          <cell r="D284" t="str">
            <v>ADHESIVO HY-TAPE 1/2" Marca Hy-Tape x Und</v>
          </cell>
          <cell r="E284" t="str">
            <v>HY-TAPE</v>
          </cell>
          <cell r="F284" t="str">
            <v/>
          </cell>
          <cell r="G284" t="str">
            <v/>
          </cell>
          <cell r="H284" t="str">
            <v/>
          </cell>
          <cell r="I284" t="str">
            <v>CJX24</v>
          </cell>
          <cell r="J284">
            <v>24</v>
          </cell>
          <cell r="K284">
            <v>1</v>
          </cell>
          <cell r="L284" t="str">
            <v>C</v>
          </cell>
          <cell r="M284">
            <v>355</v>
          </cell>
          <cell r="N284" t="str">
            <v/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181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264</v>
          </cell>
          <cell r="AA284">
            <v>168.75</v>
          </cell>
          <cell r="AB284">
            <v>281.25</v>
          </cell>
          <cell r="AC284">
            <v>0</v>
          </cell>
          <cell r="AD284">
            <v>281.25</v>
          </cell>
          <cell r="AE284">
            <v>0</v>
          </cell>
          <cell r="AF284">
            <v>3.75</v>
          </cell>
          <cell r="AG284">
            <v>0.6</v>
          </cell>
        </row>
        <row r="285">
          <cell r="B285">
            <v>250210130</v>
          </cell>
          <cell r="C285" t="str">
            <v>105BLF</v>
          </cell>
          <cell r="D285" t="str">
            <v>ADHESIVO HY-TAPE 1/2" Marca Hy-Tape x Und</v>
          </cell>
          <cell r="E285" t="str">
            <v>HY-TAPE</v>
          </cell>
          <cell r="F285" t="str">
            <v/>
          </cell>
          <cell r="G285" t="str">
            <v/>
          </cell>
          <cell r="H285" t="str">
            <v/>
          </cell>
          <cell r="I285" t="str">
            <v>UND</v>
          </cell>
          <cell r="J285">
            <v>1</v>
          </cell>
          <cell r="K285">
            <v>1</v>
          </cell>
          <cell r="L285" t="str">
            <v>C</v>
          </cell>
          <cell r="M285">
            <v>158</v>
          </cell>
          <cell r="N285" t="str">
            <v/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367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70</v>
          </cell>
          <cell r="AA285">
            <v>168.75</v>
          </cell>
          <cell r="AB285">
            <v>281.25</v>
          </cell>
          <cell r="AC285">
            <v>0</v>
          </cell>
          <cell r="AD285">
            <v>281.25</v>
          </cell>
          <cell r="AE285">
            <v>0</v>
          </cell>
          <cell r="AF285">
            <v>3.75</v>
          </cell>
          <cell r="AG285">
            <v>0.6</v>
          </cell>
        </row>
        <row r="286">
          <cell r="B286">
            <v>253400229</v>
          </cell>
          <cell r="C286" t="str">
            <v/>
          </cell>
          <cell r="D286" t="str">
            <v>APOSITO DUODERM 2.5" x 2.5" REF. 187970 x Und</v>
          </cell>
          <cell r="E286" t="str">
            <v>CONVATEC</v>
          </cell>
          <cell r="F286" t="str">
            <v/>
          </cell>
          <cell r="G286" t="str">
            <v>APOSITOS DUODERM</v>
          </cell>
          <cell r="H286" t="str">
            <v/>
          </cell>
          <cell r="I286" t="str">
            <v>CJX5</v>
          </cell>
          <cell r="J286">
            <v>5</v>
          </cell>
          <cell r="K286">
            <v>1</v>
          </cell>
          <cell r="L286" t="str">
            <v/>
          </cell>
          <cell r="M286">
            <v>0</v>
          </cell>
          <cell r="N286" t="str">
            <v/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389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10</v>
          </cell>
          <cell r="AA286">
            <v>355.5</v>
          </cell>
          <cell r="AB286">
            <v>646.36</v>
          </cell>
          <cell r="AC286">
            <v>0</v>
          </cell>
          <cell r="AD286">
            <v>646.36</v>
          </cell>
          <cell r="AE286">
            <v>0</v>
          </cell>
          <cell r="AF286">
            <v>7.9</v>
          </cell>
          <cell r="AG286">
            <v>0.55000000000000004</v>
          </cell>
        </row>
        <row r="287">
          <cell r="B287">
            <v>240450310</v>
          </cell>
          <cell r="C287" t="str">
            <v>240450310</v>
          </cell>
          <cell r="D287" t="str">
            <v>BOLIGRAFO ENFERMERA X PAQUETE</v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>UND</v>
          </cell>
          <cell r="J287">
            <v>1</v>
          </cell>
          <cell r="K287">
            <v>1</v>
          </cell>
          <cell r="L287" t="str">
            <v/>
          </cell>
          <cell r="M287">
            <v>0</v>
          </cell>
          <cell r="N287" t="str">
            <v/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386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7</v>
          </cell>
          <cell r="AA287">
            <v>456.435</v>
          </cell>
          <cell r="AB287">
            <v>652.04999999999995</v>
          </cell>
          <cell r="AC287">
            <v>0</v>
          </cell>
          <cell r="AD287">
            <v>652.04999999999995</v>
          </cell>
          <cell r="AE287">
            <v>0</v>
          </cell>
          <cell r="AF287">
            <v>10.143000000000001</v>
          </cell>
          <cell r="AG287">
            <v>0.7</v>
          </cell>
        </row>
        <row r="288">
          <cell r="B288">
            <v>241250115</v>
          </cell>
          <cell r="C288" t="str">
            <v/>
          </cell>
          <cell r="D288" t="str">
            <v>BOLSA DE NUTRICION ENTERAL 1500ml x Und</v>
          </cell>
          <cell r="E288" t="str">
            <v>BEXEN</v>
          </cell>
          <cell r="F288" t="str">
            <v/>
          </cell>
          <cell r="G288" t="str">
            <v/>
          </cell>
          <cell r="H288" t="str">
            <v/>
          </cell>
          <cell r="I288" t="str">
            <v>UND</v>
          </cell>
          <cell r="J288">
            <v>1</v>
          </cell>
          <cell r="K288">
            <v>1</v>
          </cell>
          <cell r="L288" t="str">
            <v/>
          </cell>
          <cell r="M288">
            <v>0</v>
          </cell>
          <cell r="N288" t="str">
            <v/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389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10</v>
          </cell>
          <cell r="AA288">
            <v>146.69999999999999</v>
          </cell>
          <cell r="AB288">
            <v>244.5</v>
          </cell>
          <cell r="AC288">
            <v>0</v>
          </cell>
          <cell r="AD288">
            <v>244.5</v>
          </cell>
          <cell r="AE288">
            <v>0</v>
          </cell>
          <cell r="AF288">
            <v>3.26</v>
          </cell>
          <cell r="AG288">
            <v>0.6</v>
          </cell>
        </row>
        <row r="289">
          <cell r="B289">
            <v>241250317</v>
          </cell>
          <cell r="C289" t="str">
            <v/>
          </cell>
          <cell r="D289" t="str">
            <v>BOLSA DE NUTRICION PARENTERAL 3000ml - Marca Victus x Und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>UND</v>
          </cell>
          <cell r="J289">
            <v>1</v>
          </cell>
          <cell r="K289">
            <v>1</v>
          </cell>
          <cell r="L289" t="str">
            <v/>
          </cell>
          <cell r="M289">
            <v>0</v>
          </cell>
          <cell r="N289" t="str">
            <v/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389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63</v>
          </cell>
          <cell r="AA289">
            <v>1170</v>
          </cell>
          <cell r="AB289">
            <v>2127.27</v>
          </cell>
          <cell r="AC289">
            <v>0</v>
          </cell>
          <cell r="AD289">
            <v>2127.27</v>
          </cell>
          <cell r="AE289">
            <v>0</v>
          </cell>
          <cell r="AF289">
            <v>26</v>
          </cell>
          <cell r="AG289">
            <v>0.55000000000000004</v>
          </cell>
        </row>
        <row r="290">
          <cell r="B290">
            <v>242201549</v>
          </cell>
          <cell r="C290" t="str">
            <v/>
          </cell>
          <cell r="D290" t="str">
            <v>CAJA DE CONEXION P/CENTRO DE ESCRITORIO</v>
          </cell>
          <cell r="E290" t="str">
            <v/>
          </cell>
          <cell r="F290" t="str">
            <v/>
          </cell>
          <cell r="G290" t="str">
            <v>VENDAS ELASTICAS</v>
          </cell>
          <cell r="H290" t="str">
            <v/>
          </cell>
          <cell r="I290" t="str">
            <v>UND</v>
          </cell>
          <cell r="J290">
            <v>1</v>
          </cell>
          <cell r="K290">
            <v>1</v>
          </cell>
          <cell r="L290" t="str">
            <v/>
          </cell>
          <cell r="M290">
            <v>0</v>
          </cell>
          <cell r="N290" t="str">
            <v/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389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1</v>
          </cell>
          <cell r="AA290">
            <v>4590</v>
          </cell>
          <cell r="AB290">
            <v>6557.14</v>
          </cell>
          <cell r="AC290">
            <v>0</v>
          </cell>
          <cell r="AD290">
            <v>6557.14</v>
          </cell>
          <cell r="AE290">
            <v>0</v>
          </cell>
          <cell r="AF290">
            <v>102</v>
          </cell>
          <cell r="AG290">
            <v>0.7</v>
          </cell>
        </row>
        <row r="291">
          <cell r="B291">
            <v>241050102</v>
          </cell>
          <cell r="C291" t="str">
            <v/>
          </cell>
          <cell r="D291" t="str">
            <v>CARTUCHERA COSMETICA x PAQUETE.</v>
          </cell>
          <cell r="E291" t="str">
            <v/>
          </cell>
          <cell r="F291" t="str">
            <v/>
          </cell>
          <cell r="G291" t="str">
            <v>OTROS OTROS</v>
          </cell>
          <cell r="H291" t="str">
            <v/>
          </cell>
          <cell r="I291" t="str">
            <v>UND</v>
          </cell>
          <cell r="J291">
            <v>1</v>
          </cell>
          <cell r="K291">
            <v>1</v>
          </cell>
          <cell r="L291" t="str">
            <v/>
          </cell>
          <cell r="M291">
            <v>0</v>
          </cell>
          <cell r="N291" t="str">
            <v/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386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13</v>
          </cell>
          <cell r="AA291">
            <v>1511.6849999999999</v>
          </cell>
          <cell r="AB291">
            <v>2159.5500000000002</v>
          </cell>
          <cell r="AC291">
            <v>0</v>
          </cell>
          <cell r="AD291">
            <v>2159.5500000000002</v>
          </cell>
          <cell r="AE291">
            <v>0</v>
          </cell>
          <cell r="AF291">
            <v>33.593000000000004</v>
          </cell>
          <cell r="AG291">
            <v>0.7</v>
          </cell>
        </row>
        <row r="292">
          <cell r="B292">
            <v>250200226</v>
          </cell>
          <cell r="C292" t="str">
            <v>RELTACK10R</v>
          </cell>
          <cell r="D292" t="str">
            <v>CARTUCHO 10 TACK ABSORBENTE MARCA COVIDIEN (REF RELTACK10RSW) X UNIDAD</v>
          </cell>
          <cell r="E292" t="str">
            <v>COVIDIEN</v>
          </cell>
          <cell r="F292" t="str">
            <v/>
          </cell>
          <cell r="G292" t="str">
            <v>APOSITOS RESTORE</v>
          </cell>
          <cell r="H292" t="str">
            <v/>
          </cell>
          <cell r="I292" t="str">
            <v>UND</v>
          </cell>
          <cell r="J292">
            <v>1</v>
          </cell>
          <cell r="K292">
            <v>1</v>
          </cell>
          <cell r="L292" t="str">
            <v/>
          </cell>
          <cell r="M292">
            <v>0</v>
          </cell>
          <cell r="N292" t="str">
            <v/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386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4</v>
          </cell>
          <cell r="AA292">
            <v>6646.5</v>
          </cell>
          <cell r="AB292">
            <v>10225.39</v>
          </cell>
          <cell r="AC292">
            <v>0</v>
          </cell>
          <cell r="AD292">
            <v>10225.39</v>
          </cell>
          <cell r="AE292">
            <v>0</v>
          </cell>
          <cell r="AF292">
            <v>147.69999999999999</v>
          </cell>
          <cell r="AG292">
            <v>0.65</v>
          </cell>
        </row>
        <row r="293">
          <cell r="B293">
            <v>241050107</v>
          </cell>
          <cell r="C293" t="str">
            <v/>
          </cell>
          <cell r="D293" t="str">
            <v>CARTUCHO ACT II</v>
          </cell>
          <cell r="E293" t="str">
            <v>MEDTRONIC</v>
          </cell>
          <cell r="F293" t="str">
            <v/>
          </cell>
          <cell r="G293" t="str">
            <v>OTROS OTROS</v>
          </cell>
          <cell r="H293" t="str">
            <v/>
          </cell>
          <cell r="I293" t="str">
            <v>CJX50</v>
          </cell>
          <cell r="J293">
            <v>1</v>
          </cell>
          <cell r="K293">
            <v>1</v>
          </cell>
          <cell r="L293" t="str">
            <v/>
          </cell>
          <cell r="M293">
            <v>0</v>
          </cell>
          <cell r="N293" t="str">
            <v/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389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100</v>
          </cell>
          <cell r="AA293">
            <v>250.875</v>
          </cell>
          <cell r="AB293">
            <v>491.91</v>
          </cell>
          <cell r="AC293">
            <v>0</v>
          </cell>
          <cell r="AD293">
            <v>491.91</v>
          </cell>
          <cell r="AE293">
            <v>0</v>
          </cell>
          <cell r="AF293">
            <v>5.5750000000000002</v>
          </cell>
          <cell r="AG293">
            <v>0.51</v>
          </cell>
        </row>
        <row r="294">
          <cell r="B294">
            <v>241951217</v>
          </cell>
          <cell r="C294" t="str">
            <v>CV-12703</v>
          </cell>
          <cell r="D294" t="str">
            <v>CATETER TRILUMEN 7.0Fr x 16cm. Marca Portex x Und</v>
          </cell>
          <cell r="E294" t="str">
            <v>ARROW</v>
          </cell>
          <cell r="F294" t="str">
            <v/>
          </cell>
          <cell r="G294" t="str">
            <v>CATETER   TRILUMEN</v>
          </cell>
          <cell r="H294" t="str">
            <v/>
          </cell>
          <cell r="I294" t="str">
            <v>CJX10</v>
          </cell>
          <cell r="J294">
            <v>1</v>
          </cell>
          <cell r="K294">
            <v>1</v>
          </cell>
          <cell r="L294" t="str">
            <v/>
          </cell>
          <cell r="M294">
            <v>0</v>
          </cell>
          <cell r="N294" t="str">
            <v/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385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22</v>
          </cell>
          <cell r="AA294">
            <v>1678.5</v>
          </cell>
          <cell r="AB294">
            <v>2397.86</v>
          </cell>
          <cell r="AC294">
            <v>0</v>
          </cell>
          <cell r="AD294">
            <v>2397.86</v>
          </cell>
          <cell r="AE294">
            <v>0</v>
          </cell>
          <cell r="AF294">
            <v>37.299999999999997</v>
          </cell>
          <cell r="AG294">
            <v>0.7</v>
          </cell>
        </row>
        <row r="295">
          <cell r="B295">
            <v>241950217</v>
          </cell>
          <cell r="C295" t="str">
            <v>CV-15703</v>
          </cell>
          <cell r="D295" t="str">
            <v>CATETER TRILUMEN 7.0Fr x 20cm. Marca Arrow x Und</v>
          </cell>
          <cell r="E295" t="str">
            <v>ARROW</v>
          </cell>
          <cell r="F295" t="str">
            <v/>
          </cell>
          <cell r="G295" t="str">
            <v>CATETER   TRILUMEN</v>
          </cell>
          <cell r="H295" t="str">
            <v/>
          </cell>
          <cell r="I295" t="str">
            <v>CJX10</v>
          </cell>
          <cell r="J295">
            <v>1</v>
          </cell>
          <cell r="K295">
            <v>1</v>
          </cell>
          <cell r="L295" t="str">
            <v/>
          </cell>
          <cell r="M295">
            <v>0</v>
          </cell>
          <cell r="N295" t="str">
            <v/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387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220</v>
          </cell>
          <cell r="AA295">
            <v>984.375</v>
          </cell>
          <cell r="AB295">
            <v>1230.47</v>
          </cell>
          <cell r="AC295">
            <v>0</v>
          </cell>
          <cell r="AD295">
            <v>1230.47</v>
          </cell>
          <cell r="AE295">
            <v>0</v>
          </cell>
          <cell r="AF295">
            <v>21.875</v>
          </cell>
          <cell r="AG295">
            <v>0.8</v>
          </cell>
        </row>
        <row r="296">
          <cell r="B296">
            <v>241951322</v>
          </cell>
          <cell r="C296" t="str">
            <v>4183505</v>
          </cell>
          <cell r="D296" t="str">
            <v>CATETER UMBILICAL SIMPLE LUMEN 3.5 Fr. Marca UTAH MEDICAL x Und</v>
          </cell>
          <cell r="E296" t="str">
            <v>UTAH MEDICAL</v>
          </cell>
          <cell r="F296" t="str">
            <v/>
          </cell>
          <cell r="G296" t="str">
            <v/>
          </cell>
          <cell r="H296" t="str">
            <v/>
          </cell>
          <cell r="I296" t="str">
            <v>CJX10</v>
          </cell>
          <cell r="J296">
            <v>1</v>
          </cell>
          <cell r="K296">
            <v>1</v>
          </cell>
          <cell r="L296" t="str">
            <v>C</v>
          </cell>
          <cell r="M296">
            <v>338</v>
          </cell>
          <cell r="N296" t="str">
            <v/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257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10</v>
          </cell>
          <cell r="AA296">
            <v>889.3125</v>
          </cell>
          <cell r="AB296">
            <v>1185.75</v>
          </cell>
          <cell r="AC296">
            <v>0</v>
          </cell>
          <cell r="AD296">
            <v>1185.75</v>
          </cell>
          <cell r="AE296">
            <v>0</v>
          </cell>
          <cell r="AF296">
            <v>19.762499999999999</v>
          </cell>
          <cell r="AG296">
            <v>0.75</v>
          </cell>
        </row>
        <row r="297">
          <cell r="B297">
            <v>241050103</v>
          </cell>
          <cell r="C297" t="str">
            <v/>
          </cell>
          <cell r="D297" t="str">
            <v>CEPILLO Qx. CHLORHEXIDINE AL 4% Marca (BIOSCRUB) x Und./\Presentacion Bulto x 250 Unds.</v>
          </cell>
          <cell r="E297" t="str">
            <v>BIOSCRUB</v>
          </cell>
          <cell r="F297" t="str">
            <v/>
          </cell>
          <cell r="G297" t="str">
            <v>OTROS OTROS</v>
          </cell>
          <cell r="H297" t="str">
            <v/>
          </cell>
          <cell r="I297" t="str">
            <v>CJX250</v>
          </cell>
          <cell r="J297">
            <v>1</v>
          </cell>
          <cell r="K297">
            <v>1</v>
          </cell>
          <cell r="L297" t="str">
            <v>C</v>
          </cell>
          <cell r="M297">
            <v>297</v>
          </cell>
          <cell r="N297" t="str">
            <v>C</v>
          </cell>
          <cell r="O297">
            <v>161</v>
          </cell>
          <cell r="P297">
            <v>0</v>
          </cell>
          <cell r="Q297">
            <v>1308</v>
          </cell>
          <cell r="R297">
            <v>1308</v>
          </cell>
          <cell r="S297">
            <v>0</v>
          </cell>
          <cell r="T297">
            <v>80</v>
          </cell>
          <cell r="U297">
            <v>0</v>
          </cell>
          <cell r="V297">
            <v>2000</v>
          </cell>
          <cell r="W297">
            <v>0</v>
          </cell>
          <cell r="X297">
            <v>0</v>
          </cell>
          <cell r="Y297">
            <v>1472</v>
          </cell>
          <cell r="Z297">
            <v>1502</v>
          </cell>
          <cell r="AA297">
            <v>20.7</v>
          </cell>
          <cell r="AB297">
            <v>27.6</v>
          </cell>
          <cell r="AC297">
            <v>0</v>
          </cell>
          <cell r="AD297">
            <v>27.6</v>
          </cell>
          <cell r="AE297">
            <v>0</v>
          </cell>
          <cell r="AF297">
            <v>0.46</v>
          </cell>
          <cell r="AG297">
            <v>0.75</v>
          </cell>
        </row>
        <row r="298">
          <cell r="B298">
            <v>243000101</v>
          </cell>
          <cell r="C298" t="str">
            <v/>
          </cell>
          <cell r="D298" t="str">
            <v>CIRCUITO DE ANESTESIA COAXIAL ADULTO PORTEX x Und</v>
          </cell>
          <cell r="E298" t="str">
            <v>PORTEX</v>
          </cell>
          <cell r="F298" t="str">
            <v/>
          </cell>
          <cell r="G298" t="str">
            <v>CIRCUITOS ANESTESIA</v>
          </cell>
          <cell r="H298" t="str">
            <v/>
          </cell>
          <cell r="I298" t="str">
            <v>CJX20</v>
          </cell>
          <cell r="J298">
            <v>1</v>
          </cell>
          <cell r="K298">
            <v>1</v>
          </cell>
          <cell r="L298" t="str">
            <v/>
          </cell>
          <cell r="M298">
            <v>0</v>
          </cell>
          <cell r="N298" t="str">
            <v/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389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348</v>
          </cell>
          <cell r="AA298">
            <v>710.52750000000003</v>
          </cell>
          <cell r="AB298">
            <v>1093.1199999999999</v>
          </cell>
          <cell r="AC298">
            <v>0</v>
          </cell>
          <cell r="AD298">
            <v>1093.1199999999999</v>
          </cell>
          <cell r="AE298">
            <v>0</v>
          </cell>
          <cell r="AF298">
            <v>15.7895</v>
          </cell>
          <cell r="AG298">
            <v>0.65</v>
          </cell>
        </row>
        <row r="299">
          <cell r="B299">
            <v>250600901</v>
          </cell>
          <cell r="C299" t="str">
            <v>TLC75</v>
          </cell>
          <cell r="D299" t="str">
            <v>CORTADORA LINEAL TLC 75 MARCA ETHICON-ENDOSURGERY  X UNIDAD</v>
          </cell>
          <cell r="E299" t="str">
            <v>ETHICON</v>
          </cell>
          <cell r="F299" t="str">
            <v/>
          </cell>
          <cell r="G299" t="str">
            <v/>
          </cell>
          <cell r="H299" t="str">
            <v/>
          </cell>
          <cell r="I299" t="str">
            <v>UND</v>
          </cell>
          <cell r="J299">
            <v>1</v>
          </cell>
          <cell r="K299">
            <v>1</v>
          </cell>
          <cell r="L299" t="str">
            <v/>
          </cell>
          <cell r="M299">
            <v>0</v>
          </cell>
          <cell r="N299" t="str">
            <v/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386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2</v>
          </cell>
          <cell r="AA299">
            <v>6930</v>
          </cell>
          <cell r="AB299">
            <v>12600</v>
          </cell>
          <cell r="AC299">
            <v>0</v>
          </cell>
          <cell r="AD299">
            <v>12600</v>
          </cell>
          <cell r="AE299">
            <v>0</v>
          </cell>
          <cell r="AF299">
            <v>154</v>
          </cell>
          <cell r="AG299">
            <v>0.55000000000000004</v>
          </cell>
        </row>
        <row r="300">
          <cell r="B300">
            <v>243350101</v>
          </cell>
          <cell r="C300" t="str">
            <v/>
          </cell>
          <cell r="D300" t="str">
            <v>CUBREBOTAS MARCA SANIPAD X PAR</v>
          </cell>
          <cell r="E300" t="str">
            <v>MEDITEX</v>
          </cell>
          <cell r="F300" t="str">
            <v/>
          </cell>
          <cell r="G300" t="str">
            <v>LENCERIA CUBREBOTAS</v>
          </cell>
          <cell r="H300" t="str">
            <v/>
          </cell>
          <cell r="I300" t="str">
            <v>CJX250</v>
          </cell>
          <cell r="J300">
            <v>50</v>
          </cell>
          <cell r="K300">
            <v>1</v>
          </cell>
          <cell r="L300" t="str">
            <v/>
          </cell>
          <cell r="M300">
            <v>0</v>
          </cell>
          <cell r="N300" t="str">
            <v/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389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12000</v>
          </cell>
          <cell r="AA300">
            <v>3.15</v>
          </cell>
          <cell r="AB300">
            <v>4.5</v>
          </cell>
          <cell r="AC300">
            <v>0</v>
          </cell>
          <cell r="AD300">
            <v>4.5</v>
          </cell>
          <cell r="AE300">
            <v>0</v>
          </cell>
          <cell r="AF300">
            <v>7.0000000000000007E-2</v>
          </cell>
          <cell r="AG300">
            <v>0.7</v>
          </cell>
        </row>
        <row r="301">
          <cell r="B301">
            <v>250200223</v>
          </cell>
          <cell r="C301" t="str">
            <v/>
          </cell>
          <cell r="D301" t="str">
            <v>CUCHILLETE DESECHABLE X UNIDAD REF GIT 1.5MM</v>
          </cell>
          <cell r="E301" t="str">
            <v/>
          </cell>
          <cell r="F301" t="str">
            <v/>
          </cell>
          <cell r="G301" t="str">
            <v>APOSITOS AQUACEL</v>
          </cell>
          <cell r="H301" t="str">
            <v/>
          </cell>
          <cell r="I301" t="str">
            <v>UND</v>
          </cell>
          <cell r="J301">
            <v>1</v>
          </cell>
          <cell r="K301">
            <v>1</v>
          </cell>
          <cell r="L301" t="str">
            <v/>
          </cell>
          <cell r="M301">
            <v>0</v>
          </cell>
          <cell r="N301" t="str">
            <v/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387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60</v>
          </cell>
          <cell r="AA301">
            <v>193.95</v>
          </cell>
          <cell r="AB301">
            <v>298.39</v>
          </cell>
          <cell r="AC301">
            <v>0</v>
          </cell>
          <cell r="AD301">
            <v>298.39</v>
          </cell>
          <cell r="AE301">
            <v>0</v>
          </cell>
          <cell r="AF301">
            <v>4.3099999999999996</v>
          </cell>
          <cell r="AG301">
            <v>0.65</v>
          </cell>
        </row>
        <row r="302">
          <cell r="B302">
            <v>241860103</v>
          </cell>
          <cell r="C302" t="str">
            <v>108C.USE</v>
          </cell>
          <cell r="D302" t="str">
            <v>CULTURETE ADULTO - Marca Copan x Und</v>
          </cell>
          <cell r="E302" t="str">
            <v>COPAN</v>
          </cell>
          <cell r="F302" t="str">
            <v/>
          </cell>
          <cell r="G302" t="str">
            <v>OTROS OTROS</v>
          </cell>
          <cell r="H302" t="str">
            <v/>
          </cell>
          <cell r="I302" t="str">
            <v>CJX50</v>
          </cell>
          <cell r="J302">
            <v>1</v>
          </cell>
          <cell r="K302">
            <v>1</v>
          </cell>
          <cell r="L302" t="str">
            <v>C</v>
          </cell>
          <cell r="M302">
            <v>365</v>
          </cell>
          <cell r="N302" t="str">
            <v/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331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275</v>
          </cell>
          <cell r="AA302">
            <v>22.95</v>
          </cell>
          <cell r="AB302">
            <v>57.38</v>
          </cell>
          <cell r="AC302">
            <v>0</v>
          </cell>
          <cell r="AD302">
            <v>57.38</v>
          </cell>
          <cell r="AE302">
            <v>0</v>
          </cell>
          <cell r="AF302">
            <v>0.51</v>
          </cell>
          <cell r="AG302">
            <v>0.4</v>
          </cell>
        </row>
        <row r="303">
          <cell r="B303">
            <v>272100122</v>
          </cell>
          <cell r="C303" t="str">
            <v/>
          </cell>
          <cell r="D303" t="str">
            <v>Chupete calmante Avent, libre de Bifenol-A, 0 a 3 meses, 2 paq, Verde x Und</v>
          </cell>
          <cell r="E303" t="str">
            <v>PHILIPS AVENT</v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>
            <v>0</v>
          </cell>
          <cell r="K303">
            <v>0</v>
          </cell>
          <cell r="L303" t="str">
            <v/>
          </cell>
          <cell r="M303">
            <v>0</v>
          </cell>
          <cell r="N303" t="str">
            <v/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389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3</v>
          </cell>
          <cell r="AA303">
            <v>187.74</v>
          </cell>
          <cell r="AB303">
            <v>268.2</v>
          </cell>
          <cell r="AC303">
            <v>0</v>
          </cell>
          <cell r="AD303">
            <v>268.2</v>
          </cell>
          <cell r="AE303">
            <v>0</v>
          </cell>
          <cell r="AF303">
            <v>4.1719999999999997</v>
          </cell>
          <cell r="AG303">
            <v>0.7</v>
          </cell>
        </row>
        <row r="304">
          <cell r="B304">
            <v>250200225</v>
          </cell>
          <cell r="C304" t="str">
            <v>RELTACK3X1</v>
          </cell>
          <cell r="D304" t="str">
            <v>DISPOSITIVO DE FIJACION RECARGABLE ARTICULADO COVIDIEN.(REF RELTACKK3X10SW)  X UNIDAD</v>
          </cell>
          <cell r="E304" t="str">
            <v>COVIDIEN</v>
          </cell>
          <cell r="F304" t="str">
            <v/>
          </cell>
          <cell r="G304" t="str">
            <v>APOSITOS RESTORE</v>
          </cell>
          <cell r="H304" t="str">
            <v/>
          </cell>
          <cell r="I304" t="str">
            <v>UND</v>
          </cell>
          <cell r="J304">
            <v>1</v>
          </cell>
          <cell r="K304">
            <v>1</v>
          </cell>
          <cell r="L304" t="str">
            <v/>
          </cell>
          <cell r="M304">
            <v>0</v>
          </cell>
          <cell r="N304" t="str">
            <v/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386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1</v>
          </cell>
          <cell r="AA304">
            <v>26624.115000000002</v>
          </cell>
          <cell r="AB304">
            <v>38034.449999999997</v>
          </cell>
          <cell r="AC304">
            <v>0</v>
          </cell>
          <cell r="AD304">
            <v>38034.449999999997</v>
          </cell>
          <cell r="AE304">
            <v>0</v>
          </cell>
          <cell r="AF304">
            <v>591.64700000000005</v>
          </cell>
          <cell r="AG304">
            <v>0.7</v>
          </cell>
        </row>
        <row r="305">
          <cell r="B305">
            <v>250500325</v>
          </cell>
          <cell r="C305" t="str">
            <v/>
          </cell>
          <cell r="D305" t="str">
            <v>DREN ACANALADO REDONDO DE 19 FR SIN TROCAR Marca MMQ x Und</v>
          </cell>
          <cell r="E305" t="str">
            <v>MMQ</v>
          </cell>
          <cell r="F305" t="str">
            <v/>
          </cell>
          <cell r="G305" t="str">
            <v>DRENAJES ACANALADO REDONDO S/T</v>
          </cell>
          <cell r="H305" t="str">
            <v/>
          </cell>
          <cell r="I305" t="str">
            <v>UND</v>
          </cell>
          <cell r="J305">
            <v>1</v>
          </cell>
          <cell r="K305">
            <v>1</v>
          </cell>
          <cell r="L305" t="str">
            <v>C</v>
          </cell>
          <cell r="M305">
            <v>368</v>
          </cell>
          <cell r="N305" t="str">
            <v/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87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4000</v>
          </cell>
          <cell r="AA305">
            <v>181.18350000000001</v>
          </cell>
          <cell r="AB305">
            <v>301.97000000000003</v>
          </cell>
          <cell r="AC305">
            <v>0</v>
          </cell>
          <cell r="AD305">
            <v>301.97000000000003</v>
          </cell>
          <cell r="AE305">
            <v>0</v>
          </cell>
          <cell r="AF305">
            <v>4.0263</v>
          </cell>
          <cell r="AG305">
            <v>0.6</v>
          </cell>
        </row>
        <row r="306">
          <cell r="B306" t="str">
            <v>HOS717300</v>
          </cell>
          <cell r="C306" t="str">
            <v>717300</v>
          </cell>
          <cell r="D306" t="str">
            <v>DRENAPAD 6 cm x 7 cm. (Apósito p/Drenajes de Aluminio) x Und. (PQ x 10) 717300</v>
          </cell>
          <cell r="E306" t="str">
            <v>EUROFARM</v>
          </cell>
          <cell r="F306" t="str">
            <v>Aposito para heridas de Drenajes Aluminio</v>
          </cell>
          <cell r="G306" t="str">
            <v>CUIDADO DE HERIDAS</v>
          </cell>
          <cell r="H306" t="str">
            <v>26</v>
          </cell>
          <cell r="I306" t="str">
            <v>PQX10</v>
          </cell>
          <cell r="J306">
            <v>10</v>
          </cell>
          <cell r="K306">
            <v>0</v>
          </cell>
          <cell r="L306" t="str">
            <v>C</v>
          </cell>
          <cell r="M306">
            <v>398</v>
          </cell>
          <cell r="N306" t="str">
            <v/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389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3000</v>
          </cell>
          <cell r="AA306">
            <v>7.4249999999999998</v>
          </cell>
          <cell r="AB306">
            <v>9.2799999999999994</v>
          </cell>
          <cell r="AC306">
            <v>0</v>
          </cell>
          <cell r="AD306">
            <v>9.2799999999999994</v>
          </cell>
          <cell r="AE306">
            <v>0</v>
          </cell>
          <cell r="AF306">
            <v>0.16500000000000001</v>
          </cell>
          <cell r="AG306">
            <v>0.8</v>
          </cell>
        </row>
        <row r="307">
          <cell r="B307">
            <v>252250208</v>
          </cell>
          <cell r="C307" t="str">
            <v>252250208</v>
          </cell>
          <cell r="D307" t="str">
            <v>DURAGEN 25% SUTURABLE 7.5CM*7.5CM PROTESIS P/SUSTITUIR DURA MADRE</v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>
            <v>1</v>
          </cell>
          <cell r="K307">
            <v>1</v>
          </cell>
          <cell r="L307" t="str">
            <v>C</v>
          </cell>
          <cell r="M307">
            <v>329</v>
          </cell>
          <cell r="N307" t="str">
            <v/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389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31185</v>
          </cell>
          <cell r="AB307">
            <v>44550</v>
          </cell>
          <cell r="AC307">
            <v>0</v>
          </cell>
          <cell r="AD307">
            <v>44550</v>
          </cell>
          <cell r="AE307">
            <v>0</v>
          </cell>
          <cell r="AF307">
            <v>693</v>
          </cell>
          <cell r="AG307">
            <v>0.7</v>
          </cell>
        </row>
        <row r="308">
          <cell r="B308">
            <v>252250508</v>
          </cell>
          <cell r="C308" t="str">
            <v/>
          </cell>
          <cell r="D308" t="str">
            <v>DURAGEN PLUS DURAL 12,5 X 17,5 DP105 X UNIDAD</v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>UND</v>
          </cell>
          <cell r="J308">
            <v>1</v>
          </cell>
          <cell r="K308">
            <v>1</v>
          </cell>
          <cell r="L308" t="str">
            <v>C</v>
          </cell>
          <cell r="M308">
            <v>422</v>
          </cell>
          <cell r="N308" t="str">
            <v/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389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48825</v>
          </cell>
          <cell r="AB308">
            <v>69750</v>
          </cell>
          <cell r="AC308">
            <v>0</v>
          </cell>
          <cell r="AD308">
            <v>69750</v>
          </cell>
          <cell r="AE308">
            <v>0</v>
          </cell>
          <cell r="AF308">
            <v>1085</v>
          </cell>
          <cell r="AG308">
            <v>0.7</v>
          </cell>
        </row>
        <row r="309">
          <cell r="B309">
            <v>272100125</v>
          </cell>
          <cell r="C309" t="str">
            <v/>
          </cell>
          <cell r="D309" t="str">
            <v>Dr. Brown Natural Flow Nivel 3 pezón estándar (8 unidades)</v>
          </cell>
          <cell r="E309" t="str">
            <v>DR BROWNS</v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>
            <v>0</v>
          </cell>
          <cell r="K309">
            <v>0</v>
          </cell>
          <cell r="L309" t="str">
            <v/>
          </cell>
          <cell r="M309">
            <v>0</v>
          </cell>
          <cell r="N309" t="str">
            <v/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389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9</v>
          </cell>
          <cell r="AA309">
            <v>1218.105</v>
          </cell>
          <cell r="AB309">
            <v>1740.15</v>
          </cell>
          <cell r="AC309">
            <v>0</v>
          </cell>
          <cell r="AD309">
            <v>1740.15</v>
          </cell>
          <cell r="AE309">
            <v>0</v>
          </cell>
          <cell r="AF309">
            <v>27.068999999999999</v>
          </cell>
          <cell r="AG309">
            <v>0.7</v>
          </cell>
        </row>
        <row r="310">
          <cell r="B310">
            <v>272100101</v>
          </cell>
          <cell r="C310" t="str">
            <v/>
          </cell>
          <cell r="D310" t="str">
            <v>Dr. Brown's Advantage - Chupete reversible p/ bebé, protector abierto x Und</v>
          </cell>
          <cell r="E310" t="str">
            <v>DR BROWNS</v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>
            <v>0</v>
          </cell>
          <cell r="K310">
            <v>0</v>
          </cell>
          <cell r="L310" t="str">
            <v/>
          </cell>
          <cell r="M310">
            <v>0</v>
          </cell>
          <cell r="N310" t="str">
            <v/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389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6</v>
          </cell>
          <cell r="AA310">
            <v>294.83999999999997</v>
          </cell>
          <cell r="AB310">
            <v>368.55</v>
          </cell>
          <cell r="AC310">
            <v>0</v>
          </cell>
          <cell r="AD310">
            <v>368.55</v>
          </cell>
          <cell r="AE310">
            <v>0</v>
          </cell>
          <cell r="AF310">
            <v>6.5519999999999996</v>
          </cell>
          <cell r="AG310">
            <v>0.8</v>
          </cell>
        </row>
        <row r="311">
          <cell r="B311">
            <v>272100103</v>
          </cell>
          <cell r="C311" t="str">
            <v/>
          </cell>
          <cell r="D311" t="str">
            <v>Dr. Brown's Esterilizador eléctrico de lujo para biberones y chupetes x Und</v>
          </cell>
          <cell r="E311" t="str">
            <v>DR BROWNS</v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>
            <v>0</v>
          </cell>
          <cell r="K311">
            <v>0</v>
          </cell>
          <cell r="L311" t="str">
            <v/>
          </cell>
          <cell r="M311">
            <v>0</v>
          </cell>
          <cell r="N311" t="str">
            <v/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389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6</v>
          </cell>
          <cell r="AA311">
            <v>2885.76</v>
          </cell>
          <cell r="AB311">
            <v>3607.2</v>
          </cell>
          <cell r="AC311">
            <v>0</v>
          </cell>
          <cell r="AD311">
            <v>3607.2</v>
          </cell>
          <cell r="AE311">
            <v>0</v>
          </cell>
          <cell r="AF311">
            <v>64.128</v>
          </cell>
          <cell r="AG311">
            <v>0.8</v>
          </cell>
        </row>
        <row r="312">
          <cell r="B312">
            <v>272100121</v>
          </cell>
          <cell r="C312" t="str">
            <v/>
          </cell>
          <cell r="D312" t="str">
            <v>Dr. Brown's Opciones + Biberón de cuello ancho, 9 onzas</v>
          </cell>
          <cell r="E312" t="str">
            <v>DR BROWNS</v>
          </cell>
          <cell r="F312" t="str">
            <v/>
          </cell>
          <cell r="G312" t="str">
            <v/>
          </cell>
          <cell r="H312" t="str">
            <v/>
          </cell>
          <cell r="I312" t="str">
            <v>PQX100</v>
          </cell>
          <cell r="J312">
            <v>0</v>
          </cell>
          <cell r="K312">
            <v>0</v>
          </cell>
          <cell r="L312" t="str">
            <v/>
          </cell>
          <cell r="M312">
            <v>0</v>
          </cell>
          <cell r="N312" t="str">
            <v/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389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2</v>
          </cell>
          <cell r="AA312">
            <v>345.24</v>
          </cell>
          <cell r="AB312">
            <v>493.2</v>
          </cell>
          <cell r="AC312">
            <v>0</v>
          </cell>
          <cell r="AD312">
            <v>493.2</v>
          </cell>
          <cell r="AE312">
            <v>0</v>
          </cell>
          <cell r="AF312">
            <v>7.6719999999999997</v>
          </cell>
          <cell r="AG312">
            <v>0.7</v>
          </cell>
        </row>
        <row r="313">
          <cell r="B313">
            <v>272100104</v>
          </cell>
          <cell r="C313" t="str">
            <v/>
          </cell>
          <cell r="D313" t="str">
            <v>Dr. Brown's Options + Biberón de cuello ancho, 5 onzas x Und</v>
          </cell>
          <cell r="E313" t="str">
            <v>DR BROWNS</v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>
            <v>0</v>
          </cell>
          <cell r="K313">
            <v>0</v>
          </cell>
          <cell r="L313" t="str">
            <v/>
          </cell>
          <cell r="M313">
            <v>0</v>
          </cell>
          <cell r="N313" t="str">
            <v/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389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3</v>
          </cell>
          <cell r="AA313">
            <v>407.88</v>
          </cell>
          <cell r="AB313">
            <v>509.85</v>
          </cell>
          <cell r="AC313">
            <v>0</v>
          </cell>
          <cell r="AD313">
            <v>509.85</v>
          </cell>
          <cell r="AE313">
            <v>0</v>
          </cell>
          <cell r="AF313">
            <v>9.0640000000000001</v>
          </cell>
          <cell r="AG313">
            <v>0.8</v>
          </cell>
        </row>
        <row r="314">
          <cell r="B314">
            <v>272100102</v>
          </cell>
          <cell r="C314" t="str">
            <v/>
          </cell>
          <cell r="D314" t="str">
            <v>Dr. Brown's biberón de transición con boquilla de entrenamiento + diseño x Und</v>
          </cell>
          <cell r="E314" t="str">
            <v>DR BROWNS</v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>
            <v>0</v>
          </cell>
          <cell r="K314">
            <v>0</v>
          </cell>
          <cell r="L314" t="str">
            <v/>
          </cell>
          <cell r="M314">
            <v>0</v>
          </cell>
          <cell r="N314" t="str">
            <v/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389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3</v>
          </cell>
          <cell r="AA314">
            <v>321.83999999999997</v>
          </cell>
          <cell r="AB314">
            <v>402.3</v>
          </cell>
          <cell r="AC314">
            <v>0</v>
          </cell>
          <cell r="AD314">
            <v>402.3</v>
          </cell>
          <cell r="AE314">
            <v>0</v>
          </cell>
          <cell r="AF314">
            <v>7.1520000000000001</v>
          </cell>
          <cell r="AG314">
            <v>0.8</v>
          </cell>
        </row>
        <row r="315">
          <cell r="B315">
            <v>272100105</v>
          </cell>
          <cell r="C315" t="str">
            <v/>
          </cell>
          <cell r="D315" t="str">
            <v>Dr. Talbot's Gel Calmante de inspiración natural para encías doloridas x Und</v>
          </cell>
          <cell r="E315" t="str">
            <v>DR TALBOTS</v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>
            <v>0</v>
          </cell>
          <cell r="K315">
            <v>0</v>
          </cell>
          <cell r="L315" t="str">
            <v/>
          </cell>
          <cell r="M315">
            <v>0</v>
          </cell>
          <cell r="N315" t="str">
            <v/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389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</v>
          </cell>
          <cell r="AA315">
            <v>267.12</v>
          </cell>
          <cell r="AB315">
            <v>333.9</v>
          </cell>
          <cell r="AC315">
            <v>0</v>
          </cell>
          <cell r="AD315">
            <v>333.9</v>
          </cell>
          <cell r="AE315">
            <v>0</v>
          </cell>
          <cell r="AF315">
            <v>5.9359999999999999</v>
          </cell>
          <cell r="AG315">
            <v>0.8</v>
          </cell>
        </row>
        <row r="316">
          <cell r="B316">
            <v>252800103</v>
          </cell>
          <cell r="C316" t="str">
            <v>PLEE45A</v>
          </cell>
          <cell r="D316" t="str">
            <v>ECHELON FLEX POWERED PLUS STAPPLER MARCA ETHICON (PLEE45A) X UNIDAD</v>
          </cell>
          <cell r="E316" t="str">
            <v>ETHICON</v>
          </cell>
          <cell r="F316" t="str">
            <v/>
          </cell>
          <cell r="G316" t="str">
            <v/>
          </cell>
          <cell r="H316" t="str">
            <v/>
          </cell>
          <cell r="I316" t="str">
            <v>UND</v>
          </cell>
          <cell r="J316">
            <v>1</v>
          </cell>
          <cell r="K316">
            <v>1</v>
          </cell>
          <cell r="L316" t="str">
            <v>C</v>
          </cell>
          <cell r="M316">
            <v>420</v>
          </cell>
          <cell r="N316" t="str">
            <v/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389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17055</v>
          </cell>
          <cell r="AB316">
            <v>24364.29</v>
          </cell>
          <cell r="AC316">
            <v>0</v>
          </cell>
          <cell r="AD316">
            <v>24364.29</v>
          </cell>
          <cell r="AE316">
            <v>0</v>
          </cell>
          <cell r="AF316">
            <v>379</v>
          </cell>
          <cell r="AG316">
            <v>0.7</v>
          </cell>
        </row>
        <row r="317">
          <cell r="B317">
            <v>252600350</v>
          </cell>
          <cell r="C317" t="str">
            <v>252600350</v>
          </cell>
          <cell r="D317" t="str">
            <v>EMPAQUE CARDIOVASCULAR</v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>UND</v>
          </cell>
          <cell r="J317">
            <v>1</v>
          </cell>
          <cell r="K317">
            <v>1</v>
          </cell>
          <cell r="L317" t="str">
            <v/>
          </cell>
          <cell r="M317">
            <v>0</v>
          </cell>
          <cell r="N317" t="str">
            <v/>
          </cell>
          <cell r="O317">
            <v>0</v>
          </cell>
          <cell r="P317">
            <v>2</v>
          </cell>
          <cell r="Q317">
            <v>0</v>
          </cell>
          <cell r="R317">
            <v>0</v>
          </cell>
          <cell r="S317">
            <v>0</v>
          </cell>
          <cell r="T317">
            <v>389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1701</v>
          </cell>
          <cell r="AB317">
            <v>2430</v>
          </cell>
          <cell r="AC317">
            <v>0</v>
          </cell>
          <cell r="AD317">
            <v>2430</v>
          </cell>
          <cell r="AE317">
            <v>0</v>
          </cell>
          <cell r="AF317">
            <v>37.799999999999997</v>
          </cell>
          <cell r="AG317">
            <v>0.7</v>
          </cell>
        </row>
        <row r="318">
          <cell r="B318">
            <v>250200440</v>
          </cell>
          <cell r="C318" t="str">
            <v/>
          </cell>
          <cell r="D318" t="str">
            <v>EQUIPO CALENTADOR PARA MANTA TERMICA</v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>UND</v>
          </cell>
          <cell r="J318">
            <v>1</v>
          </cell>
          <cell r="K318">
            <v>1</v>
          </cell>
          <cell r="L318" t="str">
            <v/>
          </cell>
          <cell r="M318">
            <v>0</v>
          </cell>
          <cell r="N318" t="str">
            <v/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389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74643.75</v>
          </cell>
          <cell r="AB318">
            <v>74643.75</v>
          </cell>
          <cell r="AC318">
            <v>0</v>
          </cell>
          <cell r="AD318">
            <v>74643.75</v>
          </cell>
          <cell r="AE318">
            <v>0</v>
          </cell>
          <cell r="AF318">
            <v>1658.75</v>
          </cell>
          <cell r="AG318">
            <v>1</v>
          </cell>
        </row>
        <row r="319">
          <cell r="B319">
            <v>250200340</v>
          </cell>
          <cell r="C319" t="str">
            <v/>
          </cell>
          <cell r="D319" t="str">
            <v>EQUIPO TORNIQUETE NEUMATICO  ZIMMER ATS 3000</v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>UND</v>
          </cell>
          <cell r="J319">
            <v>1</v>
          </cell>
          <cell r="K319">
            <v>1</v>
          </cell>
          <cell r="L319" t="str">
            <v/>
          </cell>
          <cell r="M319">
            <v>0</v>
          </cell>
          <cell r="N319" t="str">
            <v/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389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16821</v>
          </cell>
          <cell r="AB319">
            <v>24030</v>
          </cell>
          <cell r="AC319">
            <v>0</v>
          </cell>
          <cell r="AD319">
            <v>24030</v>
          </cell>
          <cell r="AE319">
            <v>0</v>
          </cell>
          <cell r="AF319">
            <v>373.8</v>
          </cell>
          <cell r="AG319">
            <v>0.7</v>
          </cell>
        </row>
        <row r="320">
          <cell r="B320" t="str">
            <v>HOS520325</v>
          </cell>
          <cell r="C320" t="str">
            <v>520325</v>
          </cell>
          <cell r="D320" t="str">
            <v>EUROATHLETIC KLS Azul 5 cm x 5 mt. (Leukotape) x Und. Ref 520325</v>
          </cell>
          <cell r="E320" t="str">
            <v>EUROFARM</v>
          </cell>
          <cell r="F320" t="str">
            <v>Venda Adhesiva Kinesioterapia</v>
          </cell>
          <cell r="G320" t="str">
            <v>CUIDADO DE HERIDAS</v>
          </cell>
          <cell r="H320" t="str">
            <v>41</v>
          </cell>
          <cell r="I320" t="str">
            <v>UND</v>
          </cell>
          <cell r="J320">
            <v>1</v>
          </cell>
          <cell r="K320">
            <v>0</v>
          </cell>
          <cell r="L320" t="str">
            <v>C</v>
          </cell>
          <cell r="M320">
            <v>99</v>
          </cell>
          <cell r="N320" t="str">
            <v/>
          </cell>
          <cell r="O320">
            <v>0</v>
          </cell>
          <cell r="P320">
            <v>0</v>
          </cell>
          <cell r="Q320">
            <v>9</v>
          </cell>
          <cell r="R320">
            <v>9</v>
          </cell>
          <cell r="S320">
            <v>0</v>
          </cell>
          <cell r="T320">
            <v>333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9</v>
          </cell>
          <cell r="Z320">
            <v>52</v>
          </cell>
          <cell r="AA320">
            <v>176.346</v>
          </cell>
          <cell r="AB320">
            <v>320.63</v>
          </cell>
          <cell r="AC320">
            <v>0</v>
          </cell>
          <cell r="AD320">
            <v>320.63</v>
          </cell>
          <cell r="AE320">
            <v>0</v>
          </cell>
          <cell r="AF320">
            <v>3.9188000000000001</v>
          </cell>
          <cell r="AG320">
            <v>0.55000000000000004</v>
          </cell>
        </row>
        <row r="321">
          <cell r="B321" t="str">
            <v>HOS520335</v>
          </cell>
          <cell r="C321" t="str">
            <v>520335</v>
          </cell>
          <cell r="D321" t="str">
            <v>EUROATHLETIC KLS Negro 5 cm x 5 mt. (Leukotape) x Und. Ref 520335</v>
          </cell>
          <cell r="E321" t="str">
            <v>EUROFARM</v>
          </cell>
          <cell r="F321" t="str">
            <v>Venda Adhesiva Kinesioterapia</v>
          </cell>
          <cell r="G321" t="str">
            <v>CUIDADO DE HERIDAS</v>
          </cell>
          <cell r="H321" t="str">
            <v>41</v>
          </cell>
          <cell r="I321" t="str">
            <v>UND</v>
          </cell>
          <cell r="J321">
            <v>1</v>
          </cell>
          <cell r="K321">
            <v>0</v>
          </cell>
          <cell r="L321" t="str">
            <v>C</v>
          </cell>
          <cell r="M321">
            <v>92</v>
          </cell>
          <cell r="N321" t="str">
            <v/>
          </cell>
          <cell r="O321">
            <v>0</v>
          </cell>
          <cell r="P321">
            <v>0</v>
          </cell>
          <cell r="Q321">
            <v>16</v>
          </cell>
          <cell r="R321">
            <v>16</v>
          </cell>
          <cell r="S321">
            <v>0</v>
          </cell>
          <cell r="T321">
            <v>354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16</v>
          </cell>
          <cell r="Z321">
            <v>52</v>
          </cell>
          <cell r="AA321">
            <v>176.346</v>
          </cell>
          <cell r="AB321">
            <v>320.63</v>
          </cell>
          <cell r="AC321">
            <v>0</v>
          </cell>
          <cell r="AD321">
            <v>320.63</v>
          </cell>
          <cell r="AE321">
            <v>0</v>
          </cell>
          <cell r="AF321">
            <v>3.9188000000000001</v>
          </cell>
          <cell r="AG321">
            <v>0.55000000000000004</v>
          </cell>
        </row>
        <row r="322">
          <cell r="B322" t="str">
            <v>HOS520305</v>
          </cell>
          <cell r="C322" t="str">
            <v>520305</v>
          </cell>
          <cell r="D322" t="str">
            <v>EUROATHLETIC KLS Piel 5 cm x 5 mt. (Leukotape) x Und.  Ref 520305</v>
          </cell>
          <cell r="E322" t="str">
            <v>EUROFARM</v>
          </cell>
          <cell r="F322" t="str">
            <v>Venda Adhesiva Kinesioterapia</v>
          </cell>
          <cell r="G322" t="str">
            <v>CUIDADO DE HERIDAS</v>
          </cell>
          <cell r="H322" t="str">
            <v>41</v>
          </cell>
          <cell r="I322" t="str">
            <v>UND</v>
          </cell>
          <cell r="J322">
            <v>1</v>
          </cell>
          <cell r="K322">
            <v>0</v>
          </cell>
          <cell r="L322" t="str">
            <v>C</v>
          </cell>
          <cell r="M322">
            <v>187</v>
          </cell>
          <cell r="N322" t="str">
            <v/>
          </cell>
          <cell r="O322">
            <v>0</v>
          </cell>
          <cell r="P322">
            <v>0</v>
          </cell>
          <cell r="Q322">
            <v>5</v>
          </cell>
          <cell r="R322">
            <v>5</v>
          </cell>
          <cell r="S322">
            <v>0</v>
          </cell>
          <cell r="T322">
            <v>345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5</v>
          </cell>
          <cell r="Z322">
            <v>50</v>
          </cell>
          <cell r="AA322">
            <v>176.346</v>
          </cell>
          <cell r="AB322">
            <v>320.63</v>
          </cell>
          <cell r="AC322">
            <v>0</v>
          </cell>
          <cell r="AD322">
            <v>320.63</v>
          </cell>
          <cell r="AE322">
            <v>0</v>
          </cell>
          <cell r="AF322">
            <v>3.9188000000000001</v>
          </cell>
          <cell r="AG322">
            <v>0.55000000000000004</v>
          </cell>
        </row>
        <row r="323">
          <cell r="B323" t="str">
            <v>HOS520355</v>
          </cell>
          <cell r="C323" t="str">
            <v>520355</v>
          </cell>
          <cell r="D323" t="str">
            <v>EUROATHLETIC KLS Rosado 5 cm x 5 mt. (Leukotape) x Und. Ref 520355</v>
          </cell>
          <cell r="E323" t="str">
            <v>EUROFARM</v>
          </cell>
          <cell r="F323" t="str">
            <v>Venda Adhesiva Kinesioterapia</v>
          </cell>
          <cell r="G323" t="str">
            <v>CUIDADO DE HERIDAS</v>
          </cell>
          <cell r="H323" t="str">
            <v>41</v>
          </cell>
          <cell r="I323" t="str">
            <v>UND</v>
          </cell>
          <cell r="J323">
            <v>1</v>
          </cell>
          <cell r="K323">
            <v>0</v>
          </cell>
          <cell r="L323" t="str">
            <v>C</v>
          </cell>
          <cell r="M323">
            <v>121</v>
          </cell>
          <cell r="N323" t="str">
            <v/>
          </cell>
          <cell r="O323">
            <v>0</v>
          </cell>
          <cell r="P323">
            <v>0</v>
          </cell>
          <cell r="Q323">
            <v>13</v>
          </cell>
          <cell r="R323">
            <v>13</v>
          </cell>
          <cell r="S323">
            <v>0</v>
          </cell>
          <cell r="T323">
            <v>340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13</v>
          </cell>
          <cell r="Z323">
            <v>52</v>
          </cell>
          <cell r="AA323">
            <v>176.346</v>
          </cell>
          <cell r="AB323">
            <v>320.63</v>
          </cell>
          <cell r="AC323">
            <v>0</v>
          </cell>
          <cell r="AD323">
            <v>320.63</v>
          </cell>
          <cell r="AE323">
            <v>0</v>
          </cell>
          <cell r="AF323">
            <v>3.9188000000000001</v>
          </cell>
          <cell r="AG323">
            <v>0.55000000000000004</v>
          </cell>
        </row>
        <row r="324">
          <cell r="B324" t="str">
            <v>HOS511104</v>
          </cell>
          <cell r="C324" t="str">
            <v>511104</v>
          </cell>
          <cell r="D324" t="str">
            <v>EUROCAST F 10 cm x 3,6 mt. (Delta Lite-Scoth Cast) x Und. (Caja x 10) Ref 511104</v>
          </cell>
          <cell r="E324" t="str">
            <v>EUROFARM</v>
          </cell>
          <cell r="F324" t="str">
            <v>Delta Lite-BSN - Scoth Cast-3M. Venda de Yeso Sintético</v>
          </cell>
          <cell r="G324" t="str">
            <v>CUIDADO DE HERIDAS</v>
          </cell>
          <cell r="H324" t="str">
            <v>59</v>
          </cell>
          <cell r="I324" t="str">
            <v>CJX10</v>
          </cell>
          <cell r="J324">
            <v>10</v>
          </cell>
          <cell r="K324">
            <v>0</v>
          </cell>
          <cell r="L324" t="str">
            <v>C</v>
          </cell>
          <cell r="M324">
            <v>360</v>
          </cell>
          <cell r="N324" t="str">
            <v/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375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200</v>
          </cell>
          <cell r="AA324">
            <v>157.7835</v>
          </cell>
          <cell r="AB324">
            <v>242.74</v>
          </cell>
          <cell r="AC324">
            <v>0</v>
          </cell>
          <cell r="AD324">
            <v>242.74</v>
          </cell>
          <cell r="AE324">
            <v>0</v>
          </cell>
          <cell r="AF324">
            <v>3.5063</v>
          </cell>
          <cell r="AG324">
            <v>0.65</v>
          </cell>
        </row>
        <row r="325">
          <cell r="B325" t="str">
            <v>HOS511103</v>
          </cell>
          <cell r="C325" t="str">
            <v>511103</v>
          </cell>
          <cell r="D325" t="str">
            <v>EUROCAST F 7,5 cm x 3,6 mt. (Delta Lite-Scoth Cast) x Und. (Caja x 10) Ref 511103</v>
          </cell>
          <cell r="E325" t="str">
            <v>EUROFARM</v>
          </cell>
          <cell r="F325" t="str">
            <v>Delta Lite-BSN - Scoth Cast-3M. Venda de Yeso Sintético</v>
          </cell>
          <cell r="G325" t="str">
            <v>CUIDADO DE HERIDAS</v>
          </cell>
          <cell r="H325" t="str">
            <v>59</v>
          </cell>
          <cell r="I325" t="str">
            <v>CJX10</v>
          </cell>
          <cell r="J325">
            <v>10</v>
          </cell>
          <cell r="K325">
            <v>0</v>
          </cell>
          <cell r="L325" t="str">
            <v>C</v>
          </cell>
          <cell r="M325">
            <v>363</v>
          </cell>
          <cell r="N325" t="str">
            <v/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375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200</v>
          </cell>
          <cell r="AA325">
            <v>129.9375</v>
          </cell>
          <cell r="AB325">
            <v>199.9</v>
          </cell>
          <cell r="AC325">
            <v>0</v>
          </cell>
          <cell r="AD325">
            <v>199.9</v>
          </cell>
          <cell r="AE325">
            <v>0</v>
          </cell>
          <cell r="AF325">
            <v>2.8875000000000002</v>
          </cell>
          <cell r="AG325">
            <v>0.65</v>
          </cell>
        </row>
        <row r="326">
          <cell r="B326" t="str">
            <v>HOS717510</v>
          </cell>
          <cell r="C326" t="str">
            <v>717510</v>
          </cell>
          <cell r="D326" t="str">
            <v>EURODERM 10 cm x 10 cm. (Tegaderm film-Leukomed T) x Und. (Caja x 100) Ref 717510</v>
          </cell>
          <cell r="E326" t="str">
            <v>EUROFARM</v>
          </cell>
          <cell r="F326" t="str">
            <v>Tegaderm-3M - Leukomed T-BSN</v>
          </cell>
          <cell r="G326" t="str">
            <v>CUIDADO DE HERIDAS</v>
          </cell>
          <cell r="H326" t="str">
            <v>50</v>
          </cell>
          <cell r="I326" t="str">
            <v>CJX100</v>
          </cell>
          <cell r="J326">
            <v>1</v>
          </cell>
          <cell r="K326">
            <v>0</v>
          </cell>
          <cell r="L326" t="str">
            <v>C</v>
          </cell>
          <cell r="M326">
            <v>402</v>
          </cell>
          <cell r="N326" t="str">
            <v/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389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4500</v>
          </cell>
          <cell r="AA326">
            <v>13.612500000000001</v>
          </cell>
          <cell r="AB326">
            <v>18.149999999999999</v>
          </cell>
          <cell r="AC326">
            <v>0</v>
          </cell>
          <cell r="AD326">
            <v>18.149999999999999</v>
          </cell>
          <cell r="AE326">
            <v>0</v>
          </cell>
          <cell r="AF326">
            <v>0.30249999999999999</v>
          </cell>
          <cell r="AG326">
            <v>0.7501000000000001</v>
          </cell>
        </row>
        <row r="327">
          <cell r="B327" t="str">
            <v>HOS893010</v>
          </cell>
          <cell r="C327" t="str">
            <v>893010</v>
          </cell>
          <cell r="D327" t="str">
            <v>EURODERM FOAM 10 cm x 10 cm. (Cutimed Siltec) x 10 Unds. Ref 893010</v>
          </cell>
          <cell r="E327" t="str">
            <v>EUROFARM</v>
          </cell>
          <cell r="F327" t="str">
            <v>Cutimed Siltec-BSN</v>
          </cell>
          <cell r="G327" t="str">
            <v>CUIDADO DE HERIDAS</v>
          </cell>
          <cell r="H327" t="str">
            <v>28</v>
          </cell>
          <cell r="I327" t="str">
            <v>CJX10</v>
          </cell>
          <cell r="J327">
            <v>1</v>
          </cell>
          <cell r="K327">
            <v>0</v>
          </cell>
          <cell r="L327" t="str">
            <v/>
          </cell>
          <cell r="M327">
            <v>0</v>
          </cell>
          <cell r="N327" t="str">
            <v/>
          </cell>
          <cell r="O327">
            <v>0</v>
          </cell>
          <cell r="P327">
            <v>0</v>
          </cell>
          <cell r="Q327">
            <v>1</v>
          </cell>
          <cell r="R327">
            <v>1</v>
          </cell>
          <cell r="S327">
            <v>0</v>
          </cell>
          <cell r="T327">
            <v>385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1</v>
          </cell>
          <cell r="AA327">
            <v>730.125</v>
          </cell>
          <cell r="AB327">
            <v>1043.04</v>
          </cell>
          <cell r="AC327">
            <v>0</v>
          </cell>
          <cell r="AD327">
            <v>1043.04</v>
          </cell>
          <cell r="AE327">
            <v>0</v>
          </cell>
          <cell r="AF327">
            <v>16.225000000000001</v>
          </cell>
          <cell r="AG327">
            <v>0.7</v>
          </cell>
        </row>
        <row r="328">
          <cell r="B328" t="str">
            <v>HOS893140</v>
          </cell>
          <cell r="C328" t="str">
            <v>893140</v>
          </cell>
          <cell r="D328" t="str">
            <v>EURODERM FOAM CONCAVE 18 cm x 16,5 cm. (Cutimed Siltec Concave) x 3 Und. Ref 893140</v>
          </cell>
          <cell r="E328" t="str">
            <v>EUROFARM</v>
          </cell>
          <cell r="F328" t="str">
            <v>Cutimed Siltec Concave-BSN</v>
          </cell>
          <cell r="G328" t="str">
            <v>CUIDADO DE HERIDAS</v>
          </cell>
          <cell r="H328" t="str">
            <v>29</v>
          </cell>
          <cell r="I328" t="str">
            <v>CJX3</v>
          </cell>
          <cell r="J328">
            <v>1</v>
          </cell>
          <cell r="K328">
            <v>0</v>
          </cell>
          <cell r="L328" t="str">
            <v/>
          </cell>
          <cell r="M328">
            <v>0</v>
          </cell>
          <cell r="N328" t="str">
            <v/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389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742.5</v>
          </cell>
          <cell r="AB328">
            <v>1060.71</v>
          </cell>
          <cell r="AC328">
            <v>0</v>
          </cell>
          <cell r="AD328">
            <v>1060.71</v>
          </cell>
          <cell r="AE328">
            <v>0</v>
          </cell>
          <cell r="AF328">
            <v>16.5</v>
          </cell>
          <cell r="AG328">
            <v>0.7</v>
          </cell>
        </row>
        <row r="329">
          <cell r="B329" t="str">
            <v>HOS893110</v>
          </cell>
          <cell r="C329" t="str">
            <v>893110</v>
          </cell>
          <cell r="D329" t="str">
            <v>EURODERM FOAM PLUS 10 cm x 10 cm. (Cutimed Siltec B Adhesivo) x 10 Unds. Ref 893110</v>
          </cell>
          <cell r="E329" t="str">
            <v>EUROFARM</v>
          </cell>
          <cell r="F329" t="str">
            <v>Cutimed Siltec Adhesivo-BSN</v>
          </cell>
          <cell r="G329" t="str">
            <v>CUIDADO DE HERIDAS</v>
          </cell>
          <cell r="H329" t="str">
            <v>31</v>
          </cell>
          <cell r="I329" t="str">
            <v>CJX10</v>
          </cell>
          <cell r="J329">
            <v>1</v>
          </cell>
          <cell r="K329">
            <v>0</v>
          </cell>
          <cell r="L329" t="str">
            <v>C</v>
          </cell>
          <cell r="M329">
            <v>358</v>
          </cell>
          <cell r="N329" t="str">
            <v/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375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556.875</v>
          </cell>
          <cell r="AB329">
            <v>795.54</v>
          </cell>
          <cell r="AC329">
            <v>0</v>
          </cell>
          <cell r="AD329">
            <v>795.54</v>
          </cell>
          <cell r="AE329">
            <v>0</v>
          </cell>
          <cell r="AF329">
            <v>12.375</v>
          </cell>
          <cell r="AG329">
            <v>0.7</v>
          </cell>
        </row>
        <row r="330">
          <cell r="B330" t="str">
            <v>HOS717570</v>
          </cell>
          <cell r="C330" t="str">
            <v>717570</v>
          </cell>
          <cell r="D330" t="str">
            <v>EURODERM IV R 5 cm x 7 cm. (Tegaderm IV-Leukomed IV) x Und. (Caja x 100 ) Ref 717570</v>
          </cell>
          <cell r="E330" t="str">
            <v>EUROFARM</v>
          </cell>
          <cell r="F330" t="str">
            <v>Tegaderm IV-3M - Leukomed IV-BSN</v>
          </cell>
          <cell r="G330" t="str">
            <v>CUIDADO DE HERIDAS</v>
          </cell>
          <cell r="H330" t="str">
            <v>53</v>
          </cell>
          <cell r="I330" t="str">
            <v>CJX100</v>
          </cell>
          <cell r="J330">
            <v>100</v>
          </cell>
          <cell r="K330">
            <v>0</v>
          </cell>
          <cell r="L330" t="str">
            <v/>
          </cell>
          <cell r="M330">
            <v>0</v>
          </cell>
          <cell r="N330" t="str">
            <v/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389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7200</v>
          </cell>
          <cell r="AA330">
            <v>13.68</v>
          </cell>
          <cell r="AB330">
            <v>24.89</v>
          </cell>
          <cell r="AC330">
            <v>0</v>
          </cell>
          <cell r="AD330">
            <v>24.89</v>
          </cell>
          <cell r="AE330">
            <v>0</v>
          </cell>
          <cell r="AF330">
            <v>0.30399999999999999</v>
          </cell>
          <cell r="AG330">
            <v>0.54959999999999998</v>
          </cell>
        </row>
        <row r="331">
          <cell r="B331" t="str">
            <v>HOS717571</v>
          </cell>
          <cell r="C331" t="str">
            <v>717571</v>
          </cell>
          <cell r="D331" t="str">
            <v>EURODERM IV R 8 cm x 9 cm. (Tegaderm IV-Leukomed IV) x Und. (Caja x 100) Ref 717571</v>
          </cell>
          <cell r="E331" t="str">
            <v>EUROFARM</v>
          </cell>
          <cell r="F331" t="str">
            <v>Tegaderm IV-3M - Leukomed IV-BSN</v>
          </cell>
          <cell r="G331" t="str">
            <v>CUIDADO DE HERIDAS</v>
          </cell>
          <cell r="H331" t="str">
            <v>53</v>
          </cell>
          <cell r="I331" t="str">
            <v>CJX100</v>
          </cell>
          <cell r="J331">
            <v>100</v>
          </cell>
          <cell r="K331">
            <v>0</v>
          </cell>
          <cell r="L331" t="str">
            <v/>
          </cell>
          <cell r="M331">
            <v>0</v>
          </cell>
          <cell r="N331" t="str">
            <v/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389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7200</v>
          </cell>
          <cell r="AA331">
            <v>13.05</v>
          </cell>
          <cell r="AB331">
            <v>20.38</v>
          </cell>
          <cell r="AC331">
            <v>0</v>
          </cell>
          <cell r="AD331">
            <v>20.38</v>
          </cell>
          <cell r="AE331">
            <v>0</v>
          </cell>
          <cell r="AF331">
            <v>0.28999999999999998</v>
          </cell>
          <cell r="AG331">
            <v>0.64049999999999996</v>
          </cell>
        </row>
        <row r="332">
          <cell r="B332" t="str">
            <v>FAR897607</v>
          </cell>
          <cell r="C332" t="str">
            <v>897607</v>
          </cell>
          <cell r="D332" t="str">
            <v>EURODERM PLUS 10 cm x 25 cm. (Tegaderm+Pad-Leukomed T Plus) x 3 Und. Ref 897607</v>
          </cell>
          <cell r="E332" t="str">
            <v>EUROFARM</v>
          </cell>
          <cell r="F332" t="str">
            <v>Tegaderm+PAD-3M - Leukomed T-PLUS-BSN</v>
          </cell>
          <cell r="G332" t="str">
            <v>CUIDADO DE HERIDAS</v>
          </cell>
          <cell r="H332" t="str">
            <v>54</v>
          </cell>
          <cell r="I332" t="str">
            <v>CJX3</v>
          </cell>
          <cell r="J332">
            <v>1</v>
          </cell>
          <cell r="K332">
            <v>0</v>
          </cell>
          <cell r="L332" t="str">
            <v>C</v>
          </cell>
          <cell r="M332">
            <v>151</v>
          </cell>
          <cell r="N332" t="str">
            <v/>
          </cell>
          <cell r="O332">
            <v>0</v>
          </cell>
          <cell r="P332">
            <v>0</v>
          </cell>
          <cell r="Q332">
            <v>10</v>
          </cell>
          <cell r="R332">
            <v>10</v>
          </cell>
          <cell r="S332">
            <v>0</v>
          </cell>
          <cell r="T332">
            <v>374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10</v>
          </cell>
          <cell r="Z332">
            <v>27</v>
          </cell>
          <cell r="AA332">
            <v>102.096</v>
          </cell>
          <cell r="AB332">
            <v>204.19</v>
          </cell>
          <cell r="AC332">
            <v>0</v>
          </cell>
          <cell r="AD332">
            <v>204.19</v>
          </cell>
          <cell r="AE332">
            <v>0</v>
          </cell>
          <cell r="AF332">
            <v>2.2688000000000001</v>
          </cell>
          <cell r="AG332">
            <v>0.5</v>
          </cell>
        </row>
        <row r="333">
          <cell r="B333" t="str">
            <v>FAR897605</v>
          </cell>
          <cell r="C333" t="str">
            <v>897605</v>
          </cell>
          <cell r="D333" t="str">
            <v>EURODERM PLUS 15 cm x 8 cm. (Tegaderm+Pad-Leukomed T Plus) x 5 Und. Ref 897605</v>
          </cell>
          <cell r="E333" t="str">
            <v>EUROFARM</v>
          </cell>
          <cell r="F333" t="str">
            <v>Tegaderm+PAD-3M - Leukomed T-PLUS-BSN</v>
          </cell>
          <cell r="G333" t="str">
            <v>CUIDADO DE HERIDAS</v>
          </cell>
          <cell r="H333" t="str">
            <v>54</v>
          </cell>
          <cell r="I333" t="str">
            <v>CJX5</v>
          </cell>
          <cell r="J333">
            <v>1</v>
          </cell>
          <cell r="K333">
            <v>0</v>
          </cell>
          <cell r="L333" t="str">
            <v>C</v>
          </cell>
          <cell r="M333">
            <v>78</v>
          </cell>
          <cell r="N333" t="str">
            <v/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371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62</v>
          </cell>
          <cell r="AA333">
            <v>80.4375</v>
          </cell>
          <cell r="AB333">
            <v>160.88</v>
          </cell>
          <cell r="AC333">
            <v>0</v>
          </cell>
          <cell r="AD333">
            <v>160.88</v>
          </cell>
          <cell r="AE333">
            <v>0</v>
          </cell>
          <cell r="AF333">
            <v>1.7875000000000001</v>
          </cell>
          <cell r="AG333">
            <v>0.5</v>
          </cell>
        </row>
        <row r="334">
          <cell r="B334" t="str">
            <v>HOS717605</v>
          </cell>
          <cell r="C334" t="str">
            <v>717605</v>
          </cell>
          <cell r="D334" t="str">
            <v>EURODERM PLUS 15 cm x 8 cm. (Tegaderm+Pad-Leukomed T Plus) x Und. (Caja x 50) Ref 717605</v>
          </cell>
          <cell r="E334" t="str">
            <v>EUROFARM</v>
          </cell>
          <cell r="F334" t="str">
            <v>Tegaderm+PAD-3M - Leukomed T-PLUS-BSN</v>
          </cell>
          <cell r="G334" t="str">
            <v>CUIDADO DE HERIDAS</v>
          </cell>
          <cell r="H334" t="str">
            <v>54</v>
          </cell>
          <cell r="I334" t="str">
            <v>CJX50</v>
          </cell>
          <cell r="J334">
            <v>50</v>
          </cell>
          <cell r="K334">
            <v>0</v>
          </cell>
          <cell r="L334" t="str">
            <v>C</v>
          </cell>
          <cell r="M334">
            <v>395</v>
          </cell>
          <cell r="N334" t="str">
            <v/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389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4800</v>
          </cell>
          <cell r="AA334">
            <v>14.85</v>
          </cell>
          <cell r="AB334">
            <v>29.7</v>
          </cell>
          <cell r="AC334">
            <v>0</v>
          </cell>
          <cell r="AD334">
            <v>29.7</v>
          </cell>
          <cell r="AE334">
            <v>0</v>
          </cell>
          <cell r="AF334">
            <v>0.33</v>
          </cell>
          <cell r="AG334">
            <v>0.5</v>
          </cell>
        </row>
        <row r="335">
          <cell r="B335" t="str">
            <v>FAR897600</v>
          </cell>
          <cell r="C335" t="str">
            <v>897600</v>
          </cell>
          <cell r="D335" t="str">
            <v>EURODERM PLUS 5 cm x 7 cm. (Tegaderm+Pad-Leukomed T Plus) x 5 Und. Ref 897600</v>
          </cell>
          <cell r="E335" t="str">
            <v>EUROFARM</v>
          </cell>
          <cell r="F335" t="str">
            <v>Tegaderm+PAD-3M - Leukomed T-PLUS-BSN</v>
          </cell>
          <cell r="G335" t="str">
            <v>CUIDADO DE HERIDAS</v>
          </cell>
          <cell r="H335" t="str">
            <v>54</v>
          </cell>
          <cell r="I335" t="str">
            <v>CJX5</v>
          </cell>
          <cell r="J335">
            <v>1</v>
          </cell>
          <cell r="K335">
            <v>0</v>
          </cell>
          <cell r="L335" t="str">
            <v>C</v>
          </cell>
          <cell r="M335">
            <v>341</v>
          </cell>
          <cell r="N335" t="str">
            <v/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371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50</v>
          </cell>
          <cell r="AA335">
            <v>68.0625</v>
          </cell>
          <cell r="AB335">
            <v>136.13</v>
          </cell>
          <cell r="AC335">
            <v>0</v>
          </cell>
          <cell r="AD335">
            <v>136.13</v>
          </cell>
          <cell r="AE335">
            <v>0</v>
          </cell>
          <cell r="AF335">
            <v>1.5125</v>
          </cell>
          <cell r="AG335">
            <v>0.5</v>
          </cell>
        </row>
        <row r="336">
          <cell r="B336" t="str">
            <v>HOS717601</v>
          </cell>
          <cell r="C336" t="str">
            <v>717601</v>
          </cell>
          <cell r="D336" t="str">
            <v>EURODERM PLUS 6 cm x 7 cm. (Tegaderm+Pad-Leukomed T Plus) x Und. (Caja x 100) Ref 717601</v>
          </cell>
          <cell r="E336" t="str">
            <v>EUROFARM</v>
          </cell>
          <cell r="F336" t="str">
            <v>Tegaderm+PAD-3M - Leukomed T-PLUS-BSN</v>
          </cell>
          <cell r="G336" t="str">
            <v>CUIDADO DE HERIDAS</v>
          </cell>
          <cell r="H336" t="str">
            <v/>
          </cell>
          <cell r="I336" t="str">
            <v>CJX100</v>
          </cell>
          <cell r="J336">
            <v>1</v>
          </cell>
          <cell r="K336">
            <v>0</v>
          </cell>
          <cell r="L336" t="str">
            <v>C</v>
          </cell>
          <cell r="M336">
            <v>373</v>
          </cell>
          <cell r="N336" t="str">
            <v/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389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500</v>
          </cell>
          <cell r="AA336">
            <v>6.1875</v>
          </cell>
          <cell r="AB336">
            <v>12.38</v>
          </cell>
          <cell r="AC336">
            <v>0</v>
          </cell>
          <cell r="AD336">
            <v>12.38</v>
          </cell>
          <cell r="AE336">
            <v>0</v>
          </cell>
          <cell r="AF336">
            <v>0.13750000000000001</v>
          </cell>
          <cell r="AG336">
            <v>0.5</v>
          </cell>
        </row>
        <row r="337">
          <cell r="B337" t="str">
            <v>FAR897602</v>
          </cell>
          <cell r="C337" t="str">
            <v>897602</v>
          </cell>
          <cell r="D337" t="str">
            <v>EURODERM PLUS 6 cm x 9 cm. (Tegaderm+Pad-Leukomed T Plus)  x 5 Unds Ref 897602</v>
          </cell>
          <cell r="E337" t="str">
            <v>EUROFARM</v>
          </cell>
          <cell r="F337" t="str">
            <v>Tegaderm+PAD-3M - Leukomed T-PLUS-BSN</v>
          </cell>
          <cell r="G337" t="str">
            <v>CUIDADO DE HERIDAS</v>
          </cell>
          <cell r="H337" t="str">
            <v/>
          </cell>
          <cell r="I337" t="str">
            <v>CJX5</v>
          </cell>
          <cell r="J337">
            <v>0</v>
          </cell>
          <cell r="K337">
            <v>0</v>
          </cell>
          <cell r="L337" t="str">
            <v>C</v>
          </cell>
          <cell r="M337">
            <v>369</v>
          </cell>
          <cell r="N337" t="str">
            <v/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389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71.158500000000004</v>
          </cell>
          <cell r="AB337">
            <v>142.31</v>
          </cell>
          <cell r="AC337">
            <v>0</v>
          </cell>
          <cell r="AD337">
            <v>142.31</v>
          </cell>
          <cell r="AE337">
            <v>0</v>
          </cell>
          <cell r="AF337">
            <v>1.5812999999999999</v>
          </cell>
          <cell r="AG337">
            <v>0.5</v>
          </cell>
        </row>
        <row r="338">
          <cell r="B338" t="str">
            <v>HOS717602</v>
          </cell>
          <cell r="C338" t="str">
            <v>717602</v>
          </cell>
          <cell r="D338" t="str">
            <v>EURODERM PLUS 6 cm x 9 cm. (Tegaderm+Pad-Leukomed T Plus) x Und. (Caja x 50) Ref 717602</v>
          </cell>
          <cell r="E338" t="str">
            <v>EUROFARM</v>
          </cell>
          <cell r="F338" t="str">
            <v>Tegaderm+PAD-3M - Leukomed T-PLUS-BSN</v>
          </cell>
          <cell r="G338" t="str">
            <v>CUIDADO DE HERIDAS</v>
          </cell>
          <cell r="H338" t="str">
            <v>54</v>
          </cell>
          <cell r="I338" t="str">
            <v>CJX50</v>
          </cell>
          <cell r="J338">
            <v>1</v>
          </cell>
          <cell r="K338">
            <v>0</v>
          </cell>
          <cell r="L338" t="str">
            <v>C</v>
          </cell>
          <cell r="M338">
            <v>380</v>
          </cell>
          <cell r="N338" t="str">
            <v/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351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20000</v>
          </cell>
          <cell r="AA338">
            <v>9.2835000000000001</v>
          </cell>
          <cell r="AB338">
            <v>18.57</v>
          </cell>
          <cell r="AC338">
            <v>0</v>
          </cell>
          <cell r="AD338">
            <v>18.57</v>
          </cell>
          <cell r="AE338">
            <v>0</v>
          </cell>
          <cell r="AF338">
            <v>0.20630000000000001</v>
          </cell>
          <cell r="AG338">
            <v>0.5</v>
          </cell>
        </row>
        <row r="339">
          <cell r="B339" t="str">
            <v>HOS715603</v>
          </cell>
          <cell r="C339" t="str">
            <v>715603</v>
          </cell>
          <cell r="D339" t="str">
            <v>EURODERM ROLL 15 cm x 10 mt. (Hypafix Transparente) x Und. Ref 715603</v>
          </cell>
          <cell r="E339" t="str">
            <v>EUROFARM</v>
          </cell>
          <cell r="F339" t="str">
            <v>Hypafix Transparente-BSN</v>
          </cell>
          <cell r="G339" t="str">
            <v>CUIDADO DE HERIDAS</v>
          </cell>
          <cell r="H339" t="str">
            <v>21</v>
          </cell>
          <cell r="I339" t="str">
            <v>UND</v>
          </cell>
          <cell r="J339">
            <v>1</v>
          </cell>
          <cell r="K339">
            <v>0</v>
          </cell>
          <cell r="L339" t="str">
            <v>C</v>
          </cell>
          <cell r="M339">
            <v>366</v>
          </cell>
          <cell r="N339" t="str">
            <v/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372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42</v>
          </cell>
          <cell r="AA339">
            <v>618.75</v>
          </cell>
          <cell r="AB339">
            <v>825</v>
          </cell>
          <cell r="AC339">
            <v>0</v>
          </cell>
          <cell r="AD339">
            <v>825</v>
          </cell>
          <cell r="AE339">
            <v>0</v>
          </cell>
          <cell r="AF339">
            <v>13.75</v>
          </cell>
          <cell r="AG339">
            <v>0.75</v>
          </cell>
        </row>
        <row r="340">
          <cell r="B340" t="str">
            <v>HOS715604</v>
          </cell>
          <cell r="C340" t="str">
            <v>715604</v>
          </cell>
          <cell r="D340" t="str">
            <v>EURODERM ROLL 20 cm x 10 mt. (Hypafix Transparente) x Und. Ref 715604</v>
          </cell>
          <cell r="E340" t="str">
            <v>EUROFARM</v>
          </cell>
          <cell r="F340" t="str">
            <v>Hypafix Transparente-BSN</v>
          </cell>
          <cell r="G340" t="str">
            <v>CUIDADO DE HERIDAS</v>
          </cell>
          <cell r="H340" t="str">
            <v>18</v>
          </cell>
          <cell r="I340" t="str">
            <v>UND</v>
          </cell>
          <cell r="J340">
            <v>1</v>
          </cell>
          <cell r="K340">
            <v>0</v>
          </cell>
          <cell r="L340" t="str">
            <v>C</v>
          </cell>
          <cell r="M340">
            <v>300</v>
          </cell>
          <cell r="N340" t="str">
            <v/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353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60</v>
          </cell>
          <cell r="AA340">
            <v>866.25</v>
          </cell>
          <cell r="AB340">
            <v>1155</v>
          </cell>
          <cell r="AC340">
            <v>0</v>
          </cell>
          <cell r="AD340">
            <v>1155</v>
          </cell>
          <cell r="AE340">
            <v>0</v>
          </cell>
          <cell r="AF340">
            <v>19.25</v>
          </cell>
          <cell r="AG340">
            <v>0.75</v>
          </cell>
        </row>
        <row r="341">
          <cell r="B341" t="str">
            <v>FAR892103</v>
          </cell>
          <cell r="C341" t="str">
            <v>892103</v>
          </cell>
          <cell r="D341" t="str">
            <v>EURODRESSING 10 cm x 10 cm. (Gasa Estéril no Adherente) x 6 Und.  Ref 892103</v>
          </cell>
          <cell r="E341" t="str">
            <v>EUROFARM</v>
          </cell>
          <cell r="F341" t="str">
            <v>Aposito (Gasa) Estéril no Adherente</v>
          </cell>
          <cell r="G341" t="str">
            <v>CUIDADO DE HERIDAS</v>
          </cell>
          <cell r="H341" t="str">
            <v>33</v>
          </cell>
          <cell r="I341" t="str">
            <v>CJX6</v>
          </cell>
          <cell r="J341">
            <v>1</v>
          </cell>
          <cell r="K341">
            <v>0</v>
          </cell>
          <cell r="L341" t="str">
            <v>C</v>
          </cell>
          <cell r="M341">
            <v>160</v>
          </cell>
          <cell r="N341" t="str">
            <v/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384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18</v>
          </cell>
          <cell r="AA341">
            <v>89.721000000000004</v>
          </cell>
          <cell r="AB341">
            <v>163.13</v>
          </cell>
          <cell r="AC341">
            <v>0</v>
          </cell>
          <cell r="AD341">
            <v>163.13</v>
          </cell>
          <cell r="AE341">
            <v>0</v>
          </cell>
          <cell r="AF341">
            <v>1.9938</v>
          </cell>
          <cell r="AG341">
            <v>0.55000000000000004</v>
          </cell>
        </row>
        <row r="342">
          <cell r="B342" t="str">
            <v>FAR892113</v>
          </cell>
          <cell r="C342" t="str">
            <v>892113</v>
          </cell>
          <cell r="D342" t="str">
            <v>EURODRESSING METAL 10 x 10 cm. (Gasa Estéril no Adherente Aluminizada). (Caja x 6)  892113</v>
          </cell>
          <cell r="E342" t="str">
            <v>EUROFARM</v>
          </cell>
          <cell r="F342" t="str">
            <v>Aposito (Gasa) Estéril Alunimizado no Adherente</v>
          </cell>
          <cell r="G342" t="str">
            <v>CUIDADO DE HERIDAS</v>
          </cell>
          <cell r="H342" t="str">
            <v>34</v>
          </cell>
          <cell r="I342" t="str">
            <v>CJX6</v>
          </cell>
          <cell r="J342">
            <v>0</v>
          </cell>
          <cell r="K342">
            <v>0</v>
          </cell>
          <cell r="L342" t="str">
            <v/>
          </cell>
          <cell r="M342">
            <v>0</v>
          </cell>
          <cell r="N342" t="str">
            <v/>
          </cell>
          <cell r="O342">
            <v>0</v>
          </cell>
          <cell r="P342">
            <v>0</v>
          </cell>
          <cell r="Q342">
            <v>3</v>
          </cell>
          <cell r="R342">
            <v>3</v>
          </cell>
          <cell r="S342">
            <v>0</v>
          </cell>
          <cell r="T342">
            <v>390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3</v>
          </cell>
          <cell r="Z342">
            <v>3</v>
          </cell>
          <cell r="AA342">
            <v>102.096</v>
          </cell>
          <cell r="AB342">
            <v>185.63</v>
          </cell>
          <cell r="AC342">
            <v>0</v>
          </cell>
          <cell r="AD342">
            <v>185.63</v>
          </cell>
          <cell r="AE342">
            <v>0</v>
          </cell>
          <cell r="AF342">
            <v>2.2688000000000001</v>
          </cell>
          <cell r="AG342">
            <v>0.55000000000000004</v>
          </cell>
        </row>
        <row r="343">
          <cell r="B343" t="str">
            <v>HOS715002</v>
          </cell>
          <cell r="C343" t="str">
            <v>715002</v>
          </cell>
          <cell r="D343" t="str">
            <v>EUROFIX 10 cm x 10 mt. (Hypafix Tela no Tejida) x Und. Ref 715002</v>
          </cell>
          <cell r="E343" t="str">
            <v>EUROFARM</v>
          </cell>
          <cell r="F343" t="str">
            <v>Hypafix (tela no Tejida)-BSN</v>
          </cell>
          <cell r="G343" t="str">
            <v>CUIDADO DE HERIDAS</v>
          </cell>
          <cell r="H343" t="str">
            <v>15</v>
          </cell>
          <cell r="I343" t="str">
            <v>UND</v>
          </cell>
          <cell r="J343">
            <v>1</v>
          </cell>
          <cell r="K343">
            <v>0</v>
          </cell>
          <cell r="L343" t="str">
            <v/>
          </cell>
          <cell r="M343">
            <v>0</v>
          </cell>
          <cell r="N343" t="str">
            <v/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348</v>
          </cell>
          <cell r="U343">
            <v>0</v>
          </cell>
          <cell r="V343">
            <v>0</v>
          </cell>
          <cell r="W343">
            <v>6</v>
          </cell>
          <cell r="X343">
            <v>0</v>
          </cell>
          <cell r="Y343">
            <v>0</v>
          </cell>
          <cell r="Z343">
            <v>244</v>
          </cell>
          <cell r="AA343">
            <v>118.8</v>
          </cell>
          <cell r="AB343">
            <v>216</v>
          </cell>
          <cell r="AC343">
            <v>0</v>
          </cell>
          <cell r="AD343">
            <v>216</v>
          </cell>
          <cell r="AE343">
            <v>0</v>
          </cell>
          <cell r="AF343">
            <v>2.64</v>
          </cell>
          <cell r="AG343">
            <v>0.55000000000000004</v>
          </cell>
        </row>
        <row r="344">
          <cell r="B344" t="str">
            <v>FAR891800</v>
          </cell>
          <cell r="C344" t="str">
            <v>891800</v>
          </cell>
          <cell r="D344" t="str">
            <v>EUROMED 5 cm x 7 cm. (Leukomed) x 5 Unds. Ref 891800</v>
          </cell>
          <cell r="E344" t="str">
            <v>EUROFARM</v>
          </cell>
          <cell r="F344" t="str">
            <v>Leukomed-BSN</v>
          </cell>
          <cell r="G344" t="str">
            <v>CUIDADO DE HERIDAS</v>
          </cell>
          <cell r="H344" t="str">
            <v>51</v>
          </cell>
          <cell r="I344" t="str">
            <v>CJX5</v>
          </cell>
          <cell r="J344">
            <v>1</v>
          </cell>
          <cell r="K344">
            <v>0</v>
          </cell>
          <cell r="L344" t="str">
            <v>C</v>
          </cell>
          <cell r="M344">
            <v>98</v>
          </cell>
          <cell r="N344" t="str">
            <v/>
          </cell>
          <cell r="O344">
            <v>0</v>
          </cell>
          <cell r="P344">
            <v>0</v>
          </cell>
          <cell r="Q344">
            <v>10</v>
          </cell>
          <cell r="R344">
            <v>10</v>
          </cell>
          <cell r="S344">
            <v>0</v>
          </cell>
          <cell r="T344">
            <v>365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10</v>
          </cell>
          <cell r="Z344">
            <v>533</v>
          </cell>
          <cell r="AA344">
            <v>43.3125</v>
          </cell>
          <cell r="AB344">
            <v>78.75</v>
          </cell>
          <cell r="AC344">
            <v>0</v>
          </cell>
          <cell r="AD344">
            <v>78.75</v>
          </cell>
          <cell r="AE344">
            <v>0</v>
          </cell>
          <cell r="AF344">
            <v>0.96250000000000002</v>
          </cell>
          <cell r="AG344">
            <v>0.55000000000000004</v>
          </cell>
        </row>
        <row r="345">
          <cell r="B345" t="str">
            <v>FAR891852</v>
          </cell>
          <cell r="C345" t="str">
            <v>891852</v>
          </cell>
          <cell r="D345" t="str">
            <v>EUROMED ALOE 10 cm x 10 cm. (Leukomed) x 6 Unds. Ref 891852</v>
          </cell>
          <cell r="E345" t="str">
            <v>EUROFARM</v>
          </cell>
          <cell r="F345" t="str">
            <v/>
          </cell>
          <cell r="G345" t="str">
            <v/>
          </cell>
          <cell r="H345" t="str">
            <v>49</v>
          </cell>
          <cell r="I345" t="str">
            <v>CJX6</v>
          </cell>
          <cell r="J345">
            <v>1</v>
          </cell>
          <cell r="K345">
            <v>1</v>
          </cell>
          <cell r="L345" t="str">
            <v>C</v>
          </cell>
          <cell r="M345">
            <v>199</v>
          </cell>
          <cell r="N345" t="str">
            <v/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352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18</v>
          </cell>
          <cell r="AA345">
            <v>99</v>
          </cell>
          <cell r="AB345">
            <v>180</v>
          </cell>
          <cell r="AC345">
            <v>0</v>
          </cell>
          <cell r="AD345">
            <v>180</v>
          </cell>
          <cell r="AE345">
            <v>0</v>
          </cell>
          <cell r="AF345">
            <v>2.2000000000000002</v>
          </cell>
          <cell r="AG345">
            <v>0.55000000000000004</v>
          </cell>
        </row>
        <row r="346">
          <cell r="B346" t="str">
            <v>FAR891850</v>
          </cell>
          <cell r="C346" t="str">
            <v>891850</v>
          </cell>
          <cell r="D346" t="str">
            <v>EUROMED ALOE 5 cm x 7 cm. (Leukomed) x 6 Unds. Ref 891850</v>
          </cell>
          <cell r="E346" t="str">
            <v>EUROFARM</v>
          </cell>
          <cell r="F346" t="str">
            <v/>
          </cell>
          <cell r="G346" t="str">
            <v/>
          </cell>
          <cell r="H346" t="str">
            <v>49</v>
          </cell>
          <cell r="I346" t="str">
            <v>CJX6</v>
          </cell>
          <cell r="J346">
            <v>0</v>
          </cell>
          <cell r="K346">
            <v>0</v>
          </cell>
          <cell r="L346" t="str">
            <v>C</v>
          </cell>
          <cell r="M346">
            <v>359</v>
          </cell>
          <cell r="N346" t="str">
            <v/>
          </cell>
          <cell r="O346">
            <v>0</v>
          </cell>
          <cell r="P346">
            <v>0</v>
          </cell>
          <cell r="Q346">
            <v>6</v>
          </cell>
          <cell r="R346">
            <v>6</v>
          </cell>
          <cell r="S346">
            <v>0</v>
          </cell>
          <cell r="T346">
            <v>355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6</v>
          </cell>
          <cell r="Z346">
            <v>24</v>
          </cell>
          <cell r="AA346">
            <v>71.158500000000004</v>
          </cell>
          <cell r="AB346">
            <v>129.38</v>
          </cell>
          <cell r="AC346">
            <v>0</v>
          </cell>
          <cell r="AD346">
            <v>129.38</v>
          </cell>
          <cell r="AE346">
            <v>0</v>
          </cell>
          <cell r="AF346">
            <v>1.5812999999999999</v>
          </cell>
          <cell r="AG346">
            <v>0.55000000000000004</v>
          </cell>
        </row>
        <row r="347">
          <cell r="B347" t="str">
            <v>HOS560110</v>
          </cell>
          <cell r="C347" t="str">
            <v>560110</v>
          </cell>
          <cell r="D347" t="str">
            <v>EURONET PARAFFIN 10 cm x 10 cm. (Cuticell Classic) x 10 Unds. Ref 560110</v>
          </cell>
          <cell r="E347" t="str">
            <v>EUROFARM</v>
          </cell>
          <cell r="F347" t="str">
            <v>Cuticell Classic</v>
          </cell>
          <cell r="G347" t="str">
            <v>CUIDADO DE HERIDAS</v>
          </cell>
          <cell r="H347" t="str">
            <v>35</v>
          </cell>
          <cell r="I347" t="str">
            <v>CJX10</v>
          </cell>
          <cell r="J347">
            <v>1</v>
          </cell>
          <cell r="K347">
            <v>0</v>
          </cell>
          <cell r="L347" t="str">
            <v>C</v>
          </cell>
          <cell r="M347">
            <v>120</v>
          </cell>
          <cell r="N347" t="str">
            <v/>
          </cell>
          <cell r="O347">
            <v>0</v>
          </cell>
          <cell r="P347">
            <v>0</v>
          </cell>
          <cell r="Q347">
            <v>30</v>
          </cell>
          <cell r="R347">
            <v>30</v>
          </cell>
          <cell r="S347">
            <v>0</v>
          </cell>
          <cell r="T347">
            <v>349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30</v>
          </cell>
          <cell r="Z347">
            <v>2100</v>
          </cell>
          <cell r="AA347">
            <v>136.125</v>
          </cell>
          <cell r="AB347">
            <v>340.31</v>
          </cell>
          <cell r="AC347">
            <v>0</v>
          </cell>
          <cell r="AD347">
            <v>340.31</v>
          </cell>
          <cell r="AE347">
            <v>0</v>
          </cell>
          <cell r="AF347">
            <v>3.0249999999999999</v>
          </cell>
          <cell r="AG347">
            <v>0.4</v>
          </cell>
        </row>
        <row r="348">
          <cell r="B348" t="str">
            <v>HOS560120</v>
          </cell>
          <cell r="C348" t="str">
            <v>560120</v>
          </cell>
          <cell r="D348" t="str">
            <v>EURONET PARAFFIN 10 cm x 20 cm. (Cuticell Classic) x 10 Unds. Ref 560120</v>
          </cell>
          <cell r="E348" t="str">
            <v>EUROFARM</v>
          </cell>
          <cell r="F348" t="str">
            <v>Cuticell Classic</v>
          </cell>
          <cell r="G348" t="str">
            <v>CUIDADO DE HERIDAS</v>
          </cell>
          <cell r="H348" t="str">
            <v>35</v>
          </cell>
          <cell r="I348" t="str">
            <v>CJX10</v>
          </cell>
          <cell r="J348">
            <v>1</v>
          </cell>
          <cell r="K348">
            <v>0</v>
          </cell>
          <cell r="L348" t="str">
            <v/>
          </cell>
          <cell r="M348">
            <v>0</v>
          </cell>
          <cell r="N348" t="str">
            <v/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389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1600</v>
          </cell>
          <cell r="AA348">
            <v>272.25</v>
          </cell>
          <cell r="AB348">
            <v>680.63</v>
          </cell>
          <cell r="AC348">
            <v>0</v>
          </cell>
          <cell r="AD348">
            <v>680.63</v>
          </cell>
          <cell r="AE348">
            <v>0</v>
          </cell>
          <cell r="AF348">
            <v>6.05</v>
          </cell>
          <cell r="AG348">
            <v>0.4</v>
          </cell>
        </row>
        <row r="349">
          <cell r="B349" t="str">
            <v>HOS560020</v>
          </cell>
          <cell r="C349" t="str">
            <v>560020</v>
          </cell>
          <cell r="D349" t="str">
            <v>EURONET PARAFFIN 7,5 cm x 20 cm. (Cuticell Classic) x 10 Unds.  Ref 560020</v>
          </cell>
          <cell r="E349" t="str">
            <v>EUROFARM</v>
          </cell>
          <cell r="F349" t="str">
            <v>Cuticell Classic</v>
          </cell>
          <cell r="G349" t="str">
            <v>CUIDADO DE HERIDAS</v>
          </cell>
          <cell r="H349" t="str">
            <v>35</v>
          </cell>
          <cell r="I349" t="str">
            <v>CJX10</v>
          </cell>
          <cell r="J349">
            <v>1</v>
          </cell>
          <cell r="K349">
            <v>0</v>
          </cell>
          <cell r="L349" t="str">
            <v>C</v>
          </cell>
          <cell r="M349">
            <v>145</v>
          </cell>
          <cell r="N349" t="str">
            <v/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353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200</v>
          </cell>
          <cell r="AA349">
            <v>228.9375</v>
          </cell>
          <cell r="AB349">
            <v>572.35</v>
          </cell>
          <cell r="AC349">
            <v>0</v>
          </cell>
          <cell r="AD349">
            <v>572.35</v>
          </cell>
          <cell r="AE349">
            <v>0</v>
          </cell>
          <cell r="AF349">
            <v>5.0875000000000004</v>
          </cell>
          <cell r="AG349">
            <v>0.4</v>
          </cell>
        </row>
        <row r="350">
          <cell r="B350" t="str">
            <v>HOS706015</v>
          </cell>
          <cell r="C350" t="str">
            <v>706015</v>
          </cell>
          <cell r="D350" t="str">
            <v>EUROPOR 5 cm x 9,14 mt. (Micropore-Leukopore) x Und. (Caja x 12 Unds.) Ref 706015</v>
          </cell>
          <cell r="E350" t="str">
            <v>EUROFARM</v>
          </cell>
          <cell r="F350" t="str">
            <v>Micropore-3M - Leukopore-BSN</v>
          </cell>
          <cell r="G350" t="str">
            <v>CUIDADO DE HERIDAS</v>
          </cell>
          <cell r="H350" t="str">
            <v>03</v>
          </cell>
          <cell r="I350" t="str">
            <v>CJX12</v>
          </cell>
          <cell r="J350">
            <v>1</v>
          </cell>
          <cell r="K350">
            <v>0</v>
          </cell>
          <cell r="L350" t="str">
            <v>C</v>
          </cell>
          <cell r="M350">
            <v>246</v>
          </cell>
          <cell r="N350" t="str">
            <v/>
          </cell>
          <cell r="O350">
            <v>0</v>
          </cell>
          <cell r="P350">
            <v>0</v>
          </cell>
          <cell r="Q350">
            <v>12</v>
          </cell>
          <cell r="R350">
            <v>12</v>
          </cell>
          <cell r="S350">
            <v>0</v>
          </cell>
          <cell r="T350">
            <v>380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12</v>
          </cell>
          <cell r="Z350">
            <v>600</v>
          </cell>
          <cell r="AA350">
            <v>92.8125</v>
          </cell>
          <cell r="AB350">
            <v>168.75</v>
          </cell>
          <cell r="AC350">
            <v>0</v>
          </cell>
          <cell r="AD350">
            <v>168.75</v>
          </cell>
          <cell r="AE350">
            <v>0</v>
          </cell>
          <cell r="AF350">
            <v>2.0625</v>
          </cell>
          <cell r="AG350">
            <v>0.55000000000000004</v>
          </cell>
        </row>
        <row r="351">
          <cell r="B351" t="str">
            <v>HOS706017</v>
          </cell>
          <cell r="C351" t="str">
            <v>706017</v>
          </cell>
          <cell r="D351" t="str">
            <v>EUROPOR 7,5 cm x 9,14 mt. (Micropore-Leukopore) x Und. (Caja x 6 Unds.) Ref 706017</v>
          </cell>
          <cell r="E351" t="str">
            <v>EUROFARM</v>
          </cell>
          <cell r="F351" t="str">
            <v>Micropore-3M - Leukopore-BSN</v>
          </cell>
          <cell r="G351" t="str">
            <v>CUIDADO DE HERIDAS</v>
          </cell>
          <cell r="H351" t="str">
            <v>04</v>
          </cell>
          <cell r="I351" t="str">
            <v>CJX6</v>
          </cell>
          <cell r="J351">
            <v>1</v>
          </cell>
          <cell r="K351">
            <v>0</v>
          </cell>
          <cell r="L351" t="str">
            <v/>
          </cell>
          <cell r="M351">
            <v>0</v>
          </cell>
          <cell r="N351" t="str">
            <v/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389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276</v>
          </cell>
          <cell r="AA351">
            <v>142.3125</v>
          </cell>
          <cell r="AB351">
            <v>258.75</v>
          </cell>
          <cell r="AC351">
            <v>0</v>
          </cell>
          <cell r="AD351">
            <v>258.75</v>
          </cell>
          <cell r="AE351">
            <v>0</v>
          </cell>
          <cell r="AF351">
            <v>3.1625000000000001</v>
          </cell>
          <cell r="AG351">
            <v>0.55000000000000004</v>
          </cell>
        </row>
        <row r="352">
          <cell r="B352" t="str">
            <v>FAR892300</v>
          </cell>
          <cell r="C352" t="str">
            <v>892300</v>
          </cell>
          <cell r="D352" t="str">
            <v>EUROPTICAL 5,2 cm x 6,4 cm. (Apósito Ocular Oclusivo) x 6 Unds.  Ref 892300</v>
          </cell>
          <cell r="E352" t="str">
            <v>EUROFARM</v>
          </cell>
          <cell r="F352" t="str">
            <v>Aposito Ocular Oclusivo</v>
          </cell>
          <cell r="G352" t="str">
            <v>CUIDADO DE HERIDAS</v>
          </cell>
          <cell r="H352" t="str">
            <v>44</v>
          </cell>
          <cell r="I352" t="str">
            <v>CJX6</v>
          </cell>
          <cell r="J352">
            <v>1</v>
          </cell>
          <cell r="K352">
            <v>0</v>
          </cell>
          <cell r="L352" t="str">
            <v>C</v>
          </cell>
          <cell r="M352">
            <v>227</v>
          </cell>
          <cell r="N352" t="str">
            <v/>
          </cell>
          <cell r="O352">
            <v>0</v>
          </cell>
          <cell r="P352">
            <v>0</v>
          </cell>
          <cell r="Q352">
            <v>20</v>
          </cell>
          <cell r="R352">
            <v>20</v>
          </cell>
          <cell r="S352">
            <v>0</v>
          </cell>
          <cell r="T352">
            <v>361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20</v>
          </cell>
          <cell r="Z352">
            <v>132</v>
          </cell>
          <cell r="AA352">
            <v>75.487499999999997</v>
          </cell>
          <cell r="AB352">
            <v>137.25</v>
          </cell>
          <cell r="AC352">
            <v>0</v>
          </cell>
          <cell r="AD352">
            <v>137.25</v>
          </cell>
          <cell r="AE352">
            <v>0</v>
          </cell>
          <cell r="AF352">
            <v>1.6775</v>
          </cell>
          <cell r="AG352">
            <v>0.55000000000000004</v>
          </cell>
        </row>
        <row r="353">
          <cell r="B353" t="str">
            <v>FAR892301</v>
          </cell>
          <cell r="C353" t="str">
            <v>892301</v>
          </cell>
          <cell r="D353" t="str">
            <v>EUROPTICAL 5,7 cm x 8,2 cm. (Apósito Ocular Oclusivo) x 7 Und.  Ref 892301</v>
          </cell>
          <cell r="E353" t="str">
            <v>EUROFARM</v>
          </cell>
          <cell r="F353" t="str">
            <v>Aposito Ocular Oclusivo</v>
          </cell>
          <cell r="G353" t="str">
            <v>CUIDADO DE HERIDAS</v>
          </cell>
          <cell r="H353" t="str">
            <v>44</v>
          </cell>
          <cell r="I353" t="str">
            <v>CJX7</v>
          </cell>
          <cell r="J353">
            <v>1</v>
          </cell>
          <cell r="K353">
            <v>0</v>
          </cell>
          <cell r="L353" t="str">
            <v>C</v>
          </cell>
          <cell r="M353">
            <v>159</v>
          </cell>
          <cell r="N353" t="str">
            <v/>
          </cell>
          <cell r="O353">
            <v>0</v>
          </cell>
          <cell r="P353">
            <v>0</v>
          </cell>
          <cell r="Q353">
            <v>15</v>
          </cell>
          <cell r="R353">
            <v>15</v>
          </cell>
          <cell r="S353">
            <v>0</v>
          </cell>
          <cell r="T353">
            <v>363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15</v>
          </cell>
          <cell r="Z353">
            <v>50</v>
          </cell>
          <cell r="AA353">
            <v>80.4375</v>
          </cell>
          <cell r="AB353">
            <v>146.25</v>
          </cell>
          <cell r="AC353">
            <v>0</v>
          </cell>
          <cell r="AD353">
            <v>146.25</v>
          </cell>
          <cell r="AE353">
            <v>0</v>
          </cell>
          <cell r="AF353">
            <v>1.7875000000000001</v>
          </cell>
          <cell r="AG353">
            <v>0.55000000000000004</v>
          </cell>
        </row>
        <row r="354">
          <cell r="B354" t="str">
            <v>HOS703107</v>
          </cell>
          <cell r="C354" t="str">
            <v>703107</v>
          </cell>
          <cell r="D354" t="str">
            <v>EUROREEL ACETATO 7,5 cm x 9,14 mt. (Durapore) x Und. (Caja x 6 Unds.) Ref 703107</v>
          </cell>
          <cell r="E354" t="str">
            <v>EUROFARM</v>
          </cell>
          <cell r="F354" t="str">
            <v>Durapore-3M</v>
          </cell>
          <cell r="G354" t="str">
            <v>CUIDADO DE HERIDAS</v>
          </cell>
          <cell r="H354" t="str">
            <v>06</v>
          </cell>
          <cell r="I354" t="str">
            <v>CJX6</v>
          </cell>
          <cell r="J354">
            <v>1</v>
          </cell>
          <cell r="K354">
            <v>0</v>
          </cell>
          <cell r="L354" t="str">
            <v>C</v>
          </cell>
          <cell r="M354">
            <v>198</v>
          </cell>
          <cell r="N354" t="str">
            <v/>
          </cell>
          <cell r="O354">
            <v>0</v>
          </cell>
          <cell r="P354">
            <v>0</v>
          </cell>
          <cell r="Q354">
            <v>30</v>
          </cell>
          <cell r="R354">
            <v>30</v>
          </cell>
          <cell r="S354">
            <v>0</v>
          </cell>
          <cell r="T354">
            <v>368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30</v>
          </cell>
          <cell r="Z354">
            <v>1278</v>
          </cell>
          <cell r="AA354">
            <v>115.08750000000001</v>
          </cell>
          <cell r="AB354">
            <v>177.06</v>
          </cell>
          <cell r="AC354">
            <v>0</v>
          </cell>
          <cell r="AD354">
            <v>177.06</v>
          </cell>
          <cell r="AE354">
            <v>0</v>
          </cell>
          <cell r="AF354">
            <v>2.5575000000000001</v>
          </cell>
          <cell r="AG354">
            <v>0.65</v>
          </cell>
        </row>
        <row r="355">
          <cell r="B355" t="str">
            <v>FAR809002</v>
          </cell>
          <cell r="C355" t="str">
            <v>809002</v>
          </cell>
          <cell r="D355" t="str">
            <v>EUROSILK 2,5 cm x 5 mt. (Adhesivo de Acetato) x Und. (Caja x 24 Unds.) Ref 809002</v>
          </cell>
          <cell r="E355" t="str">
            <v>EUROFARM</v>
          </cell>
          <cell r="F355" t="str">
            <v>Adhesivo de Acetato</v>
          </cell>
          <cell r="G355" t="str">
            <v>CUIDADO DE HERIDAS</v>
          </cell>
          <cell r="H355" t="str">
            <v>08</v>
          </cell>
          <cell r="I355" t="str">
            <v>CJX24</v>
          </cell>
          <cell r="J355">
            <v>1</v>
          </cell>
          <cell r="K355">
            <v>0</v>
          </cell>
          <cell r="L355" t="str">
            <v>C</v>
          </cell>
          <cell r="M355">
            <v>162</v>
          </cell>
          <cell r="N355" t="str">
            <v/>
          </cell>
          <cell r="O355">
            <v>0</v>
          </cell>
          <cell r="P355">
            <v>0</v>
          </cell>
          <cell r="Q355">
            <v>7</v>
          </cell>
          <cell r="R355">
            <v>7</v>
          </cell>
          <cell r="S355">
            <v>0</v>
          </cell>
          <cell r="T355">
            <v>371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7</v>
          </cell>
          <cell r="Z355">
            <v>1512</v>
          </cell>
          <cell r="AA355">
            <v>64.349999999999994</v>
          </cell>
          <cell r="AB355">
            <v>85.8</v>
          </cell>
          <cell r="AC355">
            <v>0</v>
          </cell>
          <cell r="AD355">
            <v>85.8</v>
          </cell>
          <cell r="AE355">
            <v>0</v>
          </cell>
          <cell r="AF355">
            <v>1.43</v>
          </cell>
          <cell r="AG355">
            <v>0.75</v>
          </cell>
        </row>
        <row r="356">
          <cell r="B356" t="str">
            <v>HOS505002</v>
          </cell>
          <cell r="C356" t="str">
            <v>505002</v>
          </cell>
          <cell r="D356" t="str">
            <v>EUROSOFT 15 cm x 3 mt. (Guata Ortoban) x Und. (Caja x 6 Unds) Ref 505002</v>
          </cell>
          <cell r="E356" t="str">
            <v>EUROFARM</v>
          </cell>
          <cell r="F356" t="str">
            <v>Guata Ortoban-3M</v>
          </cell>
          <cell r="G356" t="str">
            <v>CUIDADO DE HERIDAS</v>
          </cell>
          <cell r="H356" t="str">
            <v>36</v>
          </cell>
          <cell r="I356" t="str">
            <v>CJX6</v>
          </cell>
          <cell r="J356">
            <v>6</v>
          </cell>
          <cell r="K356">
            <v>0</v>
          </cell>
          <cell r="L356" t="str">
            <v>C</v>
          </cell>
          <cell r="M356">
            <v>352</v>
          </cell>
          <cell r="N356" t="str">
            <v/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366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360</v>
          </cell>
          <cell r="AA356">
            <v>35.887500000000003</v>
          </cell>
          <cell r="AB356">
            <v>71.78</v>
          </cell>
          <cell r="AC356">
            <v>0</v>
          </cell>
          <cell r="AD356">
            <v>71.78</v>
          </cell>
          <cell r="AE356">
            <v>0</v>
          </cell>
          <cell r="AF356">
            <v>0.79749999999999999</v>
          </cell>
          <cell r="AG356">
            <v>0.5</v>
          </cell>
        </row>
        <row r="357">
          <cell r="B357" t="str">
            <v>HOS505003</v>
          </cell>
          <cell r="C357" t="str">
            <v>505003</v>
          </cell>
          <cell r="D357" t="str">
            <v>EUROSOFT 20 cm x 3 mt. (Guata Ortoban) x Und. (Caja x 6 Unds) Ref 505003</v>
          </cell>
          <cell r="E357" t="str">
            <v>EUROFARM</v>
          </cell>
          <cell r="F357" t="str">
            <v>Guata Ortoban-3M</v>
          </cell>
          <cell r="G357" t="str">
            <v>CUIDADO DE HERIDAS</v>
          </cell>
          <cell r="H357" t="str">
            <v>36</v>
          </cell>
          <cell r="I357" t="str">
            <v>CJX6</v>
          </cell>
          <cell r="J357">
            <v>6</v>
          </cell>
          <cell r="K357">
            <v>0</v>
          </cell>
          <cell r="L357" t="str">
            <v>C</v>
          </cell>
          <cell r="M357">
            <v>349</v>
          </cell>
          <cell r="N357" t="str">
            <v/>
          </cell>
          <cell r="O357">
            <v>0</v>
          </cell>
          <cell r="P357">
            <v>0</v>
          </cell>
          <cell r="Q357">
            <v>12</v>
          </cell>
          <cell r="R357">
            <v>12</v>
          </cell>
          <cell r="S357">
            <v>0</v>
          </cell>
          <cell r="T357">
            <v>365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12</v>
          </cell>
          <cell r="Z357">
            <v>360</v>
          </cell>
          <cell r="AA357">
            <v>46.408499999999997</v>
          </cell>
          <cell r="AB357">
            <v>92.81</v>
          </cell>
          <cell r="AC357">
            <v>0</v>
          </cell>
          <cell r="AD357">
            <v>92.81</v>
          </cell>
          <cell r="AE357">
            <v>0</v>
          </cell>
          <cell r="AF357">
            <v>1.0313000000000001</v>
          </cell>
          <cell r="AG357">
            <v>0.5</v>
          </cell>
        </row>
        <row r="358">
          <cell r="B358" t="str">
            <v>HOS501510</v>
          </cell>
          <cell r="C358" t="str">
            <v>501510</v>
          </cell>
          <cell r="D358" t="str">
            <v>EUROSORB 10 cm x 10 cm. (Tegaderm Alginato-Cutimed Alginato) x 10 Und. Ref 501510</v>
          </cell>
          <cell r="E358" t="str">
            <v>EUROFARM</v>
          </cell>
          <cell r="F358" t="str">
            <v>Tegaderm Alginato-3M - Cutimed Alginato-BNS</v>
          </cell>
          <cell r="G358" t="str">
            <v>CUIDADO DE HERIDAS</v>
          </cell>
          <cell r="H358" t="str">
            <v>52</v>
          </cell>
          <cell r="I358" t="str">
            <v>CJX10</v>
          </cell>
          <cell r="J358">
            <v>1</v>
          </cell>
          <cell r="K358">
            <v>0</v>
          </cell>
          <cell r="L358" t="str">
            <v>C</v>
          </cell>
          <cell r="M358">
            <v>49</v>
          </cell>
          <cell r="N358" t="str">
            <v/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351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-2</v>
          </cell>
          <cell r="Z358">
            <v>22</v>
          </cell>
          <cell r="AA358">
            <v>618.75</v>
          </cell>
          <cell r="AB358">
            <v>1237.5</v>
          </cell>
          <cell r="AC358">
            <v>0</v>
          </cell>
          <cell r="AD358">
            <v>1237.5</v>
          </cell>
          <cell r="AE358">
            <v>0</v>
          </cell>
          <cell r="AF358">
            <v>13.75</v>
          </cell>
          <cell r="AG358">
            <v>0.5</v>
          </cell>
        </row>
        <row r="359">
          <cell r="B359" t="str">
            <v>HOS501505</v>
          </cell>
          <cell r="C359" t="str">
            <v>501505</v>
          </cell>
          <cell r="D359" t="str">
            <v>EUROSORB 5 cm x 5 cm. (Tegaderm Alginato-Cutimed Alginato) x 10 Und. Ref 501505</v>
          </cell>
          <cell r="E359" t="str">
            <v>EUROFARM</v>
          </cell>
          <cell r="F359" t="str">
            <v>Tegaderm Alginato-3M - Cutimed Alginato-BNS</v>
          </cell>
          <cell r="G359" t="str">
            <v>CUIDADO DE HERIDAS</v>
          </cell>
          <cell r="H359" t="str">
            <v>52</v>
          </cell>
          <cell r="I359" t="str">
            <v>CJX10</v>
          </cell>
          <cell r="J359">
            <v>1</v>
          </cell>
          <cell r="K359">
            <v>0</v>
          </cell>
          <cell r="L359" t="str">
            <v>C</v>
          </cell>
          <cell r="M359">
            <v>224</v>
          </cell>
          <cell r="N359" t="str">
            <v/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359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5840</v>
          </cell>
          <cell r="AA359">
            <v>402.1875</v>
          </cell>
          <cell r="AB359">
            <v>804.38</v>
          </cell>
          <cell r="AC359">
            <v>0</v>
          </cell>
          <cell r="AD359">
            <v>804.38</v>
          </cell>
          <cell r="AE359">
            <v>0</v>
          </cell>
          <cell r="AF359">
            <v>8.9375</v>
          </cell>
          <cell r="AG359">
            <v>0.5</v>
          </cell>
        </row>
        <row r="360">
          <cell r="B360" t="str">
            <v>FAR826051</v>
          </cell>
          <cell r="C360" t="str">
            <v>826051</v>
          </cell>
          <cell r="D360" t="str">
            <v>EUROSTRIPS ALOE 19 mm x 72 mm. (Curitas con Aloe) x 20 Und.  Ref 826051</v>
          </cell>
          <cell r="E360" t="str">
            <v>EUROFARM</v>
          </cell>
          <cell r="F360" t="str">
            <v>Curitas con Aloe Vera</v>
          </cell>
          <cell r="G360" t="str">
            <v>CUIDADO DE HERIDAS</v>
          </cell>
          <cell r="H360" t="str">
            <v>23</v>
          </cell>
          <cell r="I360" t="str">
            <v>CJX20</v>
          </cell>
          <cell r="J360">
            <v>1</v>
          </cell>
          <cell r="K360">
            <v>0</v>
          </cell>
          <cell r="L360" t="str">
            <v>C</v>
          </cell>
          <cell r="M360">
            <v>181</v>
          </cell>
          <cell r="N360" t="str">
            <v/>
          </cell>
          <cell r="O360">
            <v>0</v>
          </cell>
          <cell r="P360">
            <v>0</v>
          </cell>
          <cell r="Q360">
            <v>12</v>
          </cell>
          <cell r="R360">
            <v>12</v>
          </cell>
          <cell r="S360">
            <v>0</v>
          </cell>
          <cell r="T360">
            <v>363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12</v>
          </cell>
          <cell r="Z360">
            <v>90</v>
          </cell>
          <cell r="AA360">
            <v>31.68</v>
          </cell>
          <cell r="AB360">
            <v>34.43</v>
          </cell>
          <cell r="AC360">
            <v>0</v>
          </cell>
          <cell r="AD360">
            <v>34.43</v>
          </cell>
          <cell r="AE360">
            <v>0</v>
          </cell>
          <cell r="AF360">
            <v>0.70399999999999996</v>
          </cell>
          <cell r="AG360">
            <v>0.92</v>
          </cell>
        </row>
        <row r="361">
          <cell r="B361" t="str">
            <v>FAR826056</v>
          </cell>
          <cell r="C361" t="str">
            <v>826056</v>
          </cell>
          <cell r="D361" t="str">
            <v>EUROSTRIPS ALOE 19 x 72 mm + 25 x 72 mm. (Curitas con Aloe) x 20 Und.  Ref 826056</v>
          </cell>
          <cell r="E361" t="str">
            <v>EUROFARM</v>
          </cell>
          <cell r="F361" t="str">
            <v>Curitas con Aloe Vera</v>
          </cell>
          <cell r="G361" t="str">
            <v>CUIDADO DE HERIDAS</v>
          </cell>
          <cell r="H361" t="str">
            <v>23</v>
          </cell>
          <cell r="I361" t="str">
            <v>CJX20</v>
          </cell>
          <cell r="J361">
            <v>1</v>
          </cell>
          <cell r="K361">
            <v>0</v>
          </cell>
          <cell r="L361" t="str">
            <v>C</v>
          </cell>
          <cell r="M361">
            <v>225</v>
          </cell>
          <cell r="N361" t="str">
            <v/>
          </cell>
          <cell r="O361">
            <v>0</v>
          </cell>
          <cell r="P361">
            <v>0</v>
          </cell>
          <cell r="Q361">
            <v>18</v>
          </cell>
          <cell r="R361">
            <v>18</v>
          </cell>
          <cell r="S361">
            <v>0</v>
          </cell>
          <cell r="T361">
            <v>364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18</v>
          </cell>
          <cell r="Z361">
            <v>90</v>
          </cell>
          <cell r="AA361">
            <v>31.68</v>
          </cell>
          <cell r="AB361">
            <v>34.43</v>
          </cell>
          <cell r="AC361">
            <v>0</v>
          </cell>
          <cell r="AD361">
            <v>34.43</v>
          </cell>
          <cell r="AE361">
            <v>0</v>
          </cell>
          <cell r="AF361">
            <v>0.70399999999999996</v>
          </cell>
          <cell r="AG361">
            <v>0.92</v>
          </cell>
        </row>
        <row r="362">
          <cell r="B362" t="str">
            <v>FAR826055</v>
          </cell>
          <cell r="C362" t="str">
            <v>826055</v>
          </cell>
          <cell r="D362" t="str">
            <v>EUROSTRIPS ALOE ASSORTED. (Curitas con Aloe Surtidas) x 20 Und.  Ref 826055</v>
          </cell>
          <cell r="E362" t="str">
            <v>EUROFARM</v>
          </cell>
          <cell r="F362" t="str">
            <v>Curitas con Aloe Vera</v>
          </cell>
          <cell r="G362" t="str">
            <v>CUIDADO DE HERIDAS</v>
          </cell>
          <cell r="H362" t="str">
            <v>23</v>
          </cell>
          <cell r="I362" t="str">
            <v>CJX20</v>
          </cell>
          <cell r="J362">
            <v>1</v>
          </cell>
          <cell r="K362">
            <v>0</v>
          </cell>
          <cell r="L362" t="str">
            <v>C</v>
          </cell>
          <cell r="M362">
            <v>367</v>
          </cell>
          <cell r="N362" t="str">
            <v/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380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50</v>
          </cell>
          <cell r="AA362">
            <v>44.55</v>
          </cell>
          <cell r="AB362">
            <v>54.33</v>
          </cell>
          <cell r="AC362">
            <v>0</v>
          </cell>
          <cell r="AD362">
            <v>54.33</v>
          </cell>
          <cell r="AE362">
            <v>0</v>
          </cell>
          <cell r="AF362">
            <v>0.99</v>
          </cell>
          <cell r="AG362">
            <v>0.82</v>
          </cell>
        </row>
        <row r="363">
          <cell r="B363" t="str">
            <v>FAR826021</v>
          </cell>
          <cell r="C363" t="str">
            <v>826021</v>
          </cell>
          <cell r="D363" t="str">
            <v>EUROSTRIPS ASSORTED. (Curitas Surtidas) x 20 Und.  Ref 826021</v>
          </cell>
          <cell r="E363" t="str">
            <v>EUROFARM</v>
          </cell>
          <cell r="F363" t="str">
            <v>Curitas</v>
          </cell>
          <cell r="G363" t="str">
            <v>CUIDADO DE HERIDAS</v>
          </cell>
          <cell r="H363" t="str">
            <v>22</v>
          </cell>
          <cell r="I363" t="str">
            <v>CJX20</v>
          </cell>
          <cell r="J363">
            <v>1</v>
          </cell>
          <cell r="K363">
            <v>0</v>
          </cell>
          <cell r="L363" t="str">
            <v>C</v>
          </cell>
          <cell r="M363">
            <v>171</v>
          </cell>
          <cell r="N363" t="str">
            <v/>
          </cell>
          <cell r="O363">
            <v>0</v>
          </cell>
          <cell r="P363">
            <v>0</v>
          </cell>
          <cell r="Q363">
            <v>30</v>
          </cell>
          <cell r="R363">
            <v>30</v>
          </cell>
          <cell r="S363">
            <v>0</v>
          </cell>
          <cell r="T363">
            <v>367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30</v>
          </cell>
          <cell r="Z363">
            <v>60</v>
          </cell>
          <cell r="AA363">
            <v>34.47</v>
          </cell>
          <cell r="AB363">
            <v>37.47</v>
          </cell>
          <cell r="AC363">
            <v>0</v>
          </cell>
          <cell r="AD363">
            <v>37.47</v>
          </cell>
          <cell r="AE363">
            <v>0</v>
          </cell>
          <cell r="AF363">
            <v>0.76600000000000001</v>
          </cell>
          <cell r="AG363">
            <v>0.92</v>
          </cell>
        </row>
        <row r="364">
          <cell r="B364" t="str">
            <v>FAR826283</v>
          </cell>
          <cell r="C364" t="str">
            <v>826283</v>
          </cell>
          <cell r="D364" t="str">
            <v>EUROSTRIPS EMO 31 mm x 72 mm. (Curitas Hemostático)  x 12 Und.  Ref 826283</v>
          </cell>
          <cell r="E364" t="str">
            <v>EUROFARM</v>
          </cell>
          <cell r="F364" t="str">
            <v>flesh perforated PE + haemostatic pad</v>
          </cell>
          <cell r="G364" t="str">
            <v>CUIDADO DE HERIDAS</v>
          </cell>
          <cell r="H364" t="str">
            <v>24</v>
          </cell>
          <cell r="I364" t="str">
            <v>CJX12</v>
          </cell>
          <cell r="J364">
            <v>1</v>
          </cell>
          <cell r="K364">
            <v>0</v>
          </cell>
          <cell r="L364" t="str">
            <v>C</v>
          </cell>
          <cell r="M364">
            <v>252</v>
          </cell>
          <cell r="N364" t="str">
            <v/>
          </cell>
          <cell r="O364">
            <v>0</v>
          </cell>
          <cell r="P364">
            <v>0</v>
          </cell>
          <cell r="Q364">
            <v>12</v>
          </cell>
          <cell r="R364">
            <v>12</v>
          </cell>
          <cell r="S364">
            <v>0</v>
          </cell>
          <cell r="T364">
            <v>361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12</v>
          </cell>
          <cell r="Z364">
            <v>72</v>
          </cell>
          <cell r="AA364">
            <v>45</v>
          </cell>
          <cell r="AB364">
            <v>48.92</v>
          </cell>
          <cell r="AC364">
            <v>0</v>
          </cell>
          <cell r="AD364">
            <v>48.92</v>
          </cell>
          <cell r="AE364">
            <v>0</v>
          </cell>
          <cell r="AF364">
            <v>1</v>
          </cell>
          <cell r="AG364">
            <v>0.92</v>
          </cell>
        </row>
        <row r="365">
          <cell r="B365" t="str">
            <v>FAR817450</v>
          </cell>
          <cell r="C365" t="str">
            <v>817450</v>
          </cell>
          <cell r="D365" t="str">
            <v>EUROSUTURE  13 mm x 100 mm. x 6 Strip (Paq. x 10) (Steri Strip-Leukosan Strip) 817450</v>
          </cell>
          <cell r="E365" t="str">
            <v>EUROFARM</v>
          </cell>
          <cell r="F365" t="str">
            <v>Steri Strip-3M - Leukosan Strip-BSN</v>
          </cell>
          <cell r="G365" t="str">
            <v>CUIDADO DE HERIDAS</v>
          </cell>
          <cell r="H365" t="str">
            <v>57</v>
          </cell>
          <cell r="I365" t="str">
            <v>CJX12</v>
          </cell>
          <cell r="J365">
            <v>1</v>
          </cell>
          <cell r="K365">
            <v>0</v>
          </cell>
          <cell r="L365" t="str">
            <v/>
          </cell>
          <cell r="M365">
            <v>0</v>
          </cell>
          <cell r="N365" t="str">
            <v/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389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68.0625</v>
          </cell>
          <cell r="AB365">
            <v>136.13</v>
          </cell>
          <cell r="AC365">
            <v>0</v>
          </cell>
          <cell r="AD365">
            <v>136.13</v>
          </cell>
          <cell r="AE365">
            <v>0</v>
          </cell>
          <cell r="AF365">
            <v>1.5125</v>
          </cell>
          <cell r="AG365">
            <v>0.5</v>
          </cell>
        </row>
        <row r="366">
          <cell r="B366" t="str">
            <v>FAR817420</v>
          </cell>
          <cell r="C366" t="str">
            <v>817420</v>
          </cell>
          <cell r="D366" t="str">
            <v>EUROSUTURE 6 mm x 38 mm. (Steri Strip-Leukosan Strip) x 12 Strips Ref 817420</v>
          </cell>
          <cell r="E366" t="str">
            <v>EUROFARM</v>
          </cell>
          <cell r="F366" t="str">
            <v>Steri Strip-3M - Leukosan Strip-BSN</v>
          </cell>
          <cell r="G366" t="str">
            <v>CUIDADO DE HERIDAS</v>
          </cell>
          <cell r="H366" t="str">
            <v>57</v>
          </cell>
          <cell r="I366" t="str">
            <v>CJX12</v>
          </cell>
          <cell r="J366">
            <v>1</v>
          </cell>
          <cell r="K366">
            <v>0</v>
          </cell>
          <cell r="L366" t="str">
            <v>C</v>
          </cell>
          <cell r="M366">
            <v>157</v>
          </cell>
          <cell r="N366" t="str">
            <v/>
          </cell>
          <cell r="O366">
            <v>0</v>
          </cell>
          <cell r="P366">
            <v>0</v>
          </cell>
          <cell r="Q366">
            <v>63</v>
          </cell>
          <cell r="R366">
            <v>63</v>
          </cell>
          <cell r="S366">
            <v>0</v>
          </cell>
          <cell r="T366">
            <v>350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63</v>
          </cell>
          <cell r="Z366">
            <v>66</v>
          </cell>
          <cell r="AA366">
            <v>61.875</v>
          </cell>
          <cell r="AB366">
            <v>123.75</v>
          </cell>
          <cell r="AC366">
            <v>0</v>
          </cell>
          <cell r="AD366">
            <v>123.75</v>
          </cell>
          <cell r="AE366">
            <v>0</v>
          </cell>
          <cell r="AF366">
            <v>1.375</v>
          </cell>
          <cell r="AG366">
            <v>0.5</v>
          </cell>
        </row>
        <row r="367">
          <cell r="B367" t="str">
            <v>FAR817430</v>
          </cell>
          <cell r="C367" t="str">
            <v>817430</v>
          </cell>
          <cell r="D367" t="str">
            <v>EUROSUTURE 6 mm x 75 mm. (Steri Strip-Leukosan Strip) x 6 Strips Ref 817430</v>
          </cell>
          <cell r="E367" t="str">
            <v>EUROFARM</v>
          </cell>
          <cell r="F367" t="str">
            <v>Steri Strip-3M - Leukosan Strip-BSN</v>
          </cell>
          <cell r="G367" t="str">
            <v>CUIDADO DE HERIDAS</v>
          </cell>
          <cell r="H367" t="str">
            <v>57</v>
          </cell>
          <cell r="I367" t="str">
            <v>CJX6</v>
          </cell>
          <cell r="J367">
            <v>1</v>
          </cell>
          <cell r="K367">
            <v>0</v>
          </cell>
          <cell r="L367" t="str">
            <v>C</v>
          </cell>
          <cell r="M367">
            <v>351</v>
          </cell>
          <cell r="N367" t="str">
            <v/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366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20</v>
          </cell>
          <cell r="AA367">
            <v>61.875</v>
          </cell>
          <cell r="AB367">
            <v>123.75</v>
          </cell>
          <cell r="AC367">
            <v>0</v>
          </cell>
          <cell r="AD367">
            <v>123.75</v>
          </cell>
          <cell r="AE367">
            <v>0</v>
          </cell>
          <cell r="AF367">
            <v>1.375</v>
          </cell>
          <cell r="AG367">
            <v>0.5</v>
          </cell>
        </row>
        <row r="368">
          <cell r="B368" t="str">
            <v>FAR812102</v>
          </cell>
          <cell r="C368" t="str">
            <v>812102</v>
          </cell>
          <cell r="D368" t="str">
            <v>EUROTRASP 2,5 cm x 5 mt. (Transpore) x Und. (Caja x 24) Ref 812102</v>
          </cell>
          <cell r="E368" t="str">
            <v>EUROFARM</v>
          </cell>
          <cell r="F368" t="str">
            <v>Transpore-3M</v>
          </cell>
          <cell r="G368" t="str">
            <v>CUIDADO DE HERIDAS</v>
          </cell>
          <cell r="H368" t="str">
            <v>12</v>
          </cell>
          <cell r="I368" t="str">
            <v>CJX24</v>
          </cell>
          <cell r="J368">
            <v>1</v>
          </cell>
          <cell r="K368">
            <v>0</v>
          </cell>
          <cell r="L368" t="str">
            <v>C</v>
          </cell>
          <cell r="M368">
            <v>172</v>
          </cell>
          <cell r="N368" t="str">
            <v/>
          </cell>
          <cell r="O368">
            <v>0</v>
          </cell>
          <cell r="P368">
            <v>0</v>
          </cell>
          <cell r="Q368">
            <v>34</v>
          </cell>
          <cell r="R368">
            <v>34</v>
          </cell>
          <cell r="S368">
            <v>0</v>
          </cell>
          <cell r="T368">
            <v>356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34</v>
          </cell>
          <cell r="Z368">
            <v>1512</v>
          </cell>
          <cell r="AA368">
            <v>55.6875</v>
          </cell>
          <cell r="AB368">
            <v>85.67</v>
          </cell>
          <cell r="AC368">
            <v>0</v>
          </cell>
          <cell r="AD368">
            <v>85.67</v>
          </cell>
          <cell r="AE368">
            <v>0</v>
          </cell>
          <cell r="AF368">
            <v>1.2375</v>
          </cell>
          <cell r="AG368">
            <v>0.65</v>
          </cell>
        </row>
        <row r="369">
          <cell r="B369" t="str">
            <v>FAR812105</v>
          </cell>
          <cell r="C369" t="str">
            <v>812105</v>
          </cell>
          <cell r="D369" t="str">
            <v>EUROTRASP 5 cm x 5 mt. (Transpore) x Und. (Caja x 12) Ref 812105</v>
          </cell>
          <cell r="E369" t="str">
            <v>EUROFARM</v>
          </cell>
          <cell r="F369" t="str">
            <v>Transpore-3M</v>
          </cell>
          <cell r="G369" t="str">
            <v>CUIDADO DE HERIDAS</v>
          </cell>
          <cell r="H369" t="str">
            <v>13</v>
          </cell>
          <cell r="I369" t="str">
            <v>CJX12</v>
          </cell>
          <cell r="J369">
            <v>1</v>
          </cell>
          <cell r="K369">
            <v>0</v>
          </cell>
          <cell r="L369" t="str">
            <v>C</v>
          </cell>
          <cell r="M369">
            <v>231</v>
          </cell>
          <cell r="N369" t="str">
            <v/>
          </cell>
          <cell r="O369">
            <v>0</v>
          </cell>
          <cell r="P369">
            <v>0</v>
          </cell>
          <cell r="Q369">
            <v>20</v>
          </cell>
          <cell r="R369">
            <v>20</v>
          </cell>
          <cell r="S369">
            <v>0</v>
          </cell>
          <cell r="T369">
            <v>351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20</v>
          </cell>
          <cell r="Z369">
            <v>1236</v>
          </cell>
          <cell r="AA369">
            <v>111.375</v>
          </cell>
          <cell r="AB369">
            <v>171.35</v>
          </cell>
          <cell r="AC369">
            <v>0</v>
          </cell>
          <cell r="AD369">
            <v>171.35</v>
          </cell>
          <cell r="AE369">
            <v>0</v>
          </cell>
          <cell r="AF369">
            <v>2.4750000000000001</v>
          </cell>
          <cell r="AG369">
            <v>0.65</v>
          </cell>
        </row>
        <row r="370">
          <cell r="B370" t="str">
            <v>HOS512005</v>
          </cell>
          <cell r="C370" t="str">
            <v>512005</v>
          </cell>
          <cell r="D370" t="str">
            <v>EUROTRASP 5 cm x 9,14 mt. (Transpore) x Und. (Caja x 12) Ref 512005</v>
          </cell>
          <cell r="E370" t="str">
            <v>EUROFARM</v>
          </cell>
          <cell r="F370" t="str">
            <v>Transpore-3M</v>
          </cell>
          <cell r="G370" t="str">
            <v>CUIDADO DE HERIDAS</v>
          </cell>
          <cell r="H370" t="str">
            <v>13</v>
          </cell>
          <cell r="I370" t="str">
            <v>CJX12</v>
          </cell>
          <cell r="J370">
            <v>12</v>
          </cell>
          <cell r="K370">
            <v>0</v>
          </cell>
          <cell r="L370" t="str">
            <v/>
          </cell>
          <cell r="M370">
            <v>0</v>
          </cell>
          <cell r="N370" t="str">
            <v/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389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966</v>
          </cell>
          <cell r="AA370">
            <v>62.46</v>
          </cell>
          <cell r="AB370">
            <v>96.09</v>
          </cell>
          <cell r="AC370">
            <v>0</v>
          </cell>
          <cell r="AD370">
            <v>96.09</v>
          </cell>
          <cell r="AE370">
            <v>0</v>
          </cell>
          <cell r="AF370">
            <v>1.3879999999999999</v>
          </cell>
          <cell r="AG370">
            <v>0.65</v>
          </cell>
        </row>
        <row r="371">
          <cell r="B371" t="str">
            <v>HOF512007</v>
          </cell>
          <cell r="C371" t="str">
            <v>512007</v>
          </cell>
          <cell r="D371" t="str">
            <v>EUROTRASP 7,5 cm x 9,14 mt. (Transpore) x FRACCION Ref 512007</v>
          </cell>
          <cell r="E371" t="str">
            <v>EUROFARM</v>
          </cell>
          <cell r="F371" t="str">
            <v/>
          </cell>
          <cell r="G371" t="str">
            <v/>
          </cell>
          <cell r="H371" t="str">
            <v/>
          </cell>
          <cell r="I371" t="str">
            <v>UND</v>
          </cell>
          <cell r="J371">
            <v>1</v>
          </cell>
          <cell r="K371">
            <v>1</v>
          </cell>
          <cell r="L371" t="str">
            <v/>
          </cell>
          <cell r="M371">
            <v>0</v>
          </cell>
          <cell r="N371" t="str">
            <v/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389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18</v>
          </cell>
          <cell r="AA371">
            <v>1.5794999999999999</v>
          </cell>
          <cell r="AB371">
            <v>2.25</v>
          </cell>
          <cell r="AC371">
            <v>0</v>
          </cell>
          <cell r="AD371">
            <v>2.25</v>
          </cell>
          <cell r="AE371">
            <v>0</v>
          </cell>
          <cell r="AF371">
            <v>3.5099999999999999E-2</v>
          </cell>
          <cell r="AG371">
            <v>0.7</v>
          </cell>
        </row>
        <row r="372">
          <cell r="B372" t="str">
            <v>HOS512007</v>
          </cell>
          <cell r="C372" t="str">
            <v>512007</v>
          </cell>
          <cell r="D372" t="str">
            <v>EUROTRASP 7,5 cm x 9,14 mt. (Transpore) x Und. (Caja x 6) Ref 512007</v>
          </cell>
          <cell r="E372" t="str">
            <v>EUROFARM</v>
          </cell>
          <cell r="F372" t="str">
            <v>Transpore-3M</v>
          </cell>
          <cell r="G372" t="str">
            <v>CUIDADO DE HERIDAS</v>
          </cell>
          <cell r="H372" t="str">
            <v>14</v>
          </cell>
          <cell r="I372" t="str">
            <v>CJX6</v>
          </cell>
          <cell r="J372">
            <v>6</v>
          </cell>
          <cell r="K372">
            <v>0</v>
          </cell>
          <cell r="L372" t="str">
            <v/>
          </cell>
          <cell r="M372">
            <v>0</v>
          </cell>
          <cell r="N372" t="str">
            <v/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389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573</v>
          </cell>
          <cell r="AA372">
            <v>84.825000000000003</v>
          </cell>
          <cell r="AB372">
            <v>130.5</v>
          </cell>
          <cell r="AC372">
            <v>0</v>
          </cell>
          <cell r="AD372">
            <v>130.5</v>
          </cell>
          <cell r="AE372">
            <v>0</v>
          </cell>
          <cell r="AF372">
            <v>1.885</v>
          </cell>
          <cell r="AG372">
            <v>0.65</v>
          </cell>
        </row>
        <row r="373">
          <cell r="B373">
            <v>272100106</v>
          </cell>
          <cell r="C373" t="str">
            <v/>
          </cell>
          <cell r="D373" t="str">
            <v>Evenflo Feeding Almohadillas desechables p/ mujeres lactantes, blanca x 60 Und</v>
          </cell>
          <cell r="E373" t="str">
            <v>EVENFLO</v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>
            <v>0</v>
          </cell>
          <cell r="K373">
            <v>0</v>
          </cell>
          <cell r="L373" t="str">
            <v/>
          </cell>
          <cell r="M373">
            <v>0</v>
          </cell>
          <cell r="N373" t="str">
            <v/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389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5</v>
          </cell>
          <cell r="AA373">
            <v>321.83999999999997</v>
          </cell>
          <cell r="AB373">
            <v>402.3</v>
          </cell>
          <cell r="AC373">
            <v>0</v>
          </cell>
          <cell r="AD373">
            <v>402.3</v>
          </cell>
          <cell r="AE373">
            <v>0</v>
          </cell>
          <cell r="AF373">
            <v>7.1520000000000001</v>
          </cell>
          <cell r="AG373">
            <v>0.8</v>
          </cell>
        </row>
        <row r="374">
          <cell r="B374">
            <v>242200927</v>
          </cell>
          <cell r="C374" t="str">
            <v>1119</v>
          </cell>
          <cell r="D374" t="str">
            <v>FAJA DORSOLUMBAR CABALLERO SANAVIT. TALLA S X UNIDAD</v>
          </cell>
          <cell r="E374" t="str">
            <v>SANAVIT</v>
          </cell>
          <cell r="F374" t="str">
            <v/>
          </cell>
          <cell r="G374" t="str">
            <v>TRAUMATOLOGIA FAJAS</v>
          </cell>
          <cell r="H374" t="str">
            <v/>
          </cell>
          <cell r="I374" t="str">
            <v>UND</v>
          </cell>
          <cell r="J374">
            <v>1</v>
          </cell>
          <cell r="K374">
            <v>1</v>
          </cell>
          <cell r="L374" t="str">
            <v/>
          </cell>
          <cell r="M374">
            <v>0</v>
          </cell>
          <cell r="N374" t="str">
            <v/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385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3</v>
          </cell>
          <cell r="AA374">
            <v>3825</v>
          </cell>
          <cell r="AB374">
            <v>7500</v>
          </cell>
          <cell r="AC374">
            <v>0</v>
          </cell>
          <cell r="AD374">
            <v>7500</v>
          </cell>
          <cell r="AE374">
            <v>0</v>
          </cell>
          <cell r="AF374">
            <v>85</v>
          </cell>
          <cell r="AG374">
            <v>0.51</v>
          </cell>
        </row>
        <row r="375">
          <cell r="B375">
            <v>242201344</v>
          </cell>
          <cell r="C375" t="str">
            <v>9018</v>
          </cell>
          <cell r="D375" t="str">
            <v>FERULA DOBLE P/DEDO MARCA SANAVIT TALLA S X UNIDAD</v>
          </cell>
          <cell r="E375" t="str">
            <v>SANAVIT</v>
          </cell>
          <cell r="F375" t="str">
            <v/>
          </cell>
          <cell r="G375" t="str">
            <v>TRAUMATOLOGIA FERULAS</v>
          </cell>
          <cell r="H375" t="str">
            <v/>
          </cell>
          <cell r="I375" t="str">
            <v>UND</v>
          </cell>
          <cell r="J375">
            <v>1</v>
          </cell>
          <cell r="K375">
            <v>1</v>
          </cell>
          <cell r="L375" t="str">
            <v/>
          </cell>
          <cell r="M375">
            <v>0</v>
          </cell>
          <cell r="N375" t="str">
            <v/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385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2</v>
          </cell>
          <cell r="AA375">
            <v>270</v>
          </cell>
          <cell r="AB375">
            <v>490.91</v>
          </cell>
          <cell r="AC375">
            <v>0</v>
          </cell>
          <cell r="AD375">
            <v>490.91</v>
          </cell>
          <cell r="AE375">
            <v>0</v>
          </cell>
          <cell r="AF375">
            <v>6</v>
          </cell>
          <cell r="AG375">
            <v>0.55000000000000004</v>
          </cell>
        </row>
        <row r="376">
          <cell r="B376">
            <v>243300108</v>
          </cell>
          <cell r="C376" t="str">
            <v/>
          </cell>
          <cell r="D376" t="str">
            <v>FLETE AEREO</v>
          </cell>
          <cell r="E376" t="str">
            <v/>
          </cell>
          <cell r="F376" t="str">
            <v/>
          </cell>
          <cell r="G376" t="str">
            <v>OTROS OTROS</v>
          </cell>
          <cell r="H376" t="str">
            <v/>
          </cell>
          <cell r="I376" t="str">
            <v>UND</v>
          </cell>
          <cell r="J376">
            <v>1</v>
          </cell>
          <cell r="K376">
            <v>1</v>
          </cell>
          <cell r="L376" t="str">
            <v/>
          </cell>
          <cell r="M376">
            <v>0</v>
          </cell>
          <cell r="N376" t="str">
            <v/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386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3780</v>
          </cell>
          <cell r="AB376">
            <v>5400</v>
          </cell>
          <cell r="AC376">
            <v>0</v>
          </cell>
          <cell r="AD376">
            <v>5400</v>
          </cell>
          <cell r="AE376">
            <v>0</v>
          </cell>
          <cell r="AF376">
            <v>84</v>
          </cell>
          <cell r="AG376">
            <v>0.7</v>
          </cell>
        </row>
        <row r="377">
          <cell r="B377">
            <v>241040109</v>
          </cell>
          <cell r="C377" t="str">
            <v/>
          </cell>
          <cell r="D377" t="str">
            <v>FUENTE DE PODER HP 717019-001 x Und</v>
          </cell>
          <cell r="E377" t="str">
            <v>0</v>
          </cell>
          <cell r="F377" t="str">
            <v/>
          </cell>
          <cell r="G377" t="str">
            <v/>
          </cell>
          <cell r="H377" t="str">
            <v/>
          </cell>
          <cell r="I377" t="str">
            <v>UND</v>
          </cell>
          <cell r="J377">
            <v>1</v>
          </cell>
          <cell r="K377">
            <v>1</v>
          </cell>
          <cell r="L377" t="str">
            <v/>
          </cell>
          <cell r="M377">
            <v>0</v>
          </cell>
          <cell r="N377" t="str">
            <v/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389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5850</v>
          </cell>
          <cell r="AB377">
            <v>11250</v>
          </cell>
          <cell r="AC377">
            <v>0</v>
          </cell>
          <cell r="AD377">
            <v>11250</v>
          </cell>
          <cell r="AE377">
            <v>0</v>
          </cell>
          <cell r="AF377">
            <v>130</v>
          </cell>
          <cell r="AG377">
            <v>0.52</v>
          </cell>
        </row>
        <row r="378">
          <cell r="B378">
            <v>242300609</v>
          </cell>
          <cell r="C378" t="str">
            <v>242300609</v>
          </cell>
          <cell r="D378" t="str">
            <v>GASA ESTERIL 3" x 3" (Sobre x 2 Und). Bulto x 1200 Sobres - Marca IP Medical x Und</v>
          </cell>
          <cell r="E378" t="str">
            <v>MC MEDICAL</v>
          </cell>
          <cell r="F378" t="str">
            <v/>
          </cell>
          <cell r="G378" t="str">
            <v>GASAS ESTERILES</v>
          </cell>
          <cell r="H378" t="str">
            <v/>
          </cell>
          <cell r="I378" t="str">
            <v>CJX900</v>
          </cell>
          <cell r="J378">
            <v>1</v>
          </cell>
          <cell r="K378">
            <v>1</v>
          </cell>
          <cell r="L378" t="str">
            <v/>
          </cell>
          <cell r="M378">
            <v>0</v>
          </cell>
          <cell r="N378" t="str">
            <v/>
          </cell>
          <cell r="O378">
            <v>0</v>
          </cell>
          <cell r="P378">
            <v>500</v>
          </cell>
          <cell r="Q378">
            <v>0</v>
          </cell>
          <cell r="R378">
            <v>0</v>
          </cell>
          <cell r="S378">
            <v>0</v>
          </cell>
          <cell r="T378">
            <v>385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4.194</v>
          </cell>
          <cell r="AB378">
            <v>6.45</v>
          </cell>
          <cell r="AC378">
            <v>0</v>
          </cell>
          <cell r="AD378">
            <v>6.45</v>
          </cell>
          <cell r="AE378">
            <v>0</v>
          </cell>
          <cell r="AF378">
            <v>9.3200000000000005E-2</v>
          </cell>
          <cell r="AG378">
            <v>0.65</v>
          </cell>
        </row>
        <row r="379">
          <cell r="B379">
            <v>242300613</v>
          </cell>
          <cell r="C379" t="str">
            <v/>
          </cell>
          <cell r="D379" t="str">
            <v>GASA ESTERIL 3" x 3" (Sobre x 2 unds.) Marca PROCARE x Und</v>
          </cell>
          <cell r="E379" t="str">
            <v>PROCARE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>
            <v>1</v>
          </cell>
          <cell r="K379">
            <v>1</v>
          </cell>
          <cell r="L379" t="str">
            <v>C</v>
          </cell>
          <cell r="M379">
            <v>364</v>
          </cell>
          <cell r="N379" t="str">
            <v/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262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2400</v>
          </cell>
          <cell r="AA379">
            <v>2.8079999999999998</v>
          </cell>
          <cell r="AB379">
            <v>3.74</v>
          </cell>
          <cell r="AC379">
            <v>0</v>
          </cell>
          <cell r="AD379">
            <v>3.74</v>
          </cell>
          <cell r="AE379">
            <v>0</v>
          </cell>
          <cell r="AF379">
            <v>6.2399999999999997E-2</v>
          </cell>
          <cell r="AG379">
            <v>0.75</v>
          </cell>
        </row>
        <row r="380">
          <cell r="B380">
            <v>241030203</v>
          </cell>
          <cell r="C380" t="str">
            <v/>
          </cell>
          <cell r="D380" t="str">
            <v>GATOS HIDRAULICO</v>
          </cell>
          <cell r="E380" t="str">
            <v/>
          </cell>
          <cell r="F380" t="str">
            <v/>
          </cell>
          <cell r="G380" t="str">
            <v>ESTERILIZACIÓN AMPOLLA STERI GAS</v>
          </cell>
          <cell r="H380" t="str">
            <v/>
          </cell>
          <cell r="I380" t="str">
            <v>UND</v>
          </cell>
          <cell r="J380">
            <v>1</v>
          </cell>
          <cell r="K380">
            <v>1</v>
          </cell>
          <cell r="L380" t="str">
            <v/>
          </cell>
          <cell r="M380">
            <v>0</v>
          </cell>
          <cell r="N380" t="str">
            <v/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389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2</v>
          </cell>
          <cell r="AA380">
            <v>6468.75</v>
          </cell>
          <cell r="AB380">
            <v>8085.94</v>
          </cell>
          <cell r="AC380">
            <v>0</v>
          </cell>
          <cell r="AD380">
            <v>8085.94</v>
          </cell>
          <cell r="AE380">
            <v>0</v>
          </cell>
          <cell r="AF380">
            <v>143.75</v>
          </cell>
          <cell r="AG380">
            <v>0.8</v>
          </cell>
        </row>
        <row r="381">
          <cell r="B381">
            <v>241020101</v>
          </cell>
          <cell r="C381" t="str">
            <v/>
          </cell>
          <cell r="D381" t="str">
            <v>GERDEX GALON X UNIDAD</v>
          </cell>
          <cell r="E381" t="str">
            <v>RODENEZA</v>
          </cell>
          <cell r="F381" t="str">
            <v/>
          </cell>
          <cell r="G381" t="str">
            <v>ESTERILIZACIÓN GERDEX</v>
          </cell>
          <cell r="H381" t="str">
            <v/>
          </cell>
          <cell r="I381" t="str">
            <v/>
          </cell>
          <cell r="J381">
            <v>1</v>
          </cell>
          <cell r="K381">
            <v>1</v>
          </cell>
          <cell r="L381" t="str">
            <v/>
          </cell>
          <cell r="M381">
            <v>0</v>
          </cell>
          <cell r="N381" t="str">
            <v/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388</v>
          </cell>
          <cell r="U381">
            <v>0</v>
          </cell>
          <cell r="V381">
            <v>20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742.95</v>
          </cell>
          <cell r="AB381">
            <v>1238.25</v>
          </cell>
          <cell r="AC381">
            <v>0</v>
          </cell>
          <cell r="AD381">
            <v>1238.25</v>
          </cell>
          <cell r="AE381">
            <v>0</v>
          </cell>
          <cell r="AF381">
            <v>16.510000000000002</v>
          </cell>
          <cell r="AG381">
            <v>0.6</v>
          </cell>
        </row>
        <row r="382">
          <cell r="B382">
            <v>250100109</v>
          </cell>
          <cell r="C382" t="str">
            <v/>
          </cell>
          <cell r="D382" t="str">
            <v>GLUCOMETRO C/10 LANCETAS Marca Prestige</v>
          </cell>
          <cell r="E382" t="str">
            <v>PRESTIGE</v>
          </cell>
          <cell r="F382" t="str">
            <v/>
          </cell>
          <cell r="G382" t="str">
            <v>GLICEMIA GLUCOMETRO</v>
          </cell>
          <cell r="H382" t="str">
            <v/>
          </cell>
          <cell r="I382" t="str">
            <v>UND</v>
          </cell>
          <cell r="J382">
            <v>1</v>
          </cell>
          <cell r="K382">
            <v>1</v>
          </cell>
          <cell r="L382" t="str">
            <v/>
          </cell>
          <cell r="M382">
            <v>0</v>
          </cell>
          <cell r="N382" t="str">
            <v/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389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4</v>
          </cell>
          <cell r="AA382">
            <v>426.31650000000002</v>
          </cell>
          <cell r="AB382">
            <v>775.12</v>
          </cell>
          <cell r="AC382">
            <v>0</v>
          </cell>
          <cell r="AD382">
            <v>775.12</v>
          </cell>
          <cell r="AE382">
            <v>0</v>
          </cell>
          <cell r="AF382">
            <v>9.4736999999999991</v>
          </cell>
          <cell r="AG382">
            <v>0.55000000000000004</v>
          </cell>
        </row>
        <row r="383">
          <cell r="B383">
            <v>250100210</v>
          </cell>
          <cell r="C383" t="str">
            <v/>
          </cell>
          <cell r="D383" t="str">
            <v>GLUCOMETRO SIN TIRAS Marca MCKESSON</v>
          </cell>
          <cell r="E383" t="str">
            <v>MCKESSON</v>
          </cell>
          <cell r="F383" t="str">
            <v/>
          </cell>
          <cell r="G383" t="str">
            <v/>
          </cell>
          <cell r="H383" t="str">
            <v/>
          </cell>
          <cell r="I383" t="str">
            <v>UND</v>
          </cell>
          <cell r="J383">
            <v>1</v>
          </cell>
          <cell r="K383">
            <v>1</v>
          </cell>
          <cell r="L383" t="str">
            <v/>
          </cell>
          <cell r="M383">
            <v>0</v>
          </cell>
          <cell r="N383" t="str">
            <v/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242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86.625</v>
          </cell>
          <cell r="AB383">
            <v>173.25</v>
          </cell>
          <cell r="AC383">
            <v>0</v>
          </cell>
          <cell r="AD383">
            <v>173.25</v>
          </cell>
          <cell r="AE383">
            <v>0</v>
          </cell>
          <cell r="AF383">
            <v>1.925</v>
          </cell>
          <cell r="AG383">
            <v>0.5</v>
          </cell>
        </row>
        <row r="384">
          <cell r="B384">
            <v>243450101</v>
          </cell>
          <cell r="C384" t="str">
            <v/>
          </cell>
          <cell r="D384" t="str">
            <v>GORRO DE ENFERMERA BLANCO MARCA MMQ x Und</v>
          </cell>
          <cell r="E384" t="str">
            <v>SAMAR</v>
          </cell>
          <cell r="F384" t="str">
            <v/>
          </cell>
          <cell r="G384" t="str">
            <v>LENCERIA GORROS</v>
          </cell>
          <cell r="H384" t="str">
            <v/>
          </cell>
          <cell r="I384" t="str">
            <v>CJX50</v>
          </cell>
          <cell r="J384">
            <v>50</v>
          </cell>
          <cell r="K384">
            <v>1</v>
          </cell>
          <cell r="L384" t="str">
            <v/>
          </cell>
          <cell r="M384">
            <v>0</v>
          </cell>
          <cell r="N384" t="str">
            <v/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389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5000</v>
          </cell>
          <cell r="AA384">
            <v>2.25</v>
          </cell>
          <cell r="AB384">
            <v>3.46</v>
          </cell>
          <cell r="AC384">
            <v>0</v>
          </cell>
          <cell r="AD384">
            <v>3.46</v>
          </cell>
          <cell r="AE384">
            <v>0</v>
          </cell>
          <cell r="AF384">
            <v>0.05</v>
          </cell>
          <cell r="AG384">
            <v>0.6502</v>
          </cell>
        </row>
        <row r="385">
          <cell r="B385">
            <v>243450105</v>
          </cell>
          <cell r="C385" t="str">
            <v/>
          </cell>
          <cell r="D385" t="str">
            <v>GORRO DE ENFERMERA MARCA SANAVIT X Und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>UND</v>
          </cell>
          <cell r="J385">
            <v>1</v>
          </cell>
          <cell r="K385">
            <v>1</v>
          </cell>
          <cell r="L385" t="str">
            <v/>
          </cell>
          <cell r="M385">
            <v>0</v>
          </cell>
          <cell r="N385" t="str">
            <v/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389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1000</v>
          </cell>
          <cell r="AA385">
            <v>22.5</v>
          </cell>
          <cell r="AB385">
            <v>34.61</v>
          </cell>
          <cell r="AC385">
            <v>0</v>
          </cell>
          <cell r="AD385">
            <v>34.61</v>
          </cell>
          <cell r="AE385">
            <v>0</v>
          </cell>
          <cell r="AF385">
            <v>0.5</v>
          </cell>
          <cell r="AG385">
            <v>0.65</v>
          </cell>
        </row>
        <row r="386">
          <cell r="B386">
            <v>253400204</v>
          </cell>
          <cell r="C386" t="str">
            <v>253400204</v>
          </cell>
          <cell r="D386" t="str">
            <v>GUANTE DE NITRILO TALLA "M" DIPHOCARE COLOR AZUL/\Presentacion Caja x 100 Unds.</v>
          </cell>
          <cell r="E386" t="str">
            <v>DIPHOSYC</v>
          </cell>
          <cell r="F386" t="str">
            <v/>
          </cell>
          <cell r="G386" t="str">
            <v>GUANTES NITRILO</v>
          </cell>
          <cell r="H386" t="str">
            <v/>
          </cell>
          <cell r="I386" t="str">
            <v>UND</v>
          </cell>
          <cell r="J386">
            <v>1</v>
          </cell>
          <cell r="K386">
            <v>1</v>
          </cell>
          <cell r="L386" t="str">
            <v>C</v>
          </cell>
          <cell r="M386">
            <v>336</v>
          </cell>
          <cell r="N386" t="str">
            <v/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180</v>
          </cell>
          <cell r="AB386">
            <v>276.92</v>
          </cell>
          <cell r="AC386">
            <v>0</v>
          </cell>
          <cell r="AD386">
            <v>276.92</v>
          </cell>
          <cell r="AE386">
            <v>0</v>
          </cell>
          <cell r="AF386">
            <v>4</v>
          </cell>
          <cell r="AG386">
            <v>0.65</v>
          </cell>
        </row>
        <row r="387">
          <cell r="B387">
            <v>253402109</v>
          </cell>
          <cell r="C387" t="str">
            <v/>
          </cell>
          <cell r="D387" t="str">
            <v>GUANTES DE EXAMEN DE NITRILO TALLA "L" Marca Diphocare/\Presentacion Caja x 100 Unds.</v>
          </cell>
          <cell r="E387" t="str">
            <v>DIPHOSYC</v>
          </cell>
          <cell r="F387" t="str">
            <v/>
          </cell>
          <cell r="G387" t="str">
            <v/>
          </cell>
          <cell r="H387" t="str">
            <v/>
          </cell>
          <cell r="I387" t="str">
            <v>CJX100</v>
          </cell>
          <cell r="J387">
            <v>1</v>
          </cell>
          <cell r="K387">
            <v>1</v>
          </cell>
          <cell r="L387" t="str">
            <v>C</v>
          </cell>
          <cell r="M387">
            <v>337</v>
          </cell>
          <cell r="N387" t="str">
            <v/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385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193.5</v>
          </cell>
          <cell r="AB387">
            <v>276.43</v>
          </cell>
          <cell r="AC387">
            <v>0</v>
          </cell>
          <cell r="AD387">
            <v>276.43</v>
          </cell>
          <cell r="AE387">
            <v>0</v>
          </cell>
          <cell r="AF387">
            <v>4.3</v>
          </cell>
          <cell r="AG387">
            <v>0.7</v>
          </cell>
        </row>
        <row r="388">
          <cell r="B388">
            <v>253400105</v>
          </cell>
          <cell r="C388" t="str">
            <v>253400105</v>
          </cell>
          <cell r="D388" t="str">
            <v>GUANTES DE EXAMEN DE NITRILO TALLA "L" Marca Mc Medical - Color Morado/\Presentacion Caja x 100 Unds.</v>
          </cell>
          <cell r="E388" t="str">
            <v>MC MEDICAL</v>
          </cell>
          <cell r="F388" t="str">
            <v/>
          </cell>
          <cell r="G388" t="str">
            <v>GUANTES EXAMEN DE LATEX</v>
          </cell>
          <cell r="H388" t="str">
            <v/>
          </cell>
          <cell r="I388" t="str">
            <v>CJX100</v>
          </cell>
          <cell r="J388">
            <v>1</v>
          </cell>
          <cell r="K388">
            <v>1</v>
          </cell>
          <cell r="L388" t="str">
            <v>C</v>
          </cell>
          <cell r="M388">
            <v>0</v>
          </cell>
          <cell r="N388" t="str">
            <v/>
          </cell>
          <cell r="O388">
            <v>0</v>
          </cell>
          <cell r="P388">
            <v>25</v>
          </cell>
          <cell r="Q388">
            <v>0</v>
          </cell>
          <cell r="R388">
            <v>0</v>
          </cell>
          <cell r="S388">
            <v>0</v>
          </cell>
          <cell r="T388">
            <v>384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211.5</v>
          </cell>
          <cell r="AB388">
            <v>325.39</v>
          </cell>
          <cell r="AC388">
            <v>0</v>
          </cell>
          <cell r="AD388">
            <v>325.39</v>
          </cell>
          <cell r="AE388">
            <v>0</v>
          </cell>
          <cell r="AF388">
            <v>4.7</v>
          </cell>
          <cell r="AG388">
            <v>0.65</v>
          </cell>
        </row>
        <row r="389">
          <cell r="B389">
            <v>253400307</v>
          </cell>
          <cell r="C389" t="str">
            <v>S/REF</v>
          </cell>
          <cell r="D389" t="str">
            <v>GUANTES DE EXAMEN DE NITRILO TALLA "M" Marca Mc Medical - Color Azul /\Presentacion Caja x 100 Unds.</v>
          </cell>
          <cell r="E389" t="str">
            <v>MC MEDICAL</v>
          </cell>
          <cell r="F389" t="str">
            <v/>
          </cell>
          <cell r="G389" t="str">
            <v>GUANTES NITRILO</v>
          </cell>
          <cell r="H389" t="str">
            <v/>
          </cell>
          <cell r="I389" t="str">
            <v>CJX100</v>
          </cell>
          <cell r="J389">
            <v>1</v>
          </cell>
          <cell r="K389">
            <v>1</v>
          </cell>
          <cell r="L389" t="str">
            <v/>
          </cell>
          <cell r="M389">
            <v>0</v>
          </cell>
          <cell r="N389" t="str">
            <v/>
          </cell>
          <cell r="O389">
            <v>0</v>
          </cell>
          <cell r="P389">
            <v>50</v>
          </cell>
          <cell r="Q389">
            <v>0</v>
          </cell>
          <cell r="R389">
            <v>0</v>
          </cell>
          <cell r="S389">
            <v>0</v>
          </cell>
          <cell r="T389">
            <v>213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42</v>
          </cell>
          <cell r="AA389">
            <v>211.5</v>
          </cell>
          <cell r="AB389">
            <v>325.39</v>
          </cell>
          <cell r="AC389">
            <v>0</v>
          </cell>
          <cell r="AD389">
            <v>325.39</v>
          </cell>
          <cell r="AE389">
            <v>0</v>
          </cell>
          <cell r="AF389">
            <v>4.7</v>
          </cell>
          <cell r="AG389">
            <v>0.65</v>
          </cell>
        </row>
        <row r="390">
          <cell r="B390">
            <v>272100107</v>
          </cell>
          <cell r="C390" t="str">
            <v/>
          </cell>
          <cell r="D390" t="str">
            <v>Green Sprouts fruta fresca Calmante Mordedor x Und</v>
          </cell>
          <cell r="E390" t="str">
            <v>GREEN SPROUTS</v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>
            <v>0</v>
          </cell>
          <cell r="K390">
            <v>0</v>
          </cell>
          <cell r="L390" t="str">
            <v/>
          </cell>
          <cell r="M390">
            <v>0</v>
          </cell>
          <cell r="N390" t="str">
            <v/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389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12</v>
          </cell>
          <cell r="AA390">
            <v>179.64</v>
          </cell>
          <cell r="AB390">
            <v>224.55</v>
          </cell>
          <cell r="AC390">
            <v>0</v>
          </cell>
          <cell r="AD390">
            <v>224.55</v>
          </cell>
          <cell r="AE390">
            <v>0</v>
          </cell>
          <cell r="AF390">
            <v>3.992</v>
          </cell>
          <cell r="AG390">
            <v>0.8</v>
          </cell>
        </row>
        <row r="391">
          <cell r="B391">
            <v>242350010</v>
          </cell>
          <cell r="C391" t="str">
            <v/>
          </cell>
          <cell r="D391" t="str">
            <v>HIGH SPEED 8K X 8EEPROM PDIP28. XICOR X28HC64P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>UND</v>
          </cell>
          <cell r="J391">
            <v>1</v>
          </cell>
          <cell r="K391">
            <v>1</v>
          </cell>
          <cell r="L391" t="str">
            <v/>
          </cell>
          <cell r="M391">
            <v>0</v>
          </cell>
          <cell r="N391" t="str">
            <v/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389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4</v>
          </cell>
          <cell r="AA391">
            <v>5323.5</v>
          </cell>
          <cell r="AB391">
            <v>8190</v>
          </cell>
          <cell r="AC391">
            <v>0</v>
          </cell>
          <cell r="AD391">
            <v>8190</v>
          </cell>
          <cell r="AE391">
            <v>0</v>
          </cell>
          <cell r="AF391">
            <v>118.3</v>
          </cell>
          <cell r="AG391">
            <v>0.65</v>
          </cell>
        </row>
        <row r="392">
          <cell r="B392" t="str">
            <v>FAR501705</v>
          </cell>
          <cell r="C392" t="str">
            <v>501705</v>
          </cell>
          <cell r="D392" t="str">
            <v>HYDROMED GEL TUBO 15 GR. (Cutimed Gel) x Und. Ref 501705</v>
          </cell>
          <cell r="E392" t="str">
            <v>EUROFARM</v>
          </cell>
          <cell r="F392" t="str">
            <v>Hydrogel-3M - Cutimed Gel-BSN</v>
          </cell>
          <cell r="G392" t="str">
            <v>CUIDADO DE HERIDAS</v>
          </cell>
          <cell r="H392" t="str">
            <v>38</v>
          </cell>
          <cell r="I392" t="str">
            <v>UND</v>
          </cell>
          <cell r="J392">
            <v>1</v>
          </cell>
          <cell r="K392">
            <v>0</v>
          </cell>
          <cell r="L392" t="str">
            <v>C</v>
          </cell>
          <cell r="M392">
            <v>28</v>
          </cell>
          <cell r="N392" t="str">
            <v/>
          </cell>
          <cell r="O392">
            <v>0</v>
          </cell>
          <cell r="P392">
            <v>0</v>
          </cell>
          <cell r="Q392">
            <v>40</v>
          </cell>
          <cell r="R392">
            <v>40</v>
          </cell>
          <cell r="S392">
            <v>0</v>
          </cell>
          <cell r="T392">
            <v>365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40</v>
          </cell>
          <cell r="Z392">
            <v>94</v>
          </cell>
          <cell r="AA392">
            <v>86.625</v>
          </cell>
          <cell r="AB392">
            <v>173.25</v>
          </cell>
          <cell r="AC392">
            <v>0</v>
          </cell>
          <cell r="AD392">
            <v>173.25</v>
          </cell>
          <cell r="AE392">
            <v>0</v>
          </cell>
          <cell r="AF392">
            <v>1.925</v>
          </cell>
          <cell r="AG392">
            <v>0.5</v>
          </cell>
        </row>
        <row r="393">
          <cell r="B393">
            <v>242201770</v>
          </cell>
          <cell r="C393" t="str">
            <v>1109</v>
          </cell>
          <cell r="D393" t="str">
            <v>INMOVILIZADOR DE HOMBRO DAMA  Talla S Marca Sanavit x Und</v>
          </cell>
          <cell r="E393" t="str">
            <v>SANAVIT</v>
          </cell>
          <cell r="F393" t="str">
            <v/>
          </cell>
          <cell r="G393" t="str">
            <v/>
          </cell>
          <cell r="H393" t="str">
            <v/>
          </cell>
          <cell r="I393" t="str">
            <v>UND</v>
          </cell>
          <cell r="J393">
            <v>1</v>
          </cell>
          <cell r="K393">
            <v>1</v>
          </cell>
          <cell r="L393" t="str">
            <v/>
          </cell>
          <cell r="M393">
            <v>0</v>
          </cell>
          <cell r="N393" t="str">
            <v/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389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2</v>
          </cell>
          <cell r="AA393">
            <v>990</v>
          </cell>
          <cell r="AB393">
            <v>1650</v>
          </cell>
          <cell r="AC393">
            <v>0</v>
          </cell>
          <cell r="AD393">
            <v>1650</v>
          </cell>
          <cell r="AE393">
            <v>0</v>
          </cell>
          <cell r="AF393">
            <v>22</v>
          </cell>
          <cell r="AG393">
            <v>0.6</v>
          </cell>
        </row>
        <row r="394">
          <cell r="B394">
            <v>242201307</v>
          </cell>
          <cell r="C394" t="str">
            <v>7455612</v>
          </cell>
          <cell r="D394" t="str">
            <v>INMOVILIZADOR DE HOMBRO UMERUS AIR Talla L - Marca BSN Medical x Und</v>
          </cell>
          <cell r="E394" t="str">
            <v>BSN MEDICAL</v>
          </cell>
          <cell r="F394" t="str">
            <v/>
          </cell>
          <cell r="G394" t="str">
            <v>TRAUMATOLOGIA INMOVILIZADOR HOMBRO</v>
          </cell>
          <cell r="H394" t="str">
            <v/>
          </cell>
          <cell r="I394" t="str">
            <v>UND</v>
          </cell>
          <cell r="J394">
            <v>1</v>
          </cell>
          <cell r="K394">
            <v>1</v>
          </cell>
          <cell r="L394" t="str">
            <v/>
          </cell>
          <cell r="M394">
            <v>0</v>
          </cell>
          <cell r="N394" t="str">
            <v/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389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16</v>
          </cell>
          <cell r="AA394">
            <v>590.85</v>
          </cell>
          <cell r="AB394">
            <v>844.07</v>
          </cell>
          <cell r="AC394">
            <v>0</v>
          </cell>
          <cell r="AD394">
            <v>844.07</v>
          </cell>
          <cell r="AE394">
            <v>0</v>
          </cell>
          <cell r="AF394">
            <v>13.13</v>
          </cell>
          <cell r="AG394">
            <v>0.7</v>
          </cell>
        </row>
        <row r="395">
          <cell r="B395">
            <v>242201306</v>
          </cell>
          <cell r="C395" t="str">
            <v>7455611</v>
          </cell>
          <cell r="D395" t="str">
            <v>INMOVILIZADOR DE HOMBRO UMERUS AIR Talla M - Marca BSN Medical x Und</v>
          </cell>
          <cell r="E395" t="str">
            <v>BSN MEDICAL</v>
          </cell>
          <cell r="F395" t="str">
            <v/>
          </cell>
          <cell r="G395" t="str">
            <v>TRAUMATOLOGIA INMOVILIZADOR HOMBRO</v>
          </cell>
          <cell r="H395" t="str">
            <v/>
          </cell>
          <cell r="I395" t="str">
            <v>UND</v>
          </cell>
          <cell r="J395">
            <v>1</v>
          </cell>
          <cell r="K395">
            <v>1</v>
          </cell>
          <cell r="L395" t="str">
            <v/>
          </cell>
          <cell r="M395">
            <v>0</v>
          </cell>
          <cell r="N395" t="str">
            <v/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389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29</v>
          </cell>
          <cell r="AA395">
            <v>710.1</v>
          </cell>
          <cell r="AB395">
            <v>1014.43</v>
          </cell>
          <cell r="AC395">
            <v>0</v>
          </cell>
          <cell r="AD395">
            <v>1014.43</v>
          </cell>
          <cell r="AE395">
            <v>0</v>
          </cell>
          <cell r="AF395">
            <v>15.78</v>
          </cell>
          <cell r="AG395">
            <v>0.7</v>
          </cell>
        </row>
        <row r="396">
          <cell r="B396">
            <v>242201318</v>
          </cell>
          <cell r="C396" t="str">
            <v>1115</v>
          </cell>
          <cell r="D396" t="str">
            <v>INMOVILIZADOR DE RODILLA 20" XL - Marca Sanavit x Und</v>
          </cell>
          <cell r="E396" t="str">
            <v>SANAVIT</v>
          </cell>
          <cell r="F396" t="str">
            <v/>
          </cell>
          <cell r="G396" t="str">
            <v>TRAUMATOLOGIA INMOVILIZADOR RODILLA</v>
          </cell>
          <cell r="H396" t="str">
            <v/>
          </cell>
          <cell r="I396" t="str">
            <v>UND</v>
          </cell>
          <cell r="J396">
            <v>1</v>
          </cell>
          <cell r="K396">
            <v>1</v>
          </cell>
          <cell r="L396" t="str">
            <v/>
          </cell>
          <cell r="M396">
            <v>0</v>
          </cell>
          <cell r="N396" t="str">
            <v/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386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2</v>
          </cell>
          <cell r="AA396">
            <v>1305</v>
          </cell>
          <cell r="AB396">
            <v>2372.73</v>
          </cell>
          <cell r="AC396">
            <v>0</v>
          </cell>
          <cell r="AD396">
            <v>2372.73</v>
          </cell>
          <cell r="AE396">
            <v>0</v>
          </cell>
          <cell r="AF396">
            <v>29</v>
          </cell>
          <cell r="AG396">
            <v>0.55000000000000004</v>
          </cell>
        </row>
        <row r="397">
          <cell r="B397">
            <v>242400601</v>
          </cell>
          <cell r="C397" t="str">
            <v/>
          </cell>
          <cell r="D397" t="str">
            <v>KIT DE CAMA 3 PIEZAS Marca MMQ x Und</v>
          </cell>
          <cell r="E397" t="str">
            <v>MEDITEX</v>
          </cell>
          <cell r="F397" t="str">
            <v/>
          </cell>
          <cell r="G397" t="str">
            <v>LENCERIA KIT DE CAMA</v>
          </cell>
          <cell r="H397" t="str">
            <v/>
          </cell>
          <cell r="I397" t="str">
            <v>CJX30</v>
          </cell>
          <cell r="J397">
            <v>1</v>
          </cell>
          <cell r="K397">
            <v>1</v>
          </cell>
          <cell r="L397" t="str">
            <v/>
          </cell>
          <cell r="M397">
            <v>0</v>
          </cell>
          <cell r="N397" t="str">
            <v/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387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200</v>
          </cell>
          <cell r="AA397">
            <v>108</v>
          </cell>
          <cell r="AB397">
            <v>166.15</v>
          </cell>
          <cell r="AC397">
            <v>0</v>
          </cell>
          <cell r="AD397">
            <v>166.15</v>
          </cell>
          <cell r="AE397">
            <v>0</v>
          </cell>
          <cell r="AF397">
            <v>2.4</v>
          </cell>
          <cell r="AG397">
            <v>0.65</v>
          </cell>
        </row>
        <row r="398">
          <cell r="B398">
            <v>242400803</v>
          </cell>
          <cell r="C398" t="str">
            <v/>
          </cell>
          <cell r="D398" t="str">
            <v>KIT DE LAPAROTOMIA IV KIMBERLY CLARK x Und</v>
          </cell>
          <cell r="E398" t="str">
            <v>VICTUS</v>
          </cell>
          <cell r="F398" t="str">
            <v/>
          </cell>
          <cell r="G398" t="str">
            <v/>
          </cell>
          <cell r="H398" t="str">
            <v/>
          </cell>
          <cell r="I398" t="str">
            <v>UND</v>
          </cell>
          <cell r="J398">
            <v>1</v>
          </cell>
          <cell r="K398">
            <v>1</v>
          </cell>
          <cell r="L398" t="str">
            <v/>
          </cell>
          <cell r="M398">
            <v>0</v>
          </cell>
          <cell r="N398" t="str">
            <v/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387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72</v>
          </cell>
          <cell r="AA398">
            <v>1551.375</v>
          </cell>
          <cell r="AB398">
            <v>2386.73</v>
          </cell>
          <cell r="AC398">
            <v>0</v>
          </cell>
          <cell r="AD398">
            <v>2386.73</v>
          </cell>
          <cell r="AE398">
            <v>0</v>
          </cell>
          <cell r="AF398">
            <v>34.475000000000001</v>
          </cell>
          <cell r="AG398">
            <v>0.65</v>
          </cell>
        </row>
        <row r="399">
          <cell r="B399">
            <v>240650101</v>
          </cell>
          <cell r="C399" t="str">
            <v/>
          </cell>
          <cell r="D399" t="str">
            <v>LAPIZ PARA ELECTROCAUTERIO Marca SOLMED x Und./</v>
          </cell>
          <cell r="E399" t="str">
            <v/>
          </cell>
          <cell r="F399" t="str">
            <v/>
          </cell>
          <cell r="G399" t="str">
            <v>LAPIZ ELECTROCAUTERIO</v>
          </cell>
          <cell r="H399" t="str">
            <v/>
          </cell>
          <cell r="I399" t="str">
            <v>UND</v>
          </cell>
          <cell r="J399">
            <v>1</v>
          </cell>
          <cell r="K399">
            <v>1</v>
          </cell>
          <cell r="L399" t="str">
            <v/>
          </cell>
          <cell r="M399">
            <v>0</v>
          </cell>
          <cell r="N399" t="str">
            <v/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389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21.6</v>
          </cell>
          <cell r="AB399">
            <v>46.96</v>
          </cell>
          <cell r="AC399">
            <v>0</v>
          </cell>
          <cell r="AD399">
            <v>46.96</v>
          </cell>
          <cell r="AE399">
            <v>0</v>
          </cell>
          <cell r="AF399">
            <v>0.48</v>
          </cell>
          <cell r="AG399">
            <v>0.46</v>
          </cell>
        </row>
        <row r="400">
          <cell r="B400">
            <v>242450103</v>
          </cell>
          <cell r="C400" t="str">
            <v/>
          </cell>
          <cell r="D400" t="str">
            <v>LAPIZ SUCCION COAGULACION (Ref. E3310 - Valley Lab) - Marca Covidien x Und</v>
          </cell>
          <cell r="E400" t="str">
            <v>COVIDIEN</v>
          </cell>
          <cell r="F400" t="str">
            <v/>
          </cell>
          <cell r="G400" t="str">
            <v>LAPIZ SUCCION</v>
          </cell>
          <cell r="H400" t="str">
            <v/>
          </cell>
          <cell r="I400" t="str">
            <v>UND</v>
          </cell>
          <cell r="J400">
            <v>1</v>
          </cell>
          <cell r="K400">
            <v>1</v>
          </cell>
          <cell r="L400" t="str">
            <v/>
          </cell>
          <cell r="M400">
            <v>0</v>
          </cell>
          <cell r="N400" t="str">
            <v/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389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6</v>
          </cell>
          <cell r="AA400">
            <v>281.25</v>
          </cell>
          <cell r="AB400">
            <v>468.75</v>
          </cell>
          <cell r="AC400">
            <v>0</v>
          </cell>
          <cell r="AD400">
            <v>468.75</v>
          </cell>
          <cell r="AE400">
            <v>0</v>
          </cell>
          <cell r="AF400">
            <v>6.25</v>
          </cell>
          <cell r="AG400">
            <v>0.6</v>
          </cell>
        </row>
        <row r="401">
          <cell r="B401" t="str">
            <v>FAR861002</v>
          </cell>
          <cell r="C401" t="str">
            <v>861002</v>
          </cell>
          <cell r="D401" t="str">
            <v>LONG FIX ALOE 0.5MT X 6CM x Und Ref 861002</v>
          </cell>
          <cell r="E401" t="str">
            <v>EUROFARM</v>
          </cell>
          <cell r="F401" t="str">
            <v>Curita de Aloe recortable</v>
          </cell>
          <cell r="G401" t="str">
            <v/>
          </cell>
          <cell r="H401" t="str">
            <v>25</v>
          </cell>
          <cell r="I401" t="str">
            <v>UND</v>
          </cell>
          <cell r="J401">
            <v>1</v>
          </cell>
          <cell r="K401">
            <v>1</v>
          </cell>
          <cell r="L401" t="str">
            <v/>
          </cell>
          <cell r="M401">
            <v>0</v>
          </cell>
          <cell r="N401" t="str">
            <v/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389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46.395000000000003</v>
          </cell>
          <cell r="AB401">
            <v>58</v>
          </cell>
          <cell r="AC401">
            <v>0</v>
          </cell>
          <cell r="AD401">
            <v>58</v>
          </cell>
          <cell r="AE401">
            <v>0</v>
          </cell>
          <cell r="AF401">
            <v>1.0309999999999999</v>
          </cell>
          <cell r="AG401">
            <v>0.8</v>
          </cell>
        </row>
        <row r="402">
          <cell r="B402" t="str">
            <v>FAR861003</v>
          </cell>
          <cell r="C402" t="str">
            <v>861003</v>
          </cell>
          <cell r="D402" t="str">
            <v>LONG FIX ALOE 0.5MT X 8CM x Und/ Ref 861003</v>
          </cell>
          <cell r="E402" t="str">
            <v>EUROFARM</v>
          </cell>
          <cell r="F402" t="str">
            <v>Curita de Aloe recortable</v>
          </cell>
          <cell r="G402" t="str">
            <v/>
          </cell>
          <cell r="H402" t="str">
            <v>25</v>
          </cell>
          <cell r="I402" t="str">
            <v>UND</v>
          </cell>
          <cell r="J402">
            <v>1</v>
          </cell>
          <cell r="K402">
            <v>1</v>
          </cell>
          <cell r="L402" t="str">
            <v/>
          </cell>
          <cell r="M402">
            <v>0</v>
          </cell>
          <cell r="N402" t="str">
            <v/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389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55.6875</v>
          </cell>
          <cell r="AB402">
            <v>69.61</v>
          </cell>
          <cell r="AC402">
            <v>0</v>
          </cell>
          <cell r="AD402">
            <v>69.61</v>
          </cell>
          <cell r="AE402">
            <v>0</v>
          </cell>
          <cell r="AF402">
            <v>1.2375</v>
          </cell>
          <cell r="AG402">
            <v>0.8</v>
          </cell>
        </row>
        <row r="403">
          <cell r="B403">
            <v>272100108</v>
          </cell>
          <cell r="C403" t="str">
            <v/>
          </cell>
          <cell r="D403" t="str">
            <v>MAM Easy Start - Botella anticólicos x Und</v>
          </cell>
          <cell r="E403" t="str">
            <v>MAM EASY</v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>
            <v>0</v>
          </cell>
          <cell r="K403">
            <v>0</v>
          </cell>
          <cell r="L403" t="str">
            <v/>
          </cell>
          <cell r="M403">
            <v>0</v>
          </cell>
          <cell r="N403" t="str">
            <v/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389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6</v>
          </cell>
          <cell r="AA403">
            <v>213.84</v>
          </cell>
          <cell r="AB403">
            <v>267.3</v>
          </cell>
          <cell r="AC403">
            <v>0</v>
          </cell>
          <cell r="AD403">
            <v>267.3</v>
          </cell>
          <cell r="AE403">
            <v>0</v>
          </cell>
          <cell r="AF403">
            <v>4.7519999999999998</v>
          </cell>
          <cell r="AG403">
            <v>0.8</v>
          </cell>
        </row>
        <row r="404">
          <cell r="B404">
            <v>250200220</v>
          </cell>
          <cell r="C404" t="str">
            <v/>
          </cell>
          <cell r="D404" t="str">
            <v>MANOS LIBRES (HEADSET)</v>
          </cell>
          <cell r="E404" t="str">
            <v/>
          </cell>
          <cell r="F404" t="str">
            <v/>
          </cell>
          <cell r="G404" t="str">
            <v>APOSITOS ACTISORB</v>
          </cell>
          <cell r="H404" t="str">
            <v/>
          </cell>
          <cell r="I404" t="str">
            <v>UND</v>
          </cell>
          <cell r="J404">
            <v>1</v>
          </cell>
          <cell r="K404">
            <v>1</v>
          </cell>
          <cell r="L404" t="str">
            <v/>
          </cell>
          <cell r="M404">
            <v>0</v>
          </cell>
          <cell r="N404" t="str">
            <v/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389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4</v>
          </cell>
          <cell r="AA404">
            <v>1228.5</v>
          </cell>
          <cell r="AB404">
            <v>1755</v>
          </cell>
          <cell r="AC404">
            <v>0</v>
          </cell>
          <cell r="AD404">
            <v>1755</v>
          </cell>
          <cell r="AE404">
            <v>0</v>
          </cell>
          <cell r="AF404">
            <v>27.3</v>
          </cell>
          <cell r="AG404">
            <v>0.7</v>
          </cell>
        </row>
        <row r="405">
          <cell r="B405">
            <v>243050210</v>
          </cell>
          <cell r="C405" t="str">
            <v>1240</v>
          </cell>
          <cell r="D405" t="str">
            <v>MASCARA DE VENTURY CON 6 VALVULAS (REF.001240) VYAIREx Und</v>
          </cell>
          <cell r="E405" t="str">
            <v>VYAIRE</v>
          </cell>
          <cell r="F405" t="str">
            <v/>
          </cell>
          <cell r="G405" t="str">
            <v>MASCARAS TIPO VENTURY</v>
          </cell>
          <cell r="H405" t="str">
            <v/>
          </cell>
          <cell r="I405" t="str">
            <v>BTOX50</v>
          </cell>
          <cell r="J405">
            <v>1</v>
          </cell>
          <cell r="K405">
            <v>1</v>
          </cell>
          <cell r="L405" t="str">
            <v>C</v>
          </cell>
          <cell r="M405">
            <v>261</v>
          </cell>
          <cell r="N405" t="str">
            <v>C</v>
          </cell>
          <cell r="O405">
            <v>217</v>
          </cell>
          <cell r="P405">
            <v>0</v>
          </cell>
          <cell r="Q405">
            <v>41</v>
          </cell>
          <cell r="R405">
            <v>41</v>
          </cell>
          <cell r="S405">
            <v>0</v>
          </cell>
          <cell r="T405">
            <v>20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41</v>
          </cell>
          <cell r="Z405">
            <v>50</v>
          </cell>
          <cell r="AA405">
            <v>108</v>
          </cell>
          <cell r="AB405">
            <v>154.29</v>
          </cell>
          <cell r="AC405">
            <v>0</v>
          </cell>
          <cell r="AD405">
            <v>154.29</v>
          </cell>
          <cell r="AE405">
            <v>0</v>
          </cell>
          <cell r="AF405">
            <v>2.4</v>
          </cell>
          <cell r="AG405">
            <v>0.7</v>
          </cell>
        </row>
        <row r="406">
          <cell r="B406">
            <v>243201304</v>
          </cell>
          <cell r="C406" t="str">
            <v>2444</v>
          </cell>
          <cell r="D406" t="str">
            <v>MICRONEBULIZADOR C/MASCARA PEDIATRICO Marca Vyaire (Ref.002444) x Und</v>
          </cell>
          <cell r="E406" t="str">
            <v>VYAIRE</v>
          </cell>
          <cell r="F406" t="str">
            <v/>
          </cell>
          <cell r="G406" t="str">
            <v/>
          </cell>
          <cell r="H406" t="str">
            <v/>
          </cell>
          <cell r="I406" t="str">
            <v>CJX50</v>
          </cell>
          <cell r="J406">
            <v>1</v>
          </cell>
          <cell r="K406">
            <v>1</v>
          </cell>
          <cell r="L406" t="str">
            <v>C</v>
          </cell>
          <cell r="M406">
            <v>376</v>
          </cell>
          <cell r="N406" t="str">
            <v/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389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50</v>
          </cell>
          <cell r="AA406">
            <v>80.55</v>
          </cell>
          <cell r="AB406">
            <v>115.07</v>
          </cell>
          <cell r="AC406">
            <v>0</v>
          </cell>
          <cell r="AD406">
            <v>115.07</v>
          </cell>
          <cell r="AE406">
            <v>0</v>
          </cell>
          <cell r="AF406">
            <v>1.79</v>
          </cell>
          <cell r="AG406">
            <v>0.7</v>
          </cell>
        </row>
        <row r="407">
          <cell r="B407">
            <v>241950405</v>
          </cell>
          <cell r="C407" t="str">
            <v/>
          </cell>
          <cell r="D407" t="str">
            <v>MONITOR GRADO MEDICO</v>
          </cell>
          <cell r="E407" t="str">
            <v/>
          </cell>
          <cell r="F407" t="str">
            <v>AMPRONIX  REF LCD1980SXIBK</v>
          </cell>
          <cell r="G407" t="str">
            <v/>
          </cell>
          <cell r="H407" t="str">
            <v/>
          </cell>
          <cell r="I407" t="str">
            <v>UND</v>
          </cell>
          <cell r="J407">
            <v>1</v>
          </cell>
          <cell r="K407">
            <v>1</v>
          </cell>
          <cell r="L407" t="str">
            <v/>
          </cell>
          <cell r="M407">
            <v>0</v>
          </cell>
          <cell r="N407" t="str">
            <v/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389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1</v>
          </cell>
          <cell r="AA407">
            <v>45450</v>
          </cell>
          <cell r="AB407">
            <v>69923.08</v>
          </cell>
          <cell r="AC407">
            <v>0</v>
          </cell>
          <cell r="AD407">
            <v>69923.08</v>
          </cell>
          <cell r="AE407">
            <v>0</v>
          </cell>
          <cell r="AF407">
            <v>1010</v>
          </cell>
          <cell r="AG407">
            <v>0.65</v>
          </cell>
        </row>
        <row r="408">
          <cell r="B408">
            <v>243300202</v>
          </cell>
          <cell r="C408" t="str">
            <v/>
          </cell>
          <cell r="D408" t="str">
            <v>MONO PARA CIRUJANO TALLA "XL" Marca MMQ 45Grs. x Und</v>
          </cell>
          <cell r="E408" t="str">
            <v>MMQ</v>
          </cell>
          <cell r="F408" t="str">
            <v/>
          </cell>
          <cell r="G408" t="str">
            <v>LENCERIA MONOS</v>
          </cell>
          <cell r="H408" t="str">
            <v/>
          </cell>
          <cell r="I408" t="str">
            <v>BTOX50</v>
          </cell>
          <cell r="J408">
            <v>1</v>
          </cell>
          <cell r="K408">
            <v>1</v>
          </cell>
          <cell r="L408" t="str">
            <v/>
          </cell>
          <cell r="M408">
            <v>0</v>
          </cell>
          <cell r="N408" t="str">
            <v/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386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500</v>
          </cell>
          <cell r="AA408">
            <v>72</v>
          </cell>
          <cell r="AB408">
            <v>120</v>
          </cell>
          <cell r="AC408">
            <v>0</v>
          </cell>
          <cell r="AD408">
            <v>120</v>
          </cell>
          <cell r="AE408">
            <v>0</v>
          </cell>
          <cell r="AF408">
            <v>1.6</v>
          </cell>
          <cell r="AG408">
            <v>0.6</v>
          </cell>
        </row>
        <row r="409">
          <cell r="B409">
            <v>272100109</v>
          </cell>
          <cell r="C409" t="str">
            <v/>
          </cell>
          <cell r="D409" t="str">
            <v>Medela, Biberón para amamantar al bebé, Transparente x Und</v>
          </cell>
          <cell r="E409" t="str">
            <v>MEDELA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>
            <v>0</v>
          </cell>
          <cell r="K409">
            <v>0</v>
          </cell>
          <cell r="L409" t="str">
            <v/>
          </cell>
          <cell r="M409">
            <v>0</v>
          </cell>
          <cell r="N409" t="str">
            <v/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389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3</v>
          </cell>
          <cell r="AA409">
            <v>788.76</v>
          </cell>
          <cell r="AB409">
            <v>985.95</v>
          </cell>
          <cell r="AC409">
            <v>0</v>
          </cell>
          <cell r="AD409">
            <v>985.95</v>
          </cell>
          <cell r="AE409">
            <v>0</v>
          </cell>
          <cell r="AF409">
            <v>17.527999999999999</v>
          </cell>
          <cell r="AG409">
            <v>0.8</v>
          </cell>
        </row>
        <row r="410">
          <cell r="B410">
            <v>243050106</v>
          </cell>
          <cell r="C410" t="str">
            <v/>
          </cell>
          <cell r="D410" t="str">
            <v>NARIZ ARTIFICIAL (Airlife) Marca Cardenal Health Ref. 4883003 x Und</v>
          </cell>
          <cell r="E410" t="str">
            <v>CARDINAL HEALTH</v>
          </cell>
          <cell r="F410" t="str">
            <v/>
          </cell>
          <cell r="G410" t="str">
            <v/>
          </cell>
          <cell r="H410" t="str">
            <v/>
          </cell>
          <cell r="I410" t="str">
            <v>CJX20</v>
          </cell>
          <cell r="J410">
            <v>1</v>
          </cell>
          <cell r="K410">
            <v>1</v>
          </cell>
          <cell r="L410" t="str">
            <v/>
          </cell>
          <cell r="M410">
            <v>0</v>
          </cell>
          <cell r="N410" t="str">
            <v/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389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100</v>
          </cell>
          <cell r="AA410">
            <v>130.5</v>
          </cell>
          <cell r="AB410">
            <v>217.5</v>
          </cell>
          <cell r="AC410">
            <v>0</v>
          </cell>
          <cell r="AD410">
            <v>217.5</v>
          </cell>
          <cell r="AE410">
            <v>0</v>
          </cell>
          <cell r="AF410">
            <v>2.9</v>
          </cell>
          <cell r="AG410">
            <v>0.6</v>
          </cell>
        </row>
        <row r="411">
          <cell r="B411">
            <v>252300504</v>
          </cell>
          <cell r="C411" t="str">
            <v>30-060</v>
          </cell>
          <cell r="D411" t="str">
            <v>NEURO SPONGES (COTONOIDE) 1" x 3" (SOBRE x 10 Unds.)  Marca De Royal</v>
          </cell>
          <cell r="E411" t="str">
            <v>DE ROYAL</v>
          </cell>
          <cell r="F411" t="str">
            <v/>
          </cell>
          <cell r="G411" t="str">
            <v>COMPRESAS COTONOIDE</v>
          </cell>
          <cell r="H411" t="str">
            <v/>
          </cell>
          <cell r="I411" t="str">
            <v>CJX10</v>
          </cell>
          <cell r="J411">
            <v>1</v>
          </cell>
          <cell r="K411">
            <v>1</v>
          </cell>
          <cell r="L411" t="str">
            <v/>
          </cell>
          <cell r="M411">
            <v>0</v>
          </cell>
          <cell r="N411" t="str">
            <v/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389</v>
          </cell>
          <cell r="U411">
            <v>0</v>
          </cell>
          <cell r="V411">
            <v>0</v>
          </cell>
          <cell r="W411">
            <v>20</v>
          </cell>
          <cell r="X411">
            <v>0</v>
          </cell>
          <cell r="Y411">
            <v>20</v>
          </cell>
          <cell r="Z411">
            <v>20</v>
          </cell>
          <cell r="AA411">
            <v>576.24300000000005</v>
          </cell>
          <cell r="AB411">
            <v>768.33</v>
          </cell>
          <cell r="AC411">
            <v>0</v>
          </cell>
          <cell r="AD411">
            <v>768.33</v>
          </cell>
          <cell r="AE411">
            <v>0</v>
          </cell>
          <cell r="AF411">
            <v>12.805400000000001</v>
          </cell>
          <cell r="AG411">
            <v>0.75</v>
          </cell>
        </row>
        <row r="412">
          <cell r="B412">
            <v>252300501</v>
          </cell>
          <cell r="C412" t="str">
            <v>30-054</v>
          </cell>
          <cell r="D412" t="str">
            <v>NEURO SPONGES (COTONOIDE) 1/2" x 1/2" (SOBRE x 10 Unds.)  Marca De Royal</v>
          </cell>
          <cell r="E412" t="str">
            <v>DE ROYAL</v>
          </cell>
          <cell r="F412" t="str">
            <v/>
          </cell>
          <cell r="G412" t="str">
            <v>COMPRESAS COTONOIDE</v>
          </cell>
          <cell r="H412" t="str">
            <v/>
          </cell>
          <cell r="I412" t="str">
            <v>CJX10</v>
          </cell>
          <cell r="J412">
            <v>1</v>
          </cell>
          <cell r="K412">
            <v>1</v>
          </cell>
          <cell r="L412" t="str">
            <v/>
          </cell>
          <cell r="M412">
            <v>0</v>
          </cell>
          <cell r="N412" t="str">
            <v/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389</v>
          </cell>
          <cell r="U412">
            <v>0</v>
          </cell>
          <cell r="V412">
            <v>0</v>
          </cell>
          <cell r="W412">
            <v>5</v>
          </cell>
          <cell r="X412">
            <v>0</v>
          </cell>
          <cell r="Y412">
            <v>0</v>
          </cell>
          <cell r="Z412">
            <v>9</v>
          </cell>
          <cell r="AA412">
            <v>537.03899999999999</v>
          </cell>
          <cell r="AB412">
            <v>716.05</v>
          </cell>
          <cell r="AC412">
            <v>0</v>
          </cell>
          <cell r="AD412">
            <v>716.05</v>
          </cell>
          <cell r="AE412">
            <v>0</v>
          </cell>
          <cell r="AF412">
            <v>11.934200000000001</v>
          </cell>
          <cell r="AG412">
            <v>0.75</v>
          </cell>
        </row>
        <row r="413">
          <cell r="B413">
            <v>252300502</v>
          </cell>
          <cell r="C413" t="str">
            <v/>
          </cell>
          <cell r="D413" t="str">
            <v>NEURO SPONGES (COTONOIDE) 3" x 3" (SOBRE x 10 Unds.) Marca De Royal</v>
          </cell>
          <cell r="E413" t="str">
            <v>DE ROYAL</v>
          </cell>
          <cell r="F413" t="str">
            <v/>
          </cell>
          <cell r="G413" t="str">
            <v>COMPRESAS COTONOIDE</v>
          </cell>
          <cell r="H413" t="str">
            <v/>
          </cell>
          <cell r="I413" t="str">
            <v>CJX10</v>
          </cell>
          <cell r="J413">
            <v>1</v>
          </cell>
          <cell r="K413">
            <v>1</v>
          </cell>
          <cell r="L413" t="str">
            <v>C</v>
          </cell>
          <cell r="M413">
            <v>204</v>
          </cell>
          <cell r="N413" t="str">
            <v>C</v>
          </cell>
          <cell r="O413">
            <v>256</v>
          </cell>
          <cell r="P413">
            <v>0</v>
          </cell>
          <cell r="Q413">
            <v>2</v>
          </cell>
          <cell r="R413">
            <v>2</v>
          </cell>
          <cell r="S413">
            <v>0</v>
          </cell>
          <cell r="T413">
            <v>11</v>
          </cell>
          <cell r="U413">
            <v>0</v>
          </cell>
          <cell r="V413">
            <v>0</v>
          </cell>
          <cell r="W413">
            <v>26</v>
          </cell>
          <cell r="X413">
            <v>0</v>
          </cell>
          <cell r="Y413">
            <v>2</v>
          </cell>
          <cell r="Z413">
            <v>15</v>
          </cell>
          <cell r="AA413">
            <v>295.2</v>
          </cell>
          <cell r="AB413">
            <v>454.15</v>
          </cell>
          <cell r="AC413">
            <v>0</v>
          </cell>
          <cell r="AD413">
            <v>454.15</v>
          </cell>
          <cell r="AE413">
            <v>0</v>
          </cell>
          <cell r="AF413">
            <v>6.56</v>
          </cell>
          <cell r="AG413">
            <v>0.65</v>
          </cell>
        </row>
        <row r="414">
          <cell r="B414">
            <v>250450401</v>
          </cell>
          <cell r="C414" t="str">
            <v/>
          </cell>
          <cell r="D414" t="str">
            <v>NEVERA DE MEDICAMENTOS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>UND</v>
          </cell>
          <cell r="J414">
            <v>1</v>
          </cell>
          <cell r="K414">
            <v>1</v>
          </cell>
          <cell r="L414" t="str">
            <v/>
          </cell>
          <cell r="M414">
            <v>0</v>
          </cell>
          <cell r="N414" t="str">
            <v/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389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69131.25</v>
          </cell>
          <cell r="AB414">
            <v>87752.29</v>
          </cell>
          <cell r="AC414">
            <v>0</v>
          </cell>
          <cell r="AD414">
            <v>87752.29</v>
          </cell>
          <cell r="AE414">
            <v>0</v>
          </cell>
          <cell r="AF414">
            <v>1536.25</v>
          </cell>
          <cell r="AG414">
            <v>0.78780000000000006</v>
          </cell>
        </row>
        <row r="415">
          <cell r="B415">
            <v>272100110</v>
          </cell>
          <cell r="C415" t="str">
            <v/>
          </cell>
          <cell r="D415" t="str">
            <v>Nanobebe - Chupetes para bebés 0 a 3 meses x Und</v>
          </cell>
          <cell r="E415" t="str">
            <v>NANOBEBE</v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>
            <v>0</v>
          </cell>
          <cell r="K415">
            <v>0</v>
          </cell>
          <cell r="L415" t="str">
            <v/>
          </cell>
          <cell r="M415">
            <v>0</v>
          </cell>
          <cell r="N415" t="str">
            <v/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389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6</v>
          </cell>
          <cell r="AA415">
            <v>241.2</v>
          </cell>
          <cell r="AB415">
            <v>301.5</v>
          </cell>
          <cell r="AC415">
            <v>0</v>
          </cell>
          <cell r="AD415">
            <v>301.5</v>
          </cell>
          <cell r="AE415">
            <v>0</v>
          </cell>
          <cell r="AF415">
            <v>5.36</v>
          </cell>
          <cell r="AG415">
            <v>0.8</v>
          </cell>
        </row>
        <row r="416">
          <cell r="B416">
            <v>240350111</v>
          </cell>
          <cell r="C416" t="str">
            <v/>
          </cell>
          <cell r="D416" t="str">
            <v>PAPEL POLIPROPILENO 1.01 x 1.01 (50 GR. SSMMS ) Marca MMQ x Und</v>
          </cell>
          <cell r="E416" t="str">
            <v>MEDIC-ART</v>
          </cell>
          <cell r="F416" t="str">
            <v/>
          </cell>
          <cell r="G416" t="str">
            <v>ESTERILIZACIÓN PAPEL DE POLIPROPILENO</v>
          </cell>
          <cell r="H416" t="str">
            <v/>
          </cell>
          <cell r="I416" t="str">
            <v>CJX200</v>
          </cell>
          <cell r="J416">
            <v>1</v>
          </cell>
          <cell r="K416">
            <v>1</v>
          </cell>
          <cell r="L416" t="str">
            <v>C</v>
          </cell>
          <cell r="M416">
            <v>342</v>
          </cell>
          <cell r="N416" t="str">
            <v/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58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5600</v>
          </cell>
          <cell r="AA416">
            <v>36</v>
          </cell>
          <cell r="AB416">
            <v>60</v>
          </cell>
          <cell r="AC416">
            <v>0</v>
          </cell>
          <cell r="AD416">
            <v>60</v>
          </cell>
          <cell r="AE416">
            <v>0</v>
          </cell>
          <cell r="AF416">
            <v>0.8</v>
          </cell>
          <cell r="AG416">
            <v>0.6</v>
          </cell>
        </row>
        <row r="417">
          <cell r="B417">
            <v>272100139</v>
          </cell>
          <cell r="C417" t="str">
            <v/>
          </cell>
          <cell r="D417" t="str">
            <v>PERCHERO INFANTIL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>UND</v>
          </cell>
          <cell r="J417">
            <v>0</v>
          </cell>
          <cell r="K417">
            <v>0</v>
          </cell>
          <cell r="L417" t="str">
            <v/>
          </cell>
          <cell r="M417">
            <v>0</v>
          </cell>
          <cell r="N417" t="str">
            <v/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386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>
            <v>7560</v>
          </cell>
          <cell r="AB417">
            <v>10800</v>
          </cell>
          <cell r="AC417">
            <v>0</v>
          </cell>
          <cell r="AD417">
            <v>10800</v>
          </cell>
          <cell r="AE417">
            <v>0</v>
          </cell>
          <cell r="AF417">
            <v>168</v>
          </cell>
          <cell r="AG417">
            <v>0.7</v>
          </cell>
        </row>
        <row r="418">
          <cell r="B418">
            <v>292250202</v>
          </cell>
          <cell r="C418" t="str">
            <v>292250202</v>
          </cell>
          <cell r="D418" t="str">
            <v>PROTECTOR DE YESO PARA 1/2 BRAZO x 3 Unds Marca Waterproof Ref 292250202</v>
          </cell>
          <cell r="E418" t="str">
            <v>WATERPROFF</v>
          </cell>
          <cell r="F418" t="str">
            <v>Protector Yeso</v>
          </cell>
          <cell r="G418" t="str">
            <v/>
          </cell>
          <cell r="H418" t="str">
            <v/>
          </cell>
          <cell r="I418" t="str">
            <v>UND</v>
          </cell>
          <cell r="J418">
            <v>1</v>
          </cell>
          <cell r="K418">
            <v>1</v>
          </cell>
          <cell r="L418" t="str">
            <v/>
          </cell>
          <cell r="M418">
            <v>0</v>
          </cell>
          <cell r="N418" t="str">
            <v/>
          </cell>
          <cell r="O418">
            <v>0</v>
          </cell>
          <cell r="P418">
            <v>0</v>
          </cell>
          <cell r="Q418">
            <v>3</v>
          </cell>
          <cell r="R418">
            <v>3</v>
          </cell>
          <cell r="S418">
            <v>0</v>
          </cell>
          <cell r="T418">
            <v>369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3</v>
          </cell>
          <cell r="Z418">
            <v>17</v>
          </cell>
          <cell r="AA418">
            <v>382.5</v>
          </cell>
          <cell r="AB418">
            <v>695.45</v>
          </cell>
          <cell r="AC418">
            <v>0</v>
          </cell>
          <cell r="AD418">
            <v>695.45</v>
          </cell>
          <cell r="AE418">
            <v>0</v>
          </cell>
          <cell r="AF418">
            <v>8.5</v>
          </cell>
          <cell r="AG418">
            <v>0.55000000000000004</v>
          </cell>
        </row>
        <row r="419">
          <cell r="B419">
            <v>241250704</v>
          </cell>
          <cell r="C419" t="str">
            <v/>
          </cell>
          <cell r="D419" t="str">
            <v>PUNTA P/ELECTROBISTURI.COLORADO MOD.N104A x Und</v>
          </cell>
          <cell r="E419" t="str">
            <v>STRYKER</v>
          </cell>
          <cell r="F419" t="str">
            <v/>
          </cell>
          <cell r="G419" t="str">
            <v/>
          </cell>
          <cell r="H419" t="str">
            <v/>
          </cell>
          <cell r="I419" t="str">
            <v>UND</v>
          </cell>
          <cell r="J419">
            <v>1</v>
          </cell>
          <cell r="K419">
            <v>1</v>
          </cell>
          <cell r="L419" t="str">
            <v/>
          </cell>
          <cell r="M419">
            <v>0</v>
          </cell>
          <cell r="N419" t="str">
            <v/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387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6</v>
          </cell>
          <cell r="AA419">
            <v>5340.15</v>
          </cell>
          <cell r="AB419">
            <v>16687.97</v>
          </cell>
          <cell r="AC419">
            <v>0</v>
          </cell>
          <cell r="AD419">
            <v>16687.97</v>
          </cell>
          <cell r="AE419">
            <v>0</v>
          </cell>
          <cell r="AF419">
            <v>118.67</v>
          </cell>
          <cell r="AG419">
            <v>0.32</v>
          </cell>
        </row>
        <row r="420">
          <cell r="B420">
            <v>272100111</v>
          </cell>
          <cell r="C420" t="str">
            <v/>
          </cell>
          <cell r="D420" t="str">
            <v>Paños de Muselina grandes de 20 x 10 pulgadas para eructos x Und</v>
          </cell>
          <cell r="E420" t="str">
            <v>MUSELINA</v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>
            <v>0</v>
          </cell>
          <cell r="K420">
            <v>0</v>
          </cell>
          <cell r="L420" t="str">
            <v/>
          </cell>
          <cell r="M420">
            <v>0</v>
          </cell>
          <cell r="N420" t="str">
            <v/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389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12</v>
          </cell>
          <cell r="AA420">
            <v>536.76</v>
          </cell>
          <cell r="AB420">
            <v>670.95</v>
          </cell>
          <cell r="AC420">
            <v>0</v>
          </cell>
          <cell r="AD420">
            <v>670.95</v>
          </cell>
          <cell r="AE420">
            <v>0</v>
          </cell>
          <cell r="AF420">
            <v>11.928000000000001</v>
          </cell>
          <cell r="AG420">
            <v>0.8</v>
          </cell>
        </row>
        <row r="421">
          <cell r="B421">
            <v>272100113</v>
          </cell>
          <cell r="C421" t="str">
            <v/>
          </cell>
          <cell r="D421" t="str">
            <v>Philips AVENT - Chupete, 0-3 meses, 6-18 meses Azul/Verde Paq x 2</v>
          </cell>
          <cell r="E421" t="str">
            <v>PHILIPS AVENT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>
            <v>0</v>
          </cell>
          <cell r="K421">
            <v>0</v>
          </cell>
          <cell r="L421" t="str">
            <v/>
          </cell>
          <cell r="M421">
            <v>0</v>
          </cell>
          <cell r="N421" t="str">
            <v/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389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6</v>
          </cell>
          <cell r="AA421">
            <v>357.84</v>
          </cell>
          <cell r="AB421">
            <v>447.3</v>
          </cell>
          <cell r="AC421">
            <v>0</v>
          </cell>
          <cell r="AD421">
            <v>447.3</v>
          </cell>
          <cell r="AE421">
            <v>0</v>
          </cell>
          <cell r="AF421">
            <v>7.952</v>
          </cell>
          <cell r="AG421">
            <v>0.8</v>
          </cell>
        </row>
        <row r="422">
          <cell r="B422">
            <v>272100114</v>
          </cell>
          <cell r="C422" t="str">
            <v/>
          </cell>
          <cell r="D422" t="str">
            <v>Philips AVENT Biberón anticólico c/ ventilación s/aire 4 Oz Transp SCY701/91 x Und</v>
          </cell>
          <cell r="E422" t="str">
            <v>PHILIPS AVENT</v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>
            <v>0</v>
          </cell>
          <cell r="K422">
            <v>0</v>
          </cell>
          <cell r="L422" t="str">
            <v/>
          </cell>
          <cell r="M422">
            <v>0</v>
          </cell>
          <cell r="N422" t="str">
            <v/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389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6</v>
          </cell>
          <cell r="AA422">
            <v>483.12</v>
          </cell>
          <cell r="AB422">
            <v>603.9</v>
          </cell>
          <cell r="AC422">
            <v>0</v>
          </cell>
          <cell r="AD422">
            <v>603.9</v>
          </cell>
          <cell r="AE422">
            <v>0</v>
          </cell>
          <cell r="AF422">
            <v>10.736000000000001</v>
          </cell>
          <cell r="AG422">
            <v>0.8</v>
          </cell>
        </row>
        <row r="423">
          <cell r="B423">
            <v>272100151</v>
          </cell>
          <cell r="C423" t="str">
            <v/>
          </cell>
          <cell r="D423" t="str">
            <v>Philips AVENT Chupete Ultra Air de 6 a 18 meses, ballena/estrella de mar, paquete de 2, SCF085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>UND</v>
          </cell>
          <cell r="J423">
            <v>1</v>
          </cell>
          <cell r="K423">
            <v>1</v>
          </cell>
          <cell r="L423" t="str">
            <v/>
          </cell>
          <cell r="M423">
            <v>0</v>
          </cell>
          <cell r="N423" t="str">
            <v/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389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6</v>
          </cell>
          <cell r="AA423">
            <v>375.79500000000002</v>
          </cell>
          <cell r="AB423">
            <v>536.85</v>
          </cell>
          <cell r="AC423">
            <v>0</v>
          </cell>
          <cell r="AD423">
            <v>536.85</v>
          </cell>
          <cell r="AE423">
            <v>0</v>
          </cell>
          <cell r="AF423">
            <v>8.3510000000000009</v>
          </cell>
          <cell r="AG423">
            <v>0.7</v>
          </cell>
        </row>
        <row r="424">
          <cell r="B424">
            <v>272100112</v>
          </cell>
          <cell r="C424" t="str">
            <v/>
          </cell>
          <cell r="D424" t="str">
            <v>Philips AVENT- Biberón anticólicos c/ventilación AirFree 266ml Transp SCY703/91</v>
          </cell>
          <cell r="E424" t="str">
            <v>PHILIPS AVENT</v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>
            <v>0</v>
          </cell>
          <cell r="K424">
            <v>0</v>
          </cell>
          <cell r="L424" t="str">
            <v/>
          </cell>
          <cell r="M424">
            <v>0</v>
          </cell>
          <cell r="N424" t="str">
            <v/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389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6</v>
          </cell>
          <cell r="AA424">
            <v>483.12</v>
          </cell>
          <cell r="AB424">
            <v>603.9</v>
          </cell>
          <cell r="AC424">
            <v>0</v>
          </cell>
          <cell r="AD424">
            <v>603.9</v>
          </cell>
          <cell r="AE424">
            <v>0</v>
          </cell>
          <cell r="AF424">
            <v>10.736000000000001</v>
          </cell>
          <cell r="AG424">
            <v>0.8</v>
          </cell>
        </row>
        <row r="425">
          <cell r="B425">
            <v>272100115</v>
          </cell>
          <cell r="C425" t="str">
            <v/>
          </cell>
          <cell r="D425" t="str">
            <v>Philips Avent Biberón anticólico Flow 1 pezón, 2 unidades, SCY761/02</v>
          </cell>
          <cell r="E425" t="str">
            <v>PHILIPS AVENT</v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>
            <v>0</v>
          </cell>
          <cell r="K425">
            <v>0</v>
          </cell>
          <cell r="L425" t="str">
            <v/>
          </cell>
          <cell r="M425">
            <v>0</v>
          </cell>
          <cell r="N425" t="str">
            <v/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389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6</v>
          </cell>
          <cell r="AA425">
            <v>321.83999999999997</v>
          </cell>
          <cell r="AB425">
            <v>402.3</v>
          </cell>
          <cell r="AC425">
            <v>0</v>
          </cell>
          <cell r="AD425">
            <v>402.3</v>
          </cell>
          <cell r="AE425">
            <v>0</v>
          </cell>
          <cell r="AF425">
            <v>7.1520000000000001</v>
          </cell>
          <cell r="AG425">
            <v>0.8</v>
          </cell>
        </row>
        <row r="426">
          <cell r="B426">
            <v>272100116</v>
          </cell>
          <cell r="C426" t="str">
            <v/>
          </cell>
          <cell r="D426" t="str">
            <v>Philips Avent Esterilizador SCF291/00 xUnd</v>
          </cell>
          <cell r="E426" t="str">
            <v>PHILIPS AVENT</v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>
            <v>0</v>
          </cell>
          <cell r="K426">
            <v>0</v>
          </cell>
          <cell r="L426" t="str">
            <v/>
          </cell>
          <cell r="M426">
            <v>0</v>
          </cell>
          <cell r="N426" t="str">
            <v/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389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3</v>
          </cell>
          <cell r="AA426">
            <v>3760.56</v>
          </cell>
          <cell r="AB426">
            <v>4700.7</v>
          </cell>
          <cell r="AC426">
            <v>0</v>
          </cell>
          <cell r="AD426">
            <v>4700.7</v>
          </cell>
          <cell r="AE426">
            <v>0</v>
          </cell>
          <cell r="AF426">
            <v>83.567999999999998</v>
          </cell>
          <cell r="AG426">
            <v>0.8</v>
          </cell>
        </row>
        <row r="427">
          <cell r="B427">
            <v>272100152</v>
          </cell>
          <cell r="C427" t="str">
            <v/>
          </cell>
          <cell r="D427" t="str">
            <v>Philips Avent Tetina anticólico Flow 2 pezones, 2 unidades,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>UND</v>
          </cell>
          <cell r="J427">
            <v>1</v>
          </cell>
          <cell r="K427">
            <v>1</v>
          </cell>
          <cell r="L427" t="str">
            <v/>
          </cell>
          <cell r="M427">
            <v>0</v>
          </cell>
          <cell r="N427" t="str">
            <v/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389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5</v>
          </cell>
          <cell r="AA427">
            <v>281.61</v>
          </cell>
          <cell r="AB427">
            <v>402.3</v>
          </cell>
          <cell r="AC427">
            <v>0</v>
          </cell>
          <cell r="AD427">
            <v>402.3</v>
          </cell>
          <cell r="AE427">
            <v>0</v>
          </cell>
          <cell r="AF427">
            <v>6.258</v>
          </cell>
          <cell r="AG427">
            <v>0.7</v>
          </cell>
        </row>
        <row r="428">
          <cell r="B428">
            <v>241260903</v>
          </cell>
          <cell r="C428" t="str">
            <v/>
          </cell>
          <cell r="D428" t="str">
            <v>RECOLECTOR DE ORINA 2000cc (Cystoflo) Marca Grossmed x Und</v>
          </cell>
          <cell r="E428" t="str">
            <v>GROSSMED</v>
          </cell>
          <cell r="F428" t="str">
            <v/>
          </cell>
          <cell r="G428" t="str">
            <v/>
          </cell>
          <cell r="H428" t="str">
            <v/>
          </cell>
          <cell r="I428" t="str">
            <v>CJX10</v>
          </cell>
          <cell r="J428">
            <v>1</v>
          </cell>
          <cell r="K428">
            <v>1</v>
          </cell>
          <cell r="L428" t="str">
            <v>C</v>
          </cell>
          <cell r="M428">
            <v>65</v>
          </cell>
          <cell r="N428" t="str">
            <v/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280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130</v>
          </cell>
          <cell r="AA428">
            <v>14.4</v>
          </cell>
          <cell r="AB428">
            <v>18</v>
          </cell>
          <cell r="AC428">
            <v>0</v>
          </cell>
          <cell r="AD428">
            <v>18</v>
          </cell>
          <cell r="AE428">
            <v>0</v>
          </cell>
          <cell r="AF428">
            <v>0.32</v>
          </cell>
          <cell r="AG428">
            <v>0.8</v>
          </cell>
        </row>
        <row r="429">
          <cell r="B429">
            <v>262000901</v>
          </cell>
          <cell r="C429" t="str">
            <v/>
          </cell>
          <cell r="D429" t="str">
            <v>REGULADOR DE FLUJO (CUENTA GOTAS) Mc Medical x Und./\Presentacion Bulto x 50 Unds.</v>
          </cell>
          <cell r="E429" t="str">
            <v>MC MEDICAL</v>
          </cell>
          <cell r="F429" t="str">
            <v/>
          </cell>
          <cell r="G429" t="str">
            <v/>
          </cell>
          <cell r="H429" t="str">
            <v/>
          </cell>
          <cell r="I429" t="str">
            <v>UND</v>
          </cell>
          <cell r="J429">
            <v>1</v>
          </cell>
          <cell r="K429">
            <v>1</v>
          </cell>
          <cell r="L429" t="str">
            <v/>
          </cell>
          <cell r="M429">
            <v>0</v>
          </cell>
          <cell r="N429" t="str">
            <v/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387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90</v>
          </cell>
          <cell r="AA429">
            <v>45</v>
          </cell>
          <cell r="AB429">
            <v>69.23</v>
          </cell>
          <cell r="AC429">
            <v>0</v>
          </cell>
          <cell r="AD429">
            <v>69.23</v>
          </cell>
          <cell r="AE429">
            <v>0</v>
          </cell>
          <cell r="AF429">
            <v>1</v>
          </cell>
          <cell r="AG429">
            <v>0.65</v>
          </cell>
        </row>
        <row r="430">
          <cell r="B430">
            <v>250450810</v>
          </cell>
          <cell r="C430" t="str">
            <v/>
          </cell>
          <cell r="D430" t="str">
            <v>RINGER LACTATO 500ML - MARCA BAXTER x Und</v>
          </cell>
          <cell r="E430" t="str">
            <v>BAXTER</v>
          </cell>
          <cell r="F430" t="str">
            <v/>
          </cell>
          <cell r="G430" t="str">
            <v/>
          </cell>
          <cell r="H430" t="str">
            <v/>
          </cell>
          <cell r="I430" t="str">
            <v>CJX40</v>
          </cell>
          <cell r="J430">
            <v>40</v>
          </cell>
          <cell r="K430">
            <v>1</v>
          </cell>
          <cell r="L430" t="str">
            <v/>
          </cell>
          <cell r="M430">
            <v>0</v>
          </cell>
          <cell r="N430" t="str">
            <v/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389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800</v>
          </cell>
          <cell r="AA430">
            <v>127.35</v>
          </cell>
          <cell r="AB430">
            <v>159.19</v>
          </cell>
          <cell r="AC430">
            <v>0</v>
          </cell>
          <cell r="AD430">
            <v>159.19</v>
          </cell>
          <cell r="AE430">
            <v>0</v>
          </cell>
          <cell r="AF430">
            <v>2.83</v>
          </cell>
          <cell r="AG430">
            <v>0.8</v>
          </cell>
        </row>
        <row r="431">
          <cell r="B431">
            <v>272100117</v>
          </cell>
          <cell r="C431" t="str">
            <v/>
          </cell>
          <cell r="D431" t="str">
            <v>RaZbaby Comedero de frutas para bebés x Und</v>
          </cell>
          <cell r="E431" t="str">
            <v>RAZBABY</v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>
            <v>0</v>
          </cell>
          <cell r="K431">
            <v>0</v>
          </cell>
          <cell r="L431" t="str">
            <v/>
          </cell>
          <cell r="M431">
            <v>0</v>
          </cell>
          <cell r="N431" t="str">
            <v/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389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6</v>
          </cell>
          <cell r="AA431">
            <v>364.32</v>
          </cell>
          <cell r="AB431">
            <v>455.4</v>
          </cell>
          <cell r="AC431">
            <v>0</v>
          </cell>
          <cell r="AD431">
            <v>455.4</v>
          </cell>
          <cell r="AE431">
            <v>0</v>
          </cell>
          <cell r="AF431">
            <v>8.0960000000000001</v>
          </cell>
          <cell r="AG431">
            <v>0.8</v>
          </cell>
        </row>
        <row r="432">
          <cell r="B432">
            <v>250100304</v>
          </cell>
          <cell r="C432" t="str">
            <v/>
          </cell>
          <cell r="D432" t="str">
            <v>SABANA DE CAMILLA 35Grs. SMS ( 1 x 1.80 ) Marca SANIPAD x Und</v>
          </cell>
          <cell r="E432" t="str">
            <v>SANIPAD</v>
          </cell>
          <cell r="F432" t="str">
            <v/>
          </cell>
          <cell r="G432" t="str">
            <v>LENCERIA SABANAS DE CAMILLA</v>
          </cell>
          <cell r="H432" t="str">
            <v/>
          </cell>
          <cell r="I432" t="str">
            <v>CJX120</v>
          </cell>
          <cell r="J432">
            <v>1</v>
          </cell>
          <cell r="K432">
            <v>1</v>
          </cell>
          <cell r="L432" t="str">
            <v/>
          </cell>
          <cell r="M432">
            <v>0</v>
          </cell>
          <cell r="N432" t="str">
            <v/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387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9900</v>
          </cell>
          <cell r="AA432">
            <v>27.45</v>
          </cell>
          <cell r="AB432">
            <v>42.23</v>
          </cell>
          <cell r="AC432">
            <v>0</v>
          </cell>
          <cell r="AD432">
            <v>42.23</v>
          </cell>
          <cell r="AE432">
            <v>0</v>
          </cell>
          <cell r="AF432">
            <v>0.61</v>
          </cell>
          <cell r="AG432">
            <v>0.65</v>
          </cell>
        </row>
        <row r="433">
          <cell r="B433" t="str">
            <v>FAR892063</v>
          </cell>
          <cell r="C433" t="str">
            <v>892063</v>
          </cell>
          <cell r="D433" t="str">
            <v>SILVERMED 10 cm x 10 cm. (Apósito de Plata) x 5 Unds. Ref 892063</v>
          </cell>
          <cell r="E433" t="str">
            <v>EUROFARM</v>
          </cell>
          <cell r="F433" t="str">
            <v>Aposito de Plata</v>
          </cell>
          <cell r="G433" t="str">
            <v>CUIDADO DE HERIDAS</v>
          </cell>
          <cell r="H433" t="str">
            <v>47</v>
          </cell>
          <cell r="I433" t="str">
            <v>CJX5</v>
          </cell>
          <cell r="J433">
            <v>1</v>
          </cell>
          <cell r="K433">
            <v>0</v>
          </cell>
          <cell r="L433" t="str">
            <v>C</v>
          </cell>
          <cell r="M433">
            <v>346</v>
          </cell>
          <cell r="N433" t="str">
            <v/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340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360</v>
          </cell>
          <cell r="AA433">
            <v>191.83500000000001</v>
          </cell>
          <cell r="AB433">
            <v>348.79</v>
          </cell>
          <cell r="AC433">
            <v>0</v>
          </cell>
          <cell r="AD433">
            <v>348.79</v>
          </cell>
          <cell r="AE433">
            <v>0</v>
          </cell>
          <cell r="AF433">
            <v>4.2629999999999999</v>
          </cell>
          <cell r="AG433">
            <v>0.55000000000000004</v>
          </cell>
        </row>
        <row r="434">
          <cell r="B434" t="str">
            <v>FAR892066</v>
          </cell>
          <cell r="C434" t="str">
            <v>892066</v>
          </cell>
          <cell r="D434" t="str">
            <v>SILVERMED 10 cm x 20 cm. (Apósito de Plata) x 3 Unds. Ref 892066</v>
          </cell>
          <cell r="E434" t="str">
            <v>EUROFARM</v>
          </cell>
          <cell r="F434" t="str">
            <v>Aposito de Plata</v>
          </cell>
          <cell r="G434" t="str">
            <v>CUIDADO DE HERIDAS</v>
          </cell>
          <cell r="H434" t="str">
            <v/>
          </cell>
          <cell r="I434" t="str">
            <v>CJX3</v>
          </cell>
          <cell r="J434">
            <v>1</v>
          </cell>
          <cell r="K434">
            <v>1</v>
          </cell>
          <cell r="L434" t="str">
            <v>C</v>
          </cell>
          <cell r="M434">
            <v>347</v>
          </cell>
          <cell r="N434" t="str">
            <v/>
          </cell>
          <cell r="O434">
            <v>0</v>
          </cell>
          <cell r="P434">
            <v>0</v>
          </cell>
          <cell r="Q434">
            <v>31</v>
          </cell>
          <cell r="R434">
            <v>31</v>
          </cell>
          <cell r="S434">
            <v>0</v>
          </cell>
          <cell r="T434">
            <v>365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31</v>
          </cell>
          <cell r="Z434">
            <v>31</v>
          </cell>
          <cell r="AA434">
            <v>216.58500000000001</v>
          </cell>
          <cell r="AB434">
            <v>393.79</v>
          </cell>
          <cell r="AC434">
            <v>0</v>
          </cell>
          <cell r="AD434">
            <v>393.79</v>
          </cell>
          <cell r="AE434">
            <v>0</v>
          </cell>
          <cell r="AF434">
            <v>4.8129999999999997</v>
          </cell>
          <cell r="AG434">
            <v>0.55000000000000004</v>
          </cell>
        </row>
        <row r="435">
          <cell r="B435" t="str">
            <v>FAR892073</v>
          </cell>
          <cell r="C435" t="str">
            <v>892073</v>
          </cell>
          <cell r="D435" t="str">
            <v>SILVERMED S.B. 10 cm x 10 cm. (Apósito de Plata s/Borde) x 5 Und. Ref 892073</v>
          </cell>
          <cell r="E435" t="str">
            <v>EUROFARM</v>
          </cell>
          <cell r="F435" t="str">
            <v>Aposito de Plata sin Borde</v>
          </cell>
          <cell r="G435" t="str">
            <v>CUIDADO DE HERIDAS</v>
          </cell>
          <cell r="H435" t="str">
            <v>48</v>
          </cell>
          <cell r="I435" t="str">
            <v>CJX5</v>
          </cell>
          <cell r="J435">
            <v>1</v>
          </cell>
          <cell r="K435">
            <v>0</v>
          </cell>
          <cell r="L435" t="str">
            <v>C</v>
          </cell>
          <cell r="M435">
            <v>70</v>
          </cell>
          <cell r="N435" t="str">
            <v/>
          </cell>
          <cell r="O435">
            <v>0</v>
          </cell>
          <cell r="P435">
            <v>0</v>
          </cell>
          <cell r="Q435">
            <v>35</v>
          </cell>
          <cell r="R435">
            <v>35</v>
          </cell>
          <cell r="S435">
            <v>0</v>
          </cell>
          <cell r="T435">
            <v>351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35</v>
          </cell>
          <cell r="Z435">
            <v>360</v>
          </cell>
          <cell r="AA435">
            <v>247.5</v>
          </cell>
          <cell r="AB435">
            <v>450</v>
          </cell>
          <cell r="AC435">
            <v>0</v>
          </cell>
          <cell r="AD435">
            <v>450</v>
          </cell>
          <cell r="AE435">
            <v>0</v>
          </cell>
          <cell r="AF435">
            <v>5.5</v>
          </cell>
          <cell r="AG435">
            <v>0.55000000000000004</v>
          </cell>
        </row>
        <row r="436">
          <cell r="B436">
            <v>242350809</v>
          </cell>
          <cell r="C436" t="str">
            <v/>
          </cell>
          <cell r="D436" t="str">
            <v>SIST SUSP/ANCLAJE D/PROLAPSO CPSAPLIC2A ANCHOR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>UND</v>
          </cell>
          <cell r="J436">
            <v>1</v>
          </cell>
          <cell r="K436">
            <v>1</v>
          </cell>
          <cell r="L436" t="str">
            <v/>
          </cell>
          <cell r="M436">
            <v>0</v>
          </cell>
          <cell r="N436" t="str">
            <v/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389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</v>
          </cell>
          <cell r="AA436">
            <v>16031.25</v>
          </cell>
          <cell r="AB436">
            <v>41105.769999999997</v>
          </cell>
          <cell r="AC436">
            <v>0</v>
          </cell>
          <cell r="AD436">
            <v>41105.769999999997</v>
          </cell>
          <cell r="AE436">
            <v>0</v>
          </cell>
          <cell r="AF436">
            <v>356.25</v>
          </cell>
          <cell r="AG436">
            <v>0.39</v>
          </cell>
        </row>
        <row r="437">
          <cell r="B437">
            <v>250500512</v>
          </cell>
          <cell r="C437" t="str">
            <v>NEOS SURGE</v>
          </cell>
          <cell r="D437" t="str">
            <v>SISTEMA DE FIJACION CRANEAL 16MM x Und</v>
          </cell>
          <cell r="E437" t="str">
            <v>0</v>
          </cell>
          <cell r="F437" t="str">
            <v/>
          </cell>
          <cell r="G437" t="str">
            <v/>
          </cell>
          <cell r="H437" t="str">
            <v/>
          </cell>
          <cell r="I437" t="str">
            <v>UND</v>
          </cell>
          <cell r="J437">
            <v>1</v>
          </cell>
          <cell r="K437">
            <v>1</v>
          </cell>
          <cell r="L437" t="str">
            <v/>
          </cell>
          <cell r="M437">
            <v>0</v>
          </cell>
          <cell r="N437" t="str">
            <v/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386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15435</v>
          </cell>
          <cell r="AB437">
            <v>30870</v>
          </cell>
          <cell r="AC437">
            <v>0</v>
          </cell>
          <cell r="AD437">
            <v>30870</v>
          </cell>
          <cell r="AE437">
            <v>0</v>
          </cell>
          <cell r="AF437">
            <v>343</v>
          </cell>
          <cell r="AG437">
            <v>0.5</v>
          </cell>
        </row>
        <row r="438">
          <cell r="B438">
            <v>242202324</v>
          </cell>
          <cell r="C438" t="str">
            <v/>
          </cell>
          <cell r="D438" t="str">
            <v>SUJETADOR DE VIA VENOSA Talla Medium  (Venoclisis) x Und</v>
          </cell>
          <cell r="E438" t="str">
            <v>DIASI</v>
          </cell>
          <cell r="F438" t="str">
            <v/>
          </cell>
          <cell r="G438" t="str">
            <v>SUJETADORES DE VIA</v>
          </cell>
          <cell r="H438" t="str">
            <v/>
          </cell>
          <cell r="I438" t="str">
            <v>UND</v>
          </cell>
          <cell r="J438">
            <v>1</v>
          </cell>
          <cell r="K438">
            <v>1</v>
          </cell>
          <cell r="L438" t="str">
            <v/>
          </cell>
          <cell r="M438">
            <v>0</v>
          </cell>
          <cell r="N438" t="str">
            <v/>
          </cell>
          <cell r="O438">
            <v>0</v>
          </cell>
          <cell r="P438">
            <v>0</v>
          </cell>
          <cell r="Q438">
            <v>25</v>
          </cell>
          <cell r="R438">
            <v>0</v>
          </cell>
          <cell r="S438">
            <v>0</v>
          </cell>
          <cell r="T438">
            <v>385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250</v>
          </cell>
          <cell r="AA438">
            <v>236.25</v>
          </cell>
          <cell r="AB438">
            <v>393.75</v>
          </cell>
          <cell r="AC438">
            <v>0</v>
          </cell>
          <cell r="AD438">
            <v>393.75</v>
          </cell>
          <cell r="AE438">
            <v>0</v>
          </cell>
          <cell r="AF438">
            <v>5.25</v>
          </cell>
          <cell r="AG438">
            <v>0.6</v>
          </cell>
        </row>
        <row r="439">
          <cell r="B439">
            <v>250200228</v>
          </cell>
          <cell r="C439" t="str">
            <v/>
          </cell>
          <cell r="D439" t="str">
            <v>SUMINISTRO DE CABLE PARA PACIENTE X UNIDAD</v>
          </cell>
          <cell r="E439" t="str">
            <v/>
          </cell>
          <cell r="F439" t="str">
            <v/>
          </cell>
          <cell r="G439" t="str">
            <v>APOSITOS RESTORE</v>
          </cell>
          <cell r="H439" t="str">
            <v/>
          </cell>
          <cell r="I439" t="str">
            <v>UND</v>
          </cell>
          <cell r="J439">
            <v>1</v>
          </cell>
          <cell r="K439">
            <v>1</v>
          </cell>
          <cell r="L439" t="str">
            <v/>
          </cell>
          <cell r="M439">
            <v>0</v>
          </cell>
          <cell r="N439" t="str">
            <v/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386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1543.5</v>
          </cell>
          <cell r="AB439">
            <v>2205</v>
          </cell>
          <cell r="AC439">
            <v>0</v>
          </cell>
          <cell r="AD439">
            <v>2205</v>
          </cell>
          <cell r="AE439">
            <v>0</v>
          </cell>
          <cell r="AF439">
            <v>34.299999999999997</v>
          </cell>
          <cell r="AG439">
            <v>0.7</v>
          </cell>
        </row>
        <row r="440">
          <cell r="B440">
            <v>240202948</v>
          </cell>
          <cell r="C440" t="str">
            <v/>
          </cell>
          <cell r="D440" t="str">
            <v>SUT PDS II VIOLET MONOFILAMENT CT-1 36MM ETHICON (Z341H) CAJA X 36 UND</v>
          </cell>
          <cell r="E440" t="str">
            <v>ETHICON</v>
          </cell>
          <cell r="F440" t="str">
            <v/>
          </cell>
          <cell r="G440" t="str">
            <v/>
          </cell>
          <cell r="H440" t="str">
            <v/>
          </cell>
          <cell r="I440" t="str">
            <v>CJX36</v>
          </cell>
          <cell r="J440">
            <v>36</v>
          </cell>
          <cell r="K440">
            <v>1</v>
          </cell>
          <cell r="L440" t="str">
            <v/>
          </cell>
          <cell r="M440">
            <v>0</v>
          </cell>
          <cell r="N440" t="str">
            <v/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386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36</v>
          </cell>
          <cell r="AA440">
            <v>584.54999999999995</v>
          </cell>
          <cell r="AB440">
            <v>811.88</v>
          </cell>
          <cell r="AC440">
            <v>0</v>
          </cell>
          <cell r="AD440">
            <v>811.88</v>
          </cell>
          <cell r="AE440">
            <v>0</v>
          </cell>
          <cell r="AF440">
            <v>12.99</v>
          </cell>
          <cell r="AG440">
            <v>0.72</v>
          </cell>
        </row>
        <row r="441">
          <cell r="B441">
            <v>240202048</v>
          </cell>
          <cell r="C441" t="str">
            <v/>
          </cell>
          <cell r="D441" t="str">
            <v>SUT TEMPORARY CARDIAC PACING WIRE 2-0 TPW10 ETHICON CAJA X 12 UND</v>
          </cell>
          <cell r="E441" t="str">
            <v>ETHICON</v>
          </cell>
          <cell r="F441" t="str">
            <v/>
          </cell>
          <cell r="G441" t="str">
            <v/>
          </cell>
          <cell r="H441" t="str">
            <v/>
          </cell>
          <cell r="I441" t="str">
            <v>CJX36</v>
          </cell>
          <cell r="J441">
            <v>12</v>
          </cell>
          <cell r="K441">
            <v>1</v>
          </cell>
          <cell r="L441" t="str">
            <v/>
          </cell>
          <cell r="M441">
            <v>0</v>
          </cell>
          <cell r="N441" t="str">
            <v/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386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12</v>
          </cell>
          <cell r="AA441">
            <v>2793.6</v>
          </cell>
          <cell r="AB441">
            <v>4365</v>
          </cell>
          <cell r="AC441">
            <v>0</v>
          </cell>
          <cell r="AD441">
            <v>4365</v>
          </cell>
          <cell r="AE441">
            <v>0</v>
          </cell>
          <cell r="AF441">
            <v>62.08</v>
          </cell>
          <cell r="AG441">
            <v>0.64</v>
          </cell>
        </row>
        <row r="442">
          <cell r="B442">
            <v>252800538</v>
          </cell>
          <cell r="C442" t="str">
            <v>1944</v>
          </cell>
          <cell r="D442" t="str">
            <v>SUT. COV V-LOC 3-0 90 23 CM CV-23 VLOCM1944 REF:1944  x Und</v>
          </cell>
          <cell r="E442" t="str">
            <v>COVIDIEN</v>
          </cell>
          <cell r="F442" t="str">
            <v/>
          </cell>
          <cell r="G442" t="str">
            <v/>
          </cell>
          <cell r="H442" t="str">
            <v/>
          </cell>
          <cell r="I442" t="str">
            <v>CJX12</v>
          </cell>
          <cell r="J442">
            <v>1</v>
          </cell>
          <cell r="K442">
            <v>1</v>
          </cell>
          <cell r="L442" t="str">
            <v/>
          </cell>
          <cell r="M442">
            <v>0</v>
          </cell>
          <cell r="N442" t="str">
            <v/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387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12</v>
          </cell>
          <cell r="AA442">
            <v>3911.355</v>
          </cell>
          <cell r="AB442">
            <v>6111.49</v>
          </cell>
          <cell r="AC442">
            <v>0</v>
          </cell>
          <cell r="AD442">
            <v>6111.49</v>
          </cell>
          <cell r="AE442">
            <v>0</v>
          </cell>
          <cell r="AF442">
            <v>86.918999999999997</v>
          </cell>
          <cell r="AG442">
            <v>0.64</v>
          </cell>
        </row>
        <row r="443">
          <cell r="B443">
            <v>252800519</v>
          </cell>
          <cell r="C443" t="str">
            <v>M604</v>
          </cell>
          <cell r="D443" t="str">
            <v>SUT. COV V-LOC180 ABSORBIBLE. 3-0 V-20 REF: L0604 x Und</v>
          </cell>
          <cell r="E443" t="str">
            <v>COVIDIEN</v>
          </cell>
          <cell r="F443" t="str">
            <v/>
          </cell>
          <cell r="G443" t="str">
            <v/>
          </cell>
          <cell r="H443" t="str">
            <v/>
          </cell>
          <cell r="I443" t="str">
            <v>CJX12</v>
          </cell>
          <cell r="J443">
            <v>12</v>
          </cell>
          <cell r="K443">
            <v>1</v>
          </cell>
          <cell r="L443" t="str">
            <v>B</v>
          </cell>
          <cell r="M443">
            <v>21</v>
          </cell>
          <cell r="N443" t="str">
            <v/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168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12</v>
          </cell>
          <cell r="AA443">
            <v>2476.8000000000002</v>
          </cell>
          <cell r="AB443">
            <v>3096</v>
          </cell>
          <cell r="AC443">
            <v>0</v>
          </cell>
          <cell r="AD443">
            <v>3096</v>
          </cell>
          <cell r="AE443">
            <v>0</v>
          </cell>
          <cell r="AF443">
            <v>55.04</v>
          </cell>
          <cell r="AG443">
            <v>0.8</v>
          </cell>
        </row>
        <row r="444">
          <cell r="B444">
            <v>252360104</v>
          </cell>
          <cell r="C444" t="str">
            <v>Y493G</v>
          </cell>
          <cell r="D444" t="str">
            <v>SUT. MONOCRYL 5-0 P13 Y493G</v>
          </cell>
          <cell r="E444" t="str">
            <v>J&amp;J</v>
          </cell>
          <cell r="F444" t="str">
            <v/>
          </cell>
          <cell r="G444" t="str">
            <v>OTROS OTROS</v>
          </cell>
          <cell r="H444" t="str">
            <v/>
          </cell>
          <cell r="I444" t="str">
            <v>CJX12</v>
          </cell>
          <cell r="J444">
            <v>12</v>
          </cell>
          <cell r="K444">
            <v>1</v>
          </cell>
          <cell r="L444" t="str">
            <v/>
          </cell>
          <cell r="M444">
            <v>0</v>
          </cell>
          <cell r="N444" t="str">
            <v/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389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12</v>
          </cell>
          <cell r="AA444">
            <v>2073.645</v>
          </cell>
          <cell r="AB444">
            <v>3240.07</v>
          </cell>
          <cell r="AC444">
            <v>0</v>
          </cell>
          <cell r="AD444">
            <v>3240.07</v>
          </cell>
          <cell r="AE444">
            <v>0</v>
          </cell>
          <cell r="AF444">
            <v>46.081000000000003</v>
          </cell>
          <cell r="AG444">
            <v>0.64</v>
          </cell>
        </row>
        <row r="445">
          <cell r="B445">
            <v>252600170</v>
          </cell>
          <cell r="C445" t="str">
            <v/>
          </cell>
          <cell r="D445" t="str">
            <v>SUT. PDS II 1 XLH  Z881G CARDIOVASCULAR x Und</v>
          </cell>
          <cell r="E445" t="str">
            <v>J&amp;J</v>
          </cell>
          <cell r="F445" t="str">
            <v/>
          </cell>
          <cell r="G445" t="str">
            <v/>
          </cell>
          <cell r="H445" t="str">
            <v/>
          </cell>
          <cell r="I445" t="str">
            <v>UND</v>
          </cell>
          <cell r="J445">
            <v>1</v>
          </cell>
          <cell r="K445">
            <v>1</v>
          </cell>
          <cell r="L445" t="str">
            <v>C</v>
          </cell>
          <cell r="M445">
            <v>215</v>
          </cell>
          <cell r="N445" t="str">
            <v>C</v>
          </cell>
          <cell r="O445">
            <v>229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129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211.95</v>
          </cell>
          <cell r="AB445">
            <v>264.94</v>
          </cell>
          <cell r="AC445">
            <v>0</v>
          </cell>
          <cell r="AD445">
            <v>264.94</v>
          </cell>
          <cell r="AE445">
            <v>0</v>
          </cell>
          <cell r="AF445">
            <v>4.71</v>
          </cell>
          <cell r="AG445">
            <v>0.8</v>
          </cell>
        </row>
        <row r="446">
          <cell r="B446">
            <v>252650445</v>
          </cell>
          <cell r="C446" t="str">
            <v>PXX41N</v>
          </cell>
          <cell r="D446" t="str">
            <v>SUT. PXX41N MARCA COVIDIEN. CAJA X 6 UND</v>
          </cell>
          <cell r="E446" t="str">
            <v/>
          </cell>
          <cell r="F446" t="str">
            <v/>
          </cell>
          <cell r="G446" t="str">
            <v>SUTURAS JOHNSON</v>
          </cell>
          <cell r="H446" t="str">
            <v/>
          </cell>
          <cell r="I446" t="str">
            <v>CJX6</v>
          </cell>
          <cell r="J446">
            <v>6</v>
          </cell>
          <cell r="K446">
            <v>1</v>
          </cell>
          <cell r="L446" t="str">
            <v>C</v>
          </cell>
          <cell r="M446">
            <v>371</v>
          </cell>
          <cell r="N446" t="str">
            <v/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386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937.35</v>
          </cell>
          <cell r="AB446">
            <v>1171.69</v>
          </cell>
          <cell r="AC446">
            <v>0</v>
          </cell>
          <cell r="AD446">
            <v>1171.69</v>
          </cell>
          <cell r="AE446">
            <v>0</v>
          </cell>
          <cell r="AF446">
            <v>20.83</v>
          </cell>
          <cell r="AG446">
            <v>0.8</v>
          </cell>
        </row>
        <row r="447">
          <cell r="B447">
            <v>252800416</v>
          </cell>
          <cell r="C447" t="str">
            <v/>
          </cell>
          <cell r="D447" t="str">
            <v>SUT. SOFSILK 0 3.5M 30" 75CM, Marca Covidien (GS 834-K834H) x Und</v>
          </cell>
          <cell r="E447" t="str">
            <v>COVIDIEN</v>
          </cell>
          <cell r="F447" t="str">
            <v>GS 834 COVIDIEN</v>
          </cell>
          <cell r="G447" t="str">
            <v/>
          </cell>
          <cell r="H447" t="str">
            <v/>
          </cell>
          <cell r="I447" t="str">
            <v>CJX36</v>
          </cell>
          <cell r="J447">
            <v>36</v>
          </cell>
          <cell r="K447">
            <v>1</v>
          </cell>
          <cell r="L447" t="str">
            <v>C</v>
          </cell>
          <cell r="M447">
            <v>353</v>
          </cell>
          <cell r="N447" t="str">
            <v/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389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72</v>
          </cell>
          <cell r="AA447">
            <v>25.2</v>
          </cell>
          <cell r="AB447">
            <v>31.5</v>
          </cell>
          <cell r="AC447">
            <v>0</v>
          </cell>
          <cell r="AD447">
            <v>31.5</v>
          </cell>
          <cell r="AE447">
            <v>0</v>
          </cell>
          <cell r="AF447">
            <v>0.56000000000000005</v>
          </cell>
          <cell r="AG447">
            <v>0.8</v>
          </cell>
        </row>
        <row r="448">
          <cell r="B448">
            <v>252850046</v>
          </cell>
          <cell r="C448" t="str">
            <v/>
          </cell>
          <cell r="D448" t="str">
            <v>SUT.BIOSYN 5-0 SM-5624 CAJA X 12 UND</v>
          </cell>
          <cell r="E448" t="str">
            <v>COVIDIEN</v>
          </cell>
          <cell r="F448" t="str">
            <v/>
          </cell>
          <cell r="G448" t="str">
            <v/>
          </cell>
          <cell r="H448" t="str">
            <v/>
          </cell>
          <cell r="I448" t="str">
            <v>CJX12</v>
          </cell>
          <cell r="J448">
            <v>1</v>
          </cell>
          <cell r="K448">
            <v>1</v>
          </cell>
          <cell r="L448" t="str">
            <v/>
          </cell>
          <cell r="M448">
            <v>0</v>
          </cell>
          <cell r="N448" t="str">
            <v/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386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12</v>
          </cell>
          <cell r="AA448">
            <v>916.72649999999999</v>
          </cell>
          <cell r="AB448">
            <v>1432.39</v>
          </cell>
          <cell r="AC448">
            <v>0</v>
          </cell>
          <cell r="AD448">
            <v>1432.39</v>
          </cell>
          <cell r="AE448">
            <v>0</v>
          </cell>
          <cell r="AF448">
            <v>20.371700000000001</v>
          </cell>
          <cell r="AG448">
            <v>0.64</v>
          </cell>
        </row>
        <row r="449">
          <cell r="B449">
            <v>252850946</v>
          </cell>
          <cell r="C449" t="str">
            <v/>
          </cell>
          <cell r="D449" t="str">
            <v>SUT.SEDA NEGRA TRENZ 4.0 TF N267H CARD CAJA X 36 UND</v>
          </cell>
          <cell r="E449" t="str">
            <v>COVIDIEN</v>
          </cell>
          <cell r="F449" t="str">
            <v/>
          </cell>
          <cell r="G449" t="str">
            <v/>
          </cell>
          <cell r="H449" t="str">
            <v/>
          </cell>
          <cell r="I449" t="str">
            <v>CJX36</v>
          </cell>
          <cell r="J449">
            <v>1</v>
          </cell>
          <cell r="K449">
            <v>1</v>
          </cell>
          <cell r="L449" t="str">
            <v/>
          </cell>
          <cell r="M449">
            <v>0</v>
          </cell>
          <cell r="N449" t="str">
            <v/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386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36</v>
          </cell>
          <cell r="AA449">
            <v>520.95600000000002</v>
          </cell>
          <cell r="AB449">
            <v>814</v>
          </cell>
          <cell r="AC449">
            <v>0</v>
          </cell>
          <cell r="AD449">
            <v>814</v>
          </cell>
          <cell r="AE449">
            <v>0</v>
          </cell>
          <cell r="AF449">
            <v>11.5768</v>
          </cell>
          <cell r="AG449">
            <v>0.64</v>
          </cell>
        </row>
        <row r="450">
          <cell r="B450">
            <v>240600327</v>
          </cell>
          <cell r="C450" t="str">
            <v/>
          </cell>
          <cell r="D450" t="str">
            <v>TRAQUEOSTOMO DE CRISTAL 7.5  CON BALON x Und</v>
          </cell>
          <cell r="E450" t="str">
            <v>COVIDIEN</v>
          </cell>
          <cell r="F450" t="str">
            <v/>
          </cell>
          <cell r="G450" t="str">
            <v/>
          </cell>
          <cell r="H450" t="str">
            <v/>
          </cell>
          <cell r="I450" t="str">
            <v>UND</v>
          </cell>
          <cell r="J450">
            <v>1</v>
          </cell>
          <cell r="K450">
            <v>1</v>
          </cell>
          <cell r="L450" t="str">
            <v/>
          </cell>
          <cell r="M450">
            <v>0</v>
          </cell>
          <cell r="N450" t="str">
            <v/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389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6</v>
          </cell>
          <cell r="AA450">
            <v>6930</v>
          </cell>
          <cell r="AB450">
            <v>10828.13</v>
          </cell>
          <cell r="AC450">
            <v>0</v>
          </cell>
          <cell r="AD450">
            <v>10828.13</v>
          </cell>
          <cell r="AE450">
            <v>0</v>
          </cell>
          <cell r="AF450">
            <v>154</v>
          </cell>
          <cell r="AG450">
            <v>0.64</v>
          </cell>
        </row>
        <row r="451">
          <cell r="B451">
            <v>240600226</v>
          </cell>
          <cell r="C451" t="str">
            <v/>
          </cell>
          <cell r="D451" t="str">
            <v>TRAQUEOSTOMO DE CRISTAL 8.5 x Und</v>
          </cell>
          <cell r="E451" t="str">
            <v>COVIDIEN</v>
          </cell>
          <cell r="F451" t="str">
            <v/>
          </cell>
          <cell r="G451" t="str">
            <v>TRAQUEOSTOMO TRAQUEOSTOMO</v>
          </cell>
          <cell r="H451" t="str">
            <v/>
          </cell>
          <cell r="I451" t="str">
            <v>UND</v>
          </cell>
          <cell r="J451">
            <v>1</v>
          </cell>
          <cell r="K451">
            <v>1</v>
          </cell>
          <cell r="L451" t="str">
            <v>C</v>
          </cell>
          <cell r="M451">
            <v>335</v>
          </cell>
          <cell r="N451" t="str">
            <v/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389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4</v>
          </cell>
          <cell r="AA451">
            <v>6930</v>
          </cell>
          <cell r="AB451">
            <v>8152.94</v>
          </cell>
          <cell r="AC451">
            <v>0</v>
          </cell>
          <cell r="AD451">
            <v>8152.94</v>
          </cell>
          <cell r="AE451">
            <v>0</v>
          </cell>
          <cell r="AF451">
            <v>154</v>
          </cell>
          <cell r="AG451">
            <v>0.85</v>
          </cell>
        </row>
        <row r="452">
          <cell r="B452">
            <v>253400733</v>
          </cell>
          <cell r="C452" t="str">
            <v/>
          </cell>
          <cell r="D452" t="str">
            <v>TRAQUEOSTOMO FENESTRADO 7.0 x Und</v>
          </cell>
          <cell r="E452" t="str">
            <v>COVIDIEN</v>
          </cell>
          <cell r="F452" t="str">
            <v/>
          </cell>
          <cell r="G452" t="str">
            <v/>
          </cell>
          <cell r="H452" t="str">
            <v/>
          </cell>
          <cell r="I452" t="str">
            <v>UND</v>
          </cell>
          <cell r="J452">
            <v>1</v>
          </cell>
          <cell r="K452">
            <v>1</v>
          </cell>
          <cell r="L452" t="str">
            <v/>
          </cell>
          <cell r="M452">
            <v>0</v>
          </cell>
          <cell r="N452" t="str">
            <v/>
          </cell>
          <cell r="O452">
            <v>0</v>
          </cell>
          <cell r="P452">
            <v>4</v>
          </cell>
          <cell r="Q452">
            <v>4</v>
          </cell>
          <cell r="R452">
            <v>0</v>
          </cell>
          <cell r="S452">
            <v>0</v>
          </cell>
          <cell r="T452">
            <v>389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4</v>
          </cell>
          <cell r="AA452">
            <v>6930</v>
          </cell>
          <cell r="AB452">
            <v>10828.13</v>
          </cell>
          <cell r="AC452">
            <v>0</v>
          </cell>
          <cell r="AD452">
            <v>10828.13</v>
          </cell>
          <cell r="AE452">
            <v>0</v>
          </cell>
          <cell r="AF452">
            <v>154</v>
          </cell>
          <cell r="AG452">
            <v>0.64</v>
          </cell>
        </row>
        <row r="453">
          <cell r="B453">
            <v>240600527</v>
          </cell>
          <cell r="C453" t="str">
            <v>4.5 PCF</v>
          </cell>
          <cell r="D453" t="str">
            <v>TRAQUEOSTOMO PEDIATRICO 4.5 x Und</v>
          </cell>
          <cell r="E453" t="str">
            <v>COVIDIEN</v>
          </cell>
          <cell r="F453" t="str">
            <v/>
          </cell>
          <cell r="G453" t="str">
            <v/>
          </cell>
          <cell r="H453" t="str">
            <v/>
          </cell>
          <cell r="I453" t="str">
            <v>UND</v>
          </cell>
          <cell r="J453">
            <v>1</v>
          </cell>
          <cell r="K453">
            <v>1</v>
          </cell>
          <cell r="L453" t="str">
            <v/>
          </cell>
          <cell r="M453">
            <v>0</v>
          </cell>
          <cell r="N453" t="str">
            <v/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386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6930</v>
          </cell>
          <cell r="AB453">
            <v>10828.13</v>
          </cell>
          <cell r="AC453">
            <v>0</v>
          </cell>
          <cell r="AD453">
            <v>10828.13</v>
          </cell>
          <cell r="AE453">
            <v>0</v>
          </cell>
          <cell r="AF453">
            <v>154</v>
          </cell>
          <cell r="AG453">
            <v>0.64</v>
          </cell>
        </row>
        <row r="454">
          <cell r="B454">
            <v>240600627</v>
          </cell>
          <cell r="C454" t="str">
            <v>5.0 PCF</v>
          </cell>
          <cell r="D454" t="str">
            <v>TRAQUEOSTOMO PEDIATRICO 5.0 x Und</v>
          </cell>
          <cell r="E454" t="str">
            <v>COVIDIEN</v>
          </cell>
          <cell r="F454" t="str">
            <v/>
          </cell>
          <cell r="G454" t="str">
            <v/>
          </cell>
          <cell r="H454" t="str">
            <v/>
          </cell>
          <cell r="I454" t="str">
            <v>UND</v>
          </cell>
          <cell r="J454">
            <v>1</v>
          </cell>
          <cell r="K454">
            <v>1</v>
          </cell>
          <cell r="L454" t="str">
            <v/>
          </cell>
          <cell r="M454">
            <v>0</v>
          </cell>
          <cell r="N454" t="str">
            <v/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386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6930</v>
          </cell>
          <cell r="AB454">
            <v>10828.13</v>
          </cell>
          <cell r="AC454">
            <v>0</v>
          </cell>
          <cell r="AD454">
            <v>10828.13</v>
          </cell>
          <cell r="AE454">
            <v>0</v>
          </cell>
          <cell r="AF454">
            <v>154</v>
          </cell>
          <cell r="AG454">
            <v>0.64</v>
          </cell>
        </row>
        <row r="455">
          <cell r="B455">
            <v>253400953</v>
          </cell>
          <cell r="C455" t="str">
            <v>3.0NCF</v>
          </cell>
          <cell r="D455" t="str">
            <v>TRAQUEOTOMO DESCARTABLE PEDIATRICO 3.0</v>
          </cell>
          <cell r="E455" t="str">
            <v>COVIDIEN</v>
          </cell>
          <cell r="F455" t="str">
            <v/>
          </cell>
          <cell r="G455" t="str">
            <v/>
          </cell>
          <cell r="H455" t="str">
            <v/>
          </cell>
          <cell r="I455" t="str">
            <v>UND</v>
          </cell>
          <cell r="J455">
            <v>1</v>
          </cell>
          <cell r="K455">
            <v>1</v>
          </cell>
          <cell r="L455" t="str">
            <v/>
          </cell>
          <cell r="M455">
            <v>0</v>
          </cell>
          <cell r="N455" t="str">
            <v/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389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6237</v>
          </cell>
          <cell r="AB455">
            <v>9745.31</v>
          </cell>
          <cell r="AC455">
            <v>0</v>
          </cell>
          <cell r="AD455">
            <v>9745.31</v>
          </cell>
          <cell r="AE455">
            <v>0</v>
          </cell>
          <cell r="AF455">
            <v>138.6</v>
          </cell>
          <cell r="AG455">
            <v>0.64</v>
          </cell>
        </row>
        <row r="456">
          <cell r="B456">
            <v>253400753</v>
          </cell>
          <cell r="C456" t="str">
            <v>5.5PCF</v>
          </cell>
          <cell r="D456" t="str">
            <v>TRAQUEOTOMO DESCARTABLE PEDIATRICO 5.5</v>
          </cell>
          <cell r="E456" t="str">
            <v>COVIDIEN</v>
          </cell>
          <cell r="F456" t="str">
            <v/>
          </cell>
          <cell r="G456" t="str">
            <v/>
          </cell>
          <cell r="H456" t="str">
            <v/>
          </cell>
          <cell r="I456" t="str">
            <v>UND</v>
          </cell>
          <cell r="J456">
            <v>1</v>
          </cell>
          <cell r="K456">
            <v>1</v>
          </cell>
          <cell r="L456" t="str">
            <v/>
          </cell>
          <cell r="M456">
            <v>0</v>
          </cell>
          <cell r="N456" t="str">
            <v/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386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6237</v>
          </cell>
          <cell r="AB456">
            <v>9745.31</v>
          </cell>
          <cell r="AC456">
            <v>0</v>
          </cell>
          <cell r="AD456">
            <v>9745.31</v>
          </cell>
          <cell r="AE456">
            <v>0</v>
          </cell>
          <cell r="AF456">
            <v>138.6</v>
          </cell>
          <cell r="AG456">
            <v>0.64</v>
          </cell>
        </row>
        <row r="457">
          <cell r="B457">
            <v>253400633</v>
          </cell>
          <cell r="C457" t="str">
            <v/>
          </cell>
          <cell r="D457" t="str">
            <v>TRAQUEOTOMO FENESTRADO 6.0 (REF.512060) x Und</v>
          </cell>
          <cell r="E457" t="str">
            <v>COVIDIEN</v>
          </cell>
          <cell r="F457" t="str">
            <v/>
          </cell>
          <cell r="G457" t="str">
            <v/>
          </cell>
          <cell r="H457" t="str">
            <v/>
          </cell>
          <cell r="I457" t="str">
            <v>UND</v>
          </cell>
          <cell r="J457">
            <v>1</v>
          </cell>
          <cell r="K457">
            <v>1</v>
          </cell>
          <cell r="L457" t="str">
            <v/>
          </cell>
          <cell r="M457">
            <v>0</v>
          </cell>
          <cell r="N457" t="str">
            <v/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389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2</v>
          </cell>
          <cell r="AA457">
            <v>1361.25</v>
          </cell>
          <cell r="AB457">
            <v>2126.9499999999998</v>
          </cell>
          <cell r="AC457">
            <v>0</v>
          </cell>
          <cell r="AD457">
            <v>2126.9499999999998</v>
          </cell>
          <cell r="AE457">
            <v>0</v>
          </cell>
          <cell r="AF457">
            <v>30.25</v>
          </cell>
          <cell r="AG457">
            <v>0.64</v>
          </cell>
        </row>
        <row r="458">
          <cell r="B458">
            <v>250450923</v>
          </cell>
          <cell r="C458" t="str">
            <v>100/100/03</v>
          </cell>
          <cell r="D458" t="str">
            <v>TUBO ENDOTRAQUEAL 3.0 C/BALON MARCA AIRCARE SMITH MEDICAL x Und</v>
          </cell>
          <cell r="E458" t="str">
            <v>SMITH MEDICAL</v>
          </cell>
          <cell r="F458" t="str">
            <v/>
          </cell>
          <cell r="G458" t="str">
            <v/>
          </cell>
          <cell r="H458" t="str">
            <v/>
          </cell>
          <cell r="I458" t="str">
            <v>UND</v>
          </cell>
          <cell r="J458">
            <v>1</v>
          </cell>
          <cell r="K458">
            <v>1</v>
          </cell>
          <cell r="L458" t="str">
            <v>C</v>
          </cell>
          <cell r="M458">
            <v>155</v>
          </cell>
          <cell r="N458" t="str">
            <v>C</v>
          </cell>
          <cell r="O458">
            <v>212</v>
          </cell>
          <cell r="P458">
            <v>0</v>
          </cell>
          <cell r="Q458">
            <v>5</v>
          </cell>
          <cell r="R458">
            <v>5</v>
          </cell>
          <cell r="S458">
            <v>0</v>
          </cell>
          <cell r="T458">
            <v>5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5</v>
          </cell>
          <cell r="Z458">
            <v>5</v>
          </cell>
          <cell r="AA458">
            <v>138.15</v>
          </cell>
          <cell r="AB458">
            <v>162.53</v>
          </cell>
          <cell r="AC458">
            <v>0</v>
          </cell>
          <cell r="AD458">
            <v>162.53</v>
          </cell>
          <cell r="AE458">
            <v>0</v>
          </cell>
          <cell r="AF458">
            <v>3.07</v>
          </cell>
          <cell r="AG458">
            <v>0.85</v>
          </cell>
        </row>
        <row r="459">
          <cell r="B459">
            <v>250450305</v>
          </cell>
          <cell r="C459" t="str">
            <v>DYND48030</v>
          </cell>
          <cell r="D459" t="str">
            <v>TUBO ENDOTRAQUEAL 3.0 S/BALON HI LOW Marca MEDLINE x Und</v>
          </cell>
          <cell r="E459" t="str">
            <v>MEDLINE</v>
          </cell>
          <cell r="F459" t="str">
            <v/>
          </cell>
          <cell r="G459" t="str">
            <v/>
          </cell>
          <cell r="H459" t="str">
            <v/>
          </cell>
          <cell r="I459" t="str">
            <v>UND</v>
          </cell>
          <cell r="J459">
            <v>1</v>
          </cell>
          <cell r="K459">
            <v>1</v>
          </cell>
          <cell r="L459" t="str">
            <v/>
          </cell>
          <cell r="M459">
            <v>0</v>
          </cell>
          <cell r="N459" t="str">
            <v/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387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8</v>
          </cell>
          <cell r="AA459">
            <v>138.15</v>
          </cell>
          <cell r="AB459">
            <v>230.25</v>
          </cell>
          <cell r="AC459">
            <v>0</v>
          </cell>
          <cell r="AD459">
            <v>230.25</v>
          </cell>
          <cell r="AE459">
            <v>0</v>
          </cell>
          <cell r="AF459">
            <v>3.07</v>
          </cell>
          <cell r="AG459">
            <v>0.6</v>
          </cell>
        </row>
        <row r="460">
          <cell r="B460">
            <v>240150116</v>
          </cell>
          <cell r="C460" t="str">
            <v>100/111/04</v>
          </cell>
          <cell r="D460" t="str">
            <v>TUBO ENDOTRAQUEAL 4.0 S/BALON Marca Smith Medical x Und</v>
          </cell>
          <cell r="E460" t="str">
            <v>SMITH MEDICAL</v>
          </cell>
          <cell r="F460" t="str">
            <v/>
          </cell>
          <cell r="G460" t="str">
            <v>TUBOS ENDOTRAQUEAL</v>
          </cell>
          <cell r="H460" t="str">
            <v/>
          </cell>
          <cell r="I460" t="str">
            <v>CJX10</v>
          </cell>
          <cell r="J460">
            <v>1</v>
          </cell>
          <cell r="K460">
            <v>1</v>
          </cell>
          <cell r="L460" t="str">
            <v/>
          </cell>
          <cell r="M460">
            <v>0</v>
          </cell>
          <cell r="N460" t="str">
            <v/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255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600</v>
          </cell>
          <cell r="AA460">
            <v>138.15</v>
          </cell>
          <cell r="AB460">
            <v>230.25</v>
          </cell>
          <cell r="AC460">
            <v>0</v>
          </cell>
          <cell r="AD460">
            <v>230.25</v>
          </cell>
          <cell r="AE460">
            <v>0</v>
          </cell>
          <cell r="AF460">
            <v>3.07</v>
          </cell>
          <cell r="AG460">
            <v>0.6</v>
          </cell>
        </row>
        <row r="461">
          <cell r="B461">
            <v>250450200</v>
          </cell>
          <cell r="C461" t="str">
            <v>100/100/04</v>
          </cell>
          <cell r="D461" t="str">
            <v>TUBO ENDOTRAQUEAL 4.5 C/BALON MARCA AIRCARE SMITH MEDICAL x Und</v>
          </cell>
          <cell r="E461" t="str">
            <v>SMITH MEDICAL</v>
          </cell>
          <cell r="F461" t="str">
            <v/>
          </cell>
          <cell r="G461" t="str">
            <v/>
          </cell>
          <cell r="H461" t="str">
            <v/>
          </cell>
          <cell r="I461" t="str">
            <v>UND</v>
          </cell>
          <cell r="J461">
            <v>1</v>
          </cell>
          <cell r="K461">
            <v>1</v>
          </cell>
          <cell r="L461" t="str">
            <v>C</v>
          </cell>
          <cell r="M461">
            <v>339</v>
          </cell>
          <cell r="N461" t="str">
            <v/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80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10</v>
          </cell>
          <cell r="AA461">
            <v>138.15</v>
          </cell>
          <cell r="AB461">
            <v>162.53</v>
          </cell>
          <cell r="AC461">
            <v>0</v>
          </cell>
          <cell r="AD461">
            <v>162.53</v>
          </cell>
          <cell r="AE461">
            <v>0</v>
          </cell>
          <cell r="AF461">
            <v>3.07</v>
          </cell>
          <cell r="AG461">
            <v>0.85</v>
          </cell>
        </row>
        <row r="462">
          <cell r="B462">
            <v>250450203</v>
          </cell>
          <cell r="C462" t="str">
            <v>100/127/04</v>
          </cell>
          <cell r="D462" t="str">
            <v>TUBO ENDOTRAQUEAL 4.5 S/BALON MARCA PORTEX SMITH MEDICAL x Und</v>
          </cell>
          <cell r="E462" t="str">
            <v>SMITH MEDICAL</v>
          </cell>
          <cell r="F462" t="str">
            <v/>
          </cell>
          <cell r="G462" t="str">
            <v/>
          </cell>
          <cell r="H462" t="str">
            <v/>
          </cell>
          <cell r="I462" t="str">
            <v>CJX10</v>
          </cell>
          <cell r="J462">
            <v>1</v>
          </cell>
          <cell r="K462">
            <v>1</v>
          </cell>
          <cell r="L462" t="str">
            <v>C</v>
          </cell>
          <cell r="M462">
            <v>350</v>
          </cell>
          <cell r="N462" t="str">
            <v/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369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3</v>
          </cell>
          <cell r="AA462">
            <v>138.15</v>
          </cell>
          <cell r="AB462">
            <v>162.53</v>
          </cell>
          <cell r="AC462">
            <v>0</v>
          </cell>
          <cell r="AD462">
            <v>162.53</v>
          </cell>
          <cell r="AE462">
            <v>0</v>
          </cell>
          <cell r="AF462">
            <v>3.07</v>
          </cell>
          <cell r="AG462">
            <v>0.85</v>
          </cell>
        </row>
        <row r="463">
          <cell r="B463">
            <v>250450301</v>
          </cell>
          <cell r="C463" t="str">
            <v>100/111/05</v>
          </cell>
          <cell r="D463" t="str">
            <v>TUBO ENDOTRAQUEAL 5.0 S/BALON Marca SMITH MEDICAL PORTEX x Und</v>
          </cell>
          <cell r="E463" t="str">
            <v>PORTEX</v>
          </cell>
          <cell r="F463" t="str">
            <v/>
          </cell>
          <cell r="G463" t="str">
            <v/>
          </cell>
          <cell r="H463" t="str">
            <v/>
          </cell>
          <cell r="I463" t="str">
            <v>CJX10</v>
          </cell>
          <cell r="J463">
            <v>1</v>
          </cell>
          <cell r="K463">
            <v>1</v>
          </cell>
          <cell r="L463" t="str">
            <v>C</v>
          </cell>
          <cell r="M463">
            <v>357</v>
          </cell>
          <cell r="N463" t="str">
            <v/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369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5</v>
          </cell>
          <cell r="AA463">
            <v>138.15</v>
          </cell>
          <cell r="AB463">
            <v>162.53</v>
          </cell>
          <cell r="AC463">
            <v>0</v>
          </cell>
          <cell r="AD463">
            <v>162.53</v>
          </cell>
          <cell r="AE463">
            <v>0</v>
          </cell>
          <cell r="AF463">
            <v>3.07</v>
          </cell>
          <cell r="AG463">
            <v>0.85</v>
          </cell>
        </row>
        <row r="464">
          <cell r="B464">
            <v>240600236</v>
          </cell>
          <cell r="C464" t="str">
            <v>DYND43065</v>
          </cell>
          <cell r="D464" t="str">
            <v>TUBO ENDOTRAQUEAL 6,5 C/BALON MEDLINE x Und</v>
          </cell>
          <cell r="E464" t="str">
            <v>MEDLINE</v>
          </cell>
          <cell r="F464" t="str">
            <v>(REF.DYND43065)</v>
          </cell>
          <cell r="G464" t="str">
            <v/>
          </cell>
          <cell r="H464" t="str">
            <v/>
          </cell>
          <cell r="I464" t="str">
            <v>UND</v>
          </cell>
          <cell r="J464">
            <v>1</v>
          </cell>
          <cell r="K464">
            <v>1</v>
          </cell>
          <cell r="L464" t="str">
            <v>C</v>
          </cell>
          <cell r="M464">
            <v>344</v>
          </cell>
          <cell r="N464" t="str">
            <v/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185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6</v>
          </cell>
          <cell r="AA464">
            <v>138.15</v>
          </cell>
          <cell r="AB464">
            <v>162.53</v>
          </cell>
          <cell r="AC464">
            <v>0</v>
          </cell>
          <cell r="AD464">
            <v>162.53</v>
          </cell>
          <cell r="AE464">
            <v>0</v>
          </cell>
          <cell r="AF464">
            <v>3.07</v>
          </cell>
          <cell r="AG464">
            <v>0.85</v>
          </cell>
        </row>
        <row r="465">
          <cell r="B465">
            <v>240600239</v>
          </cell>
          <cell r="C465" t="str">
            <v>DYNJAETC7</v>
          </cell>
          <cell r="D465" t="str">
            <v>TUBO ENDOTRAQUEAL 7,5 C/BALON MEDLINE x Und</v>
          </cell>
          <cell r="E465" t="str">
            <v>MEDLINE</v>
          </cell>
          <cell r="F465" t="str">
            <v>(REF.DYNJAETC75S)</v>
          </cell>
          <cell r="G465" t="str">
            <v/>
          </cell>
          <cell r="H465" t="str">
            <v/>
          </cell>
          <cell r="I465" t="str">
            <v>CJX10</v>
          </cell>
          <cell r="J465">
            <v>1</v>
          </cell>
          <cell r="K465">
            <v>1</v>
          </cell>
          <cell r="L465" t="str">
            <v>C</v>
          </cell>
          <cell r="M465">
            <v>343</v>
          </cell>
          <cell r="N465" t="str">
            <v/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70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50</v>
          </cell>
          <cell r="AA465">
            <v>138.15</v>
          </cell>
          <cell r="AB465">
            <v>162.53</v>
          </cell>
          <cell r="AC465">
            <v>0</v>
          </cell>
          <cell r="AD465">
            <v>162.53</v>
          </cell>
          <cell r="AE465">
            <v>0</v>
          </cell>
          <cell r="AF465">
            <v>3.07</v>
          </cell>
          <cell r="AG465">
            <v>0.85</v>
          </cell>
        </row>
        <row r="466">
          <cell r="B466">
            <v>250150202</v>
          </cell>
          <cell r="C466" t="str">
            <v>DYND48035</v>
          </cell>
          <cell r="D466" t="str">
            <v>TUBO ENDOTRAQUEAL HI LOW 3.5 S/BALON MEDLINE x Und</v>
          </cell>
          <cell r="E466" t="str">
            <v>MEDLINE</v>
          </cell>
          <cell r="F466" t="str">
            <v/>
          </cell>
          <cell r="G466" t="str">
            <v/>
          </cell>
          <cell r="H466" t="str">
            <v/>
          </cell>
          <cell r="I466" t="str">
            <v>CJX10</v>
          </cell>
          <cell r="J466">
            <v>1</v>
          </cell>
          <cell r="K466">
            <v>1</v>
          </cell>
          <cell r="L466" t="str">
            <v>C</v>
          </cell>
          <cell r="M466">
            <v>293</v>
          </cell>
          <cell r="N466" t="str">
            <v>C</v>
          </cell>
          <cell r="O466">
            <v>275</v>
          </cell>
          <cell r="P466">
            <v>0</v>
          </cell>
          <cell r="Q466">
            <v>9</v>
          </cell>
          <cell r="R466">
            <v>9</v>
          </cell>
          <cell r="S466">
            <v>0</v>
          </cell>
          <cell r="T466">
            <v>5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9</v>
          </cell>
          <cell r="Z466">
            <v>9</v>
          </cell>
          <cell r="AA466">
            <v>138.15</v>
          </cell>
          <cell r="AB466">
            <v>162.53</v>
          </cell>
          <cell r="AC466">
            <v>0</v>
          </cell>
          <cell r="AD466">
            <v>162.53</v>
          </cell>
          <cell r="AE466">
            <v>0</v>
          </cell>
          <cell r="AF466">
            <v>3.07</v>
          </cell>
          <cell r="AG466">
            <v>0.85</v>
          </cell>
        </row>
        <row r="467">
          <cell r="B467">
            <v>243450307</v>
          </cell>
          <cell r="C467" t="str">
            <v>DYND43080</v>
          </cell>
          <cell r="D467" t="str">
            <v>TUBO ENDOTRAQUEAL HI LOW 4.0 C/BALON MEDLINE x UND</v>
          </cell>
          <cell r="E467" t="str">
            <v>MEDLINE</v>
          </cell>
          <cell r="F467" t="str">
            <v/>
          </cell>
          <cell r="G467" t="str">
            <v/>
          </cell>
          <cell r="H467" t="str">
            <v/>
          </cell>
          <cell r="I467" t="str">
            <v>UND</v>
          </cell>
          <cell r="J467">
            <v>1</v>
          </cell>
          <cell r="K467">
            <v>1</v>
          </cell>
          <cell r="L467" t="str">
            <v>C</v>
          </cell>
          <cell r="M467">
            <v>416</v>
          </cell>
          <cell r="N467" t="str">
            <v>C</v>
          </cell>
          <cell r="O467">
            <v>172</v>
          </cell>
          <cell r="P467">
            <v>0</v>
          </cell>
          <cell r="Q467">
            <v>10</v>
          </cell>
          <cell r="R467">
            <v>10</v>
          </cell>
          <cell r="S467">
            <v>0</v>
          </cell>
          <cell r="T467">
            <v>5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10</v>
          </cell>
          <cell r="Z467">
            <v>10</v>
          </cell>
          <cell r="AA467">
            <v>138.15</v>
          </cell>
          <cell r="AB467">
            <v>162.53</v>
          </cell>
          <cell r="AC467">
            <v>0</v>
          </cell>
          <cell r="AD467">
            <v>162.53</v>
          </cell>
          <cell r="AE467">
            <v>0</v>
          </cell>
          <cell r="AF467">
            <v>3.07</v>
          </cell>
          <cell r="AG467">
            <v>0.85</v>
          </cell>
        </row>
        <row r="468">
          <cell r="B468">
            <v>240600301</v>
          </cell>
          <cell r="C468" t="str">
            <v/>
          </cell>
          <cell r="D468" t="str">
            <v>TUBO TAPA ROJA GRADILLA X 100 UNDS. MARCA MC MEDICAL</v>
          </cell>
          <cell r="E468" t="str">
            <v>DIPHOSYC</v>
          </cell>
          <cell r="F468" t="str">
            <v/>
          </cell>
          <cell r="G468" t="str">
            <v>TUBOS ENDOTRAQUEAL</v>
          </cell>
          <cell r="H468" t="str">
            <v/>
          </cell>
          <cell r="I468" t="str">
            <v>CJX100</v>
          </cell>
          <cell r="J468">
            <v>1</v>
          </cell>
          <cell r="K468">
            <v>1</v>
          </cell>
          <cell r="L468" t="str">
            <v>C</v>
          </cell>
          <cell r="M468">
            <v>362</v>
          </cell>
          <cell r="N468" t="str">
            <v/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270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900</v>
          </cell>
          <cell r="AA468">
            <v>3.42</v>
          </cell>
          <cell r="AB468">
            <v>5.26</v>
          </cell>
          <cell r="AC468">
            <v>0</v>
          </cell>
          <cell r="AD468">
            <v>5.26</v>
          </cell>
          <cell r="AE468">
            <v>0</v>
          </cell>
          <cell r="AF468">
            <v>7.5999999999999998E-2</v>
          </cell>
          <cell r="AG468">
            <v>0.65</v>
          </cell>
        </row>
        <row r="469">
          <cell r="B469" t="str">
            <v>AJUSTE002</v>
          </cell>
          <cell r="C469" t="str">
            <v/>
          </cell>
          <cell r="D469" t="str">
            <v>Z*Ajuste Admin Base Imponible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>
            <v>1</v>
          </cell>
          <cell r="K469">
            <v>1</v>
          </cell>
          <cell r="L469" t="str">
            <v>C</v>
          </cell>
          <cell r="M469">
            <v>415</v>
          </cell>
          <cell r="N469" t="str">
            <v/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389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45</v>
          </cell>
          <cell r="AC469">
            <v>0</v>
          </cell>
          <cell r="AD469">
            <v>45</v>
          </cell>
          <cell r="AE469">
            <v>0</v>
          </cell>
          <cell r="AF469">
            <v>0</v>
          </cell>
          <cell r="AG469">
            <v>0</v>
          </cell>
        </row>
        <row r="470">
          <cell r="B470" t="str">
            <v>AJUSTE001</v>
          </cell>
          <cell r="C470" t="str">
            <v/>
          </cell>
          <cell r="D470" t="str">
            <v>Z*Ajuste Admin Exento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>
            <v>1</v>
          </cell>
          <cell r="K470">
            <v>1</v>
          </cell>
          <cell r="L470" t="str">
            <v>C</v>
          </cell>
          <cell r="M470">
            <v>414</v>
          </cell>
          <cell r="N470" t="str">
            <v/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389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45</v>
          </cell>
          <cell r="AC470">
            <v>0</v>
          </cell>
          <cell r="AD470">
            <v>45</v>
          </cell>
          <cell r="AE470">
            <v>0</v>
          </cell>
          <cell r="AF470">
            <v>0</v>
          </cell>
          <cell r="AG470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9"/>
  <sheetViews>
    <sheetView tabSelected="1" workbookViewId="0">
      <selection activeCell="B19" sqref="B19"/>
    </sheetView>
  </sheetViews>
  <sheetFormatPr baseColWidth="10" defaultRowHeight="15"/>
  <cols>
    <col min="1" max="1" width="6" customWidth="1"/>
    <col min="2" max="2" width="17.5703125" customWidth="1"/>
    <col min="3" max="3" width="14.85546875" customWidth="1"/>
    <col min="4" max="4" width="34.7109375" customWidth="1"/>
    <col min="5" max="5" width="28.28515625" customWidth="1"/>
    <col min="6" max="6" width="31" customWidth="1"/>
    <col min="7" max="7" width="8" bestFit="1" customWidth="1"/>
    <col min="8" max="8" width="9.42578125" customWidth="1"/>
    <col min="9" max="9" width="13.7109375" bestFit="1" customWidth="1"/>
    <col min="10" max="10" width="20.28515625" bestFit="1" customWidth="1"/>
    <col min="11" max="11" width="12" style="5" bestFit="1" customWidth="1"/>
    <col min="12" max="12" width="21.5703125" style="7" customWidth="1"/>
    <col min="13" max="13" width="12.140625" style="5" customWidth="1"/>
    <col min="14" max="14" width="25.7109375" customWidth="1"/>
    <col min="15" max="15" width="28.28515625" customWidth="1"/>
    <col min="16" max="16" width="25.7109375" customWidth="1"/>
    <col min="17" max="17" width="36.42578125" customWidth="1"/>
    <col min="18" max="19" width="54" customWidth="1"/>
    <col min="20" max="20" width="12.140625" customWidth="1"/>
    <col min="21" max="21" width="10.7109375" customWidth="1"/>
    <col min="22" max="22" width="14.85546875" customWidth="1"/>
    <col min="23" max="23" width="16.28515625" customWidth="1"/>
    <col min="24" max="25" width="6" customWidth="1"/>
    <col min="26" max="26" width="9.42578125" customWidth="1"/>
    <col min="27" max="27" width="16.28515625" customWidth="1"/>
    <col min="28" max="29" width="24.28515625" customWidth="1"/>
    <col min="30" max="30" width="11.5703125" customWidth="1"/>
  </cols>
  <sheetData>
    <row r="1" spans="1:29">
      <c r="A1" s="11">
        <v>1</v>
      </c>
      <c r="B1" s="11">
        <f>+A1+1</f>
        <v>2</v>
      </c>
      <c r="C1" s="11">
        <f t="shared" ref="C1:AC1" si="0">+B1+1</f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>
        <f t="shared" si="0"/>
        <v>7</v>
      </c>
      <c r="H1" s="11">
        <f t="shared" si="0"/>
        <v>8</v>
      </c>
      <c r="I1" s="11">
        <f t="shared" si="0"/>
        <v>9</v>
      </c>
      <c r="J1" s="11">
        <f t="shared" si="0"/>
        <v>10</v>
      </c>
      <c r="K1" s="11">
        <f t="shared" si="0"/>
        <v>11</v>
      </c>
      <c r="L1" s="11">
        <f t="shared" si="0"/>
        <v>12</v>
      </c>
      <c r="M1" s="11">
        <f t="shared" si="0"/>
        <v>13</v>
      </c>
      <c r="N1" s="11">
        <f t="shared" si="0"/>
        <v>14</v>
      </c>
      <c r="O1" s="11">
        <f t="shared" si="0"/>
        <v>15</v>
      </c>
      <c r="P1" s="11">
        <f t="shared" si="0"/>
        <v>16</v>
      </c>
      <c r="Q1" s="11">
        <f t="shared" si="0"/>
        <v>17</v>
      </c>
      <c r="R1" s="11">
        <f t="shared" si="0"/>
        <v>18</v>
      </c>
      <c r="S1" s="11">
        <f t="shared" si="0"/>
        <v>19</v>
      </c>
      <c r="T1" s="11">
        <f t="shared" si="0"/>
        <v>20</v>
      </c>
      <c r="U1" s="11">
        <f t="shared" si="0"/>
        <v>21</v>
      </c>
      <c r="V1" s="11">
        <f t="shared" si="0"/>
        <v>22</v>
      </c>
      <c r="W1" s="11">
        <f t="shared" si="0"/>
        <v>23</v>
      </c>
      <c r="X1" s="11">
        <f t="shared" si="0"/>
        <v>24</v>
      </c>
      <c r="Y1" s="11">
        <f t="shared" si="0"/>
        <v>25</v>
      </c>
      <c r="Z1" s="11">
        <f t="shared" si="0"/>
        <v>26</v>
      </c>
      <c r="AA1" s="11">
        <f t="shared" si="0"/>
        <v>27</v>
      </c>
      <c r="AB1" s="11">
        <f t="shared" si="0"/>
        <v>28</v>
      </c>
      <c r="AC1" s="11">
        <f t="shared" si="0"/>
        <v>29</v>
      </c>
    </row>
    <row r="2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8" t="s">
        <v>10</v>
      </c>
      <c r="L2" s="9" t="s">
        <v>11</v>
      </c>
      <c r="M2" s="8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>
      <c r="A3" s="2">
        <v>195</v>
      </c>
      <c r="B3" s="2">
        <v>240200231</v>
      </c>
      <c r="C3" s="2">
        <v>240200231</v>
      </c>
      <c r="D3" t="s">
        <v>48</v>
      </c>
      <c r="G3" s="3">
        <f>+VLOOKUP(B3,'[1]master_prod_15todos(30-11-2 (2)'!$B$2:$AF$470,31,FALSE)</f>
        <v>0.01</v>
      </c>
      <c r="H3" s="2">
        <v>0</v>
      </c>
      <c r="I3" s="2">
        <v>0</v>
      </c>
      <c r="J3" s="2">
        <v>0</v>
      </c>
      <c r="K3" s="6">
        <f t="shared" ref="K3:K66" si="1">SUM(G3:J3)</f>
        <v>0.01</v>
      </c>
      <c r="L3" s="7">
        <f>+VLOOKUP(B3,'[1]master_prod_15todos(30-11-2 (2)'!$B$2:$AG$470,32,FALSE)</f>
        <v>0.6</v>
      </c>
      <c r="M3" s="10">
        <f>+K3/L3</f>
        <v>1.6666666666666666E-2</v>
      </c>
      <c r="N3" t="s">
        <v>101</v>
      </c>
      <c r="O3" t="s">
        <v>30</v>
      </c>
      <c r="P3" t="s">
        <v>101</v>
      </c>
      <c r="Q3" t="s">
        <v>87</v>
      </c>
      <c r="R3" t="s">
        <v>102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</row>
    <row r="4" spans="1:29">
      <c r="A4" s="2">
        <v>194</v>
      </c>
      <c r="B4" s="2">
        <v>243210105</v>
      </c>
      <c r="C4" s="2">
        <v>243210105</v>
      </c>
      <c r="D4" t="s">
        <v>624</v>
      </c>
      <c r="G4" s="3">
        <v>0.01</v>
      </c>
      <c r="H4" s="2">
        <v>0</v>
      </c>
      <c r="I4" s="2">
        <v>0</v>
      </c>
      <c r="J4" s="2">
        <v>0</v>
      </c>
      <c r="K4" s="6">
        <f t="shared" si="1"/>
        <v>0.01</v>
      </c>
      <c r="L4" s="7">
        <v>0.6</v>
      </c>
      <c r="M4" s="10">
        <f t="shared" ref="M4:M67" si="2">+K4/L4</f>
        <v>1.6666666666666666E-2</v>
      </c>
      <c r="N4" t="s">
        <v>105</v>
      </c>
      <c r="O4" t="s">
        <v>30</v>
      </c>
      <c r="P4" t="s">
        <v>105</v>
      </c>
      <c r="Q4" t="s">
        <v>87</v>
      </c>
      <c r="R4" t="s">
        <v>37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1</v>
      </c>
      <c r="AB4" s="2">
        <v>0</v>
      </c>
      <c r="AC4" s="2">
        <v>0</v>
      </c>
    </row>
    <row r="5" spans="1:29">
      <c r="A5" s="2">
        <v>706</v>
      </c>
      <c r="B5" s="2">
        <v>252100129</v>
      </c>
      <c r="C5" s="2">
        <v>252100129</v>
      </c>
      <c r="D5" t="s">
        <v>812</v>
      </c>
      <c r="F5" t="s">
        <v>166</v>
      </c>
      <c r="G5">
        <v>4.2700000000000002E-2</v>
      </c>
      <c r="H5" s="2">
        <v>0</v>
      </c>
      <c r="I5" s="2">
        <v>0</v>
      </c>
      <c r="J5" s="2">
        <v>0</v>
      </c>
      <c r="K5" s="6">
        <f t="shared" si="1"/>
        <v>4.2700000000000002E-2</v>
      </c>
      <c r="L5" s="7">
        <v>0.8</v>
      </c>
      <c r="M5" s="10">
        <f t="shared" si="2"/>
        <v>5.3374999999999999E-2</v>
      </c>
      <c r="N5" t="s">
        <v>30</v>
      </c>
      <c r="O5" t="s">
        <v>30</v>
      </c>
      <c r="P5" t="s">
        <v>57</v>
      </c>
      <c r="Q5" t="s">
        <v>107</v>
      </c>
      <c r="R5" t="s">
        <v>108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0</v>
      </c>
      <c r="AC5" s="2">
        <v>0</v>
      </c>
    </row>
    <row r="6" spans="1:29">
      <c r="A6" s="2">
        <v>883</v>
      </c>
      <c r="B6" s="2">
        <v>252100244</v>
      </c>
      <c r="C6" s="2">
        <v>252100244</v>
      </c>
      <c r="D6" t="s">
        <v>817</v>
      </c>
      <c r="F6" t="s">
        <v>166</v>
      </c>
      <c r="G6">
        <v>4.3400000000000001E-2</v>
      </c>
      <c r="H6" s="2">
        <v>0</v>
      </c>
      <c r="I6" s="2">
        <v>0</v>
      </c>
      <c r="J6" s="2">
        <v>0</v>
      </c>
      <c r="K6" s="6">
        <f t="shared" si="1"/>
        <v>4.3400000000000001E-2</v>
      </c>
      <c r="L6" s="7">
        <v>0.8</v>
      </c>
      <c r="M6" s="10">
        <f t="shared" si="2"/>
        <v>5.425E-2</v>
      </c>
      <c r="N6" t="s">
        <v>30</v>
      </c>
      <c r="O6" t="s">
        <v>30</v>
      </c>
      <c r="P6" t="s">
        <v>57</v>
      </c>
      <c r="Q6" t="s">
        <v>107</v>
      </c>
      <c r="R6" t="s">
        <v>110</v>
      </c>
      <c r="T6" s="2">
        <v>1</v>
      </c>
      <c r="U6" s="2">
        <v>1</v>
      </c>
      <c r="V6" s="2">
        <v>1</v>
      </c>
      <c r="W6" s="2">
        <v>1</v>
      </c>
      <c r="X6" s="2">
        <v>0</v>
      </c>
      <c r="Y6" s="2">
        <v>1</v>
      </c>
      <c r="Z6" s="2">
        <v>0</v>
      </c>
      <c r="AA6" s="2">
        <v>1</v>
      </c>
      <c r="AB6" s="2">
        <v>0</v>
      </c>
      <c r="AC6" s="2">
        <v>0</v>
      </c>
    </row>
    <row r="7" spans="1:29">
      <c r="A7" s="2">
        <v>884</v>
      </c>
      <c r="B7" s="2">
        <v>252100107</v>
      </c>
      <c r="C7" s="2">
        <v>252100107</v>
      </c>
      <c r="D7" t="s">
        <v>809</v>
      </c>
      <c r="F7" t="s">
        <v>166</v>
      </c>
      <c r="G7">
        <v>4.3799999999999999E-2</v>
      </c>
      <c r="H7" s="2">
        <v>0</v>
      </c>
      <c r="I7" s="2">
        <v>0</v>
      </c>
      <c r="J7" s="2">
        <v>0</v>
      </c>
      <c r="K7" s="6">
        <f t="shared" si="1"/>
        <v>4.3799999999999999E-2</v>
      </c>
      <c r="L7" s="7">
        <v>0.8</v>
      </c>
      <c r="M7" s="10">
        <f t="shared" si="2"/>
        <v>5.4749999999999993E-2</v>
      </c>
      <c r="N7" t="s">
        <v>51</v>
      </c>
      <c r="O7" t="s">
        <v>30</v>
      </c>
      <c r="P7" t="s">
        <v>51</v>
      </c>
      <c r="Q7" t="s">
        <v>81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0</v>
      </c>
      <c r="AC7" s="2">
        <v>0</v>
      </c>
    </row>
    <row r="8" spans="1:29">
      <c r="A8" s="2">
        <v>892</v>
      </c>
      <c r="B8" s="2">
        <v>241270103</v>
      </c>
      <c r="C8" s="2">
        <v>241270103</v>
      </c>
      <c r="D8" t="s">
        <v>316</v>
      </c>
      <c r="F8" t="s">
        <v>297</v>
      </c>
      <c r="G8" s="3">
        <f>+VLOOKUP(B8,'[1]master_prod_15todos(30-11-2 (2)'!$B$2:$AF$470,31,FALSE)</f>
        <v>0.05</v>
      </c>
      <c r="H8" s="2">
        <v>0</v>
      </c>
      <c r="I8" s="2">
        <v>0</v>
      </c>
      <c r="J8" s="2">
        <v>0</v>
      </c>
      <c r="K8" s="6">
        <f t="shared" si="1"/>
        <v>0.05</v>
      </c>
      <c r="L8" s="7">
        <f>+VLOOKUP(B8,'[1]master_prod_15todos(30-11-2 (2)'!$B$2:$AG$470,32,FALSE)</f>
        <v>0.70030000000000003</v>
      </c>
      <c r="M8" s="10">
        <f t="shared" si="2"/>
        <v>7.1397972297586751E-2</v>
      </c>
      <c r="N8" t="s">
        <v>51</v>
      </c>
      <c r="O8" t="s">
        <v>30</v>
      </c>
      <c r="P8" t="s">
        <v>51</v>
      </c>
      <c r="Q8" t="s">
        <v>81</v>
      </c>
      <c r="R8" t="s">
        <v>114</v>
      </c>
      <c r="T8" s="2">
        <v>1</v>
      </c>
      <c r="U8" s="2">
        <v>1</v>
      </c>
      <c r="V8" s="2">
        <v>1</v>
      </c>
      <c r="W8" s="2">
        <v>1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</row>
    <row r="9" spans="1:29">
      <c r="A9" s="2">
        <v>885</v>
      </c>
      <c r="B9" s="2">
        <v>252100233</v>
      </c>
      <c r="C9" s="2">
        <v>252100233</v>
      </c>
      <c r="D9" t="s">
        <v>816</v>
      </c>
      <c r="F9" t="s">
        <v>166</v>
      </c>
      <c r="G9">
        <v>6.8500000000000005E-2</v>
      </c>
      <c r="H9" s="2">
        <v>0</v>
      </c>
      <c r="I9" s="2">
        <v>0</v>
      </c>
      <c r="J9" s="2">
        <v>0</v>
      </c>
      <c r="K9" s="6">
        <f t="shared" si="1"/>
        <v>6.8500000000000005E-2</v>
      </c>
      <c r="L9" s="7">
        <v>0.8</v>
      </c>
      <c r="M9" s="10">
        <f t="shared" si="2"/>
        <v>8.5625000000000007E-2</v>
      </c>
      <c r="N9" t="s">
        <v>86</v>
      </c>
      <c r="O9" t="s">
        <v>30</v>
      </c>
      <c r="P9" t="s">
        <v>86</v>
      </c>
      <c r="Q9" t="s">
        <v>81</v>
      </c>
      <c r="R9" t="s">
        <v>37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0</v>
      </c>
      <c r="AA9" s="2">
        <v>1</v>
      </c>
      <c r="AB9" s="2">
        <v>0</v>
      </c>
      <c r="AC9" s="2">
        <v>0</v>
      </c>
    </row>
    <row r="10" spans="1:29">
      <c r="A10" s="2">
        <v>893</v>
      </c>
      <c r="B10" s="2">
        <v>240600216</v>
      </c>
      <c r="C10" s="2">
        <v>240600216</v>
      </c>
      <c r="D10" t="s">
        <v>165</v>
      </c>
      <c r="F10" t="s">
        <v>166</v>
      </c>
      <c r="G10" s="3">
        <f>+VLOOKUP(B10,'[1]master_prod_15todos(30-11-2 (2)'!$B$2:$AF$470,31,FALSE)</f>
        <v>6.8900000000000003E-2</v>
      </c>
      <c r="H10" s="2">
        <v>0</v>
      </c>
      <c r="I10" s="2">
        <v>0</v>
      </c>
      <c r="J10" s="2">
        <v>0</v>
      </c>
      <c r="K10" s="6">
        <f t="shared" si="1"/>
        <v>6.8900000000000003E-2</v>
      </c>
      <c r="L10" s="7">
        <f>+VLOOKUP(B10,'[1]master_prod_15todos(30-11-2 (2)'!$B$2:$AG$470,32,FALSE)</f>
        <v>0.84959999999999991</v>
      </c>
      <c r="M10" s="10">
        <f t="shared" si="2"/>
        <v>8.1096986817325814E-2</v>
      </c>
      <c r="N10" t="s">
        <v>35</v>
      </c>
      <c r="O10" t="s">
        <v>30</v>
      </c>
      <c r="P10" t="s">
        <v>35</v>
      </c>
      <c r="Q10" t="s">
        <v>119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0</v>
      </c>
      <c r="AC10" s="2">
        <v>0</v>
      </c>
    </row>
    <row r="11" spans="1:29">
      <c r="A11" s="2">
        <v>895</v>
      </c>
      <c r="B11" s="2">
        <v>240600301</v>
      </c>
      <c r="C11" s="2">
        <v>240600301</v>
      </c>
      <c r="D11" t="s">
        <v>190</v>
      </c>
      <c r="F11" t="s">
        <v>166</v>
      </c>
      <c r="G11" s="3">
        <f>+VLOOKUP(B11,'[1]master_prod_15todos(30-11-2 (2)'!$B$2:$AF$470,31,FALSE)</f>
        <v>7.5999999999999998E-2</v>
      </c>
      <c r="H11" s="2">
        <v>0</v>
      </c>
      <c r="I11" s="2">
        <v>0</v>
      </c>
      <c r="J11" s="2">
        <v>0</v>
      </c>
      <c r="K11" s="6">
        <f t="shared" si="1"/>
        <v>7.5999999999999998E-2</v>
      </c>
      <c r="L11" s="7">
        <f>+VLOOKUP(B11,'[1]master_prod_15todos(30-11-2 (2)'!$B$2:$AG$470,32,FALSE)</f>
        <v>0.65</v>
      </c>
      <c r="M11" s="10">
        <f t="shared" si="2"/>
        <v>0.11692307692307692</v>
      </c>
      <c r="N11" t="s">
        <v>35</v>
      </c>
      <c r="O11" t="s">
        <v>30</v>
      </c>
      <c r="P11" t="s">
        <v>37</v>
      </c>
      <c r="Q11" t="s">
        <v>119</v>
      </c>
      <c r="T11" s="2">
        <v>1</v>
      </c>
      <c r="U11" s="2">
        <v>1</v>
      </c>
      <c r="V11" s="2">
        <v>1</v>
      </c>
      <c r="W11" s="2">
        <v>1</v>
      </c>
      <c r="X11" s="2">
        <v>0</v>
      </c>
      <c r="Y11" s="2">
        <v>1</v>
      </c>
      <c r="Z11" s="2">
        <v>0</v>
      </c>
      <c r="AA11" s="2">
        <v>1</v>
      </c>
      <c r="AB11" s="2">
        <v>0</v>
      </c>
      <c r="AC11" s="2">
        <v>0</v>
      </c>
    </row>
    <row r="12" spans="1:29">
      <c r="A12" s="2">
        <v>762</v>
      </c>
      <c r="B12" s="2">
        <v>241260102</v>
      </c>
      <c r="C12" s="2">
        <v>241260102</v>
      </c>
      <c r="D12" t="s">
        <v>296</v>
      </c>
      <c r="F12" t="s">
        <v>297</v>
      </c>
      <c r="G12" s="3">
        <f>+VLOOKUP(B12,'[1]master_prod_15todos(30-11-2 (2)'!$B$2:$AF$470,31,FALSE)</f>
        <v>8.0199999999999994E-2</v>
      </c>
      <c r="H12" s="2">
        <v>0</v>
      </c>
      <c r="I12" s="2">
        <v>0</v>
      </c>
      <c r="J12" s="2">
        <v>0</v>
      </c>
      <c r="K12" s="6">
        <f t="shared" si="1"/>
        <v>8.0199999999999994E-2</v>
      </c>
      <c r="L12" s="7">
        <f>+VLOOKUP(B12,'[1]master_prod_15todos(30-11-2 (2)'!$B$2:$AG$470,32,FALSE)</f>
        <v>0.79959999999999998</v>
      </c>
      <c r="M12" s="10">
        <f t="shared" si="2"/>
        <v>0.10030015007503751</v>
      </c>
      <c r="N12" t="s">
        <v>35</v>
      </c>
      <c r="O12" t="s">
        <v>30</v>
      </c>
      <c r="P12" t="s">
        <v>122</v>
      </c>
      <c r="Q12" t="s">
        <v>119</v>
      </c>
      <c r="R12" t="s">
        <v>123</v>
      </c>
      <c r="T12" s="2">
        <v>1</v>
      </c>
      <c r="U12" s="2">
        <v>1</v>
      </c>
      <c r="V12" s="2">
        <v>1</v>
      </c>
      <c r="W12" s="2">
        <v>1</v>
      </c>
      <c r="X12" s="2">
        <v>0</v>
      </c>
      <c r="Y12" s="2">
        <v>1</v>
      </c>
      <c r="Z12" s="2">
        <v>0</v>
      </c>
      <c r="AA12" s="2">
        <v>1</v>
      </c>
      <c r="AB12">
        <v>0.6</v>
      </c>
      <c r="AC12">
        <v>3.5661999999999998</v>
      </c>
    </row>
    <row r="13" spans="1:29">
      <c r="A13" s="2">
        <v>258</v>
      </c>
      <c r="B13" s="2">
        <v>243050213</v>
      </c>
      <c r="C13" s="2">
        <v>243050213</v>
      </c>
      <c r="D13" t="s">
        <v>593</v>
      </c>
      <c r="F13" t="s">
        <v>594</v>
      </c>
      <c r="G13">
        <v>0.1</v>
      </c>
      <c r="H13" s="2">
        <v>0</v>
      </c>
      <c r="I13" s="2">
        <v>0</v>
      </c>
      <c r="J13" s="2">
        <v>0</v>
      </c>
      <c r="K13" s="6">
        <f t="shared" si="1"/>
        <v>0.1</v>
      </c>
      <c r="L13" s="7">
        <v>0.6502</v>
      </c>
      <c r="M13" s="10">
        <f t="shared" si="2"/>
        <v>0.15379883112888343</v>
      </c>
      <c r="N13" t="s">
        <v>30</v>
      </c>
      <c r="O13" t="s">
        <v>30</v>
      </c>
      <c r="P13" t="s">
        <v>37</v>
      </c>
      <c r="Q13" t="s">
        <v>119</v>
      </c>
      <c r="T13" s="2">
        <v>1</v>
      </c>
      <c r="U13" s="2">
        <v>1</v>
      </c>
      <c r="V13" s="2">
        <v>1</v>
      </c>
      <c r="W13" s="2">
        <v>1</v>
      </c>
      <c r="X13" s="2">
        <v>0</v>
      </c>
      <c r="Y13" s="2">
        <v>1</v>
      </c>
      <c r="Z13" s="2">
        <v>0</v>
      </c>
      <c r="AA13" s="2">
        <v>1</v>
      </c>
      <c r="AB13" s="2">
        <v>0</v>
      </c>
      <c r="AC13" s="2">
        <v>0</v>
      </c>
    </row>
    <row r="14" spans="1:29">
      <c r="A14" s="2">
        <v>256</v>
      </c>
      <c r="B14" s="2">
        <v>243050218</v>
      </c>
      <c r="C14" s="2">
        <v>243050218</v>
      </c>
      <c r="D14" t="s">
        <v>596</v>
      </c>
      <c r="F14" t="s">
        <v>597</v>
      </c>
      <c r="G14">
        <v>0.1</v>
      </c>
      <c r="H14" s="2">
        <v>0</v>
      </c>
      <c r="I14" s="2">
        <v>0</v>
      </c>
      <c r="J14" s="2">
        <v>0</v>
      </c>
      <c r="K14" s="6">
        <f t="shared" si="1"/>
        <v>0.1</v>
      </c>
      <c r="L14" s="7">
        <v>0.6502</v>
      </c>
      <c r="M14" s="10">
        <f t="shared" si="2"/>
        <v>0.15379883112888343</v>
      </c>
      <c r="N14" t="s">
        <v>30</v>
      </c>
      <c r="O14" t="s">
        <v>30</v>
      </c>
      <c r="P14" t="s">
        <v>30</v>
      </c>
      <c r="Q14" t="s">
        <v>119</v>
      </c>
      <c r="T14" s="2">
        <v>1</v>
      </c>
      <c r="U14" s="2">
        <v>1</v>
      </c>
      <c r="V14" s="2">
        <v>1</v>
      </c>
      <c r="W14" s="2">
        <v>1</v>
      </c>
      <c r="X14" s="2">
        <v>0</v>
      </c>
      <c r="Y14" s="2">
        <v>1</v>
      </c>
      <c r="Z14" s="2">
        <v>0</v>
      </c>
      <c r="AA14" s="2">
        <v>1</v>
      </c>
      <c r="AB14" s="2">
        <v>0</v>
      </c>
      <c r="AC14" s="2">
        <v>0</v>
      </c>
    </row>
    <row r="15" spans="1:29">
      <c r="A15" s="2">
        <v>882</v>
      </c>
      <c r="B15" s="2">
        <v>243450103</v>
      </c>
      <c r="C15" s="2">
        <v>243450103</v>
      </c>
      <c r="D15" t="s">
        <v>637</v>
      </c>
      <c r="F15" t="s">
        <v>638</v>
      </c>
      <c r="G15">
        <v>0.1</v>
      </c>
      <c r="H15" s="2">
        <v>0</v>
      </c>
      <c r="I15" s="2">
        <v>0</v>
      </c>
      <c r="J15" s="2">
        <v>0</v>
      </c>
      <c r="K15" s="6">
        <f t="shared" si="1"/>
        <v>0.1</v>
      </c>
      <c r="L15" s="7">
        <v>0.6</v>
      </c>
      <c r="M15" s="10">
        <f t="shared" si="2"/>
        <v>0.16666666666666669</v>
      </c>
      <c r="N15" t="s">
        <v>30</v>
      </c>
      <c r="O15" t="s">
        <v>30</v>
      </c>
      <c r="P15" t="s">
        <v>30</v>
      </c>
      <c r="Q15" t="s">
        <v>119</v>
      </c>
      <c r="R15" t="s">
        <v>129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0</v>
      </c>
      <c r="AC15" s="2">
        <v>0</v>
      </c>
    </row>
    <row r="16" spans="1:29">
      <c r="A16" s="2">
        <v>257</v>
      </c>
      <c r="B16" s="2">
        <v>243450201</v>
      </c>
      <c r="C16" s="2">
        <v>243450201</v>
      </c>
      <c r="D16" t="s">
        <v>640</v>
      </c>
      <c r="F16" t="s">
        <v>34</v>
      </c>
      <c r="G16">
        <v>0.1</v>
      </c>
      <c r="H16" s="2">
        <v>0</v>
      </c>
      <c r="I16" s="2">
        <v>0</v>
      </c>
      <c r="J16" s="2">
        <v>0</v>
      </c>
      <c r="K16" s="6">
        <f t="shared" si="1"/>
        <v>0.1</v>
      </c>
      <c r="L16" s="7">
        <v>0.6502</v>
      </c>
      <c r="M16" s="10">
        <f t="shared" si="2"/>
        <v>0.15379883112888343</v>
      </c>
      <c r="N16" t="s">
        <v>30</v>
      </c>
      <c r="O16" t="s">
        <v>30</v>
      </c>
      <c r="P16" t="s">
        <v>30</v>
      </c>
      <c r="Q16" t="s">
        <v>119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2">
        <v>1</v>
      </c>
      <c r="AB16" s="2">
        <v>0</v>
      </c>
      <c r="AC16" s="2">
        <v>0</v>
      </c>
    </row>
    <row r="17" spans="1:29">
      <c r="A17" s="2">
        <v>886</v>
      </c>
      <c r="B17" s="2">
        <v>252100120</v>
      </c>
      <c r="C17" s="2">
        <v>252100120</v>
      </c>
      <c r="D17" t="s">
        <v>811</v>
      </c>
      <c r="F17" t="s">
        <v>166</v>
      </c>
      <c r="G17">
        <v>0.1027</v>
      </c>
      <c r="H17" s="2">
        <v>0</v>
      </c>
      <c r="I17" s="2">
        <v>0</v>
      </c>
      <c r="J17" s="2">
        <v>0</v>
      </c>
      <c r="K17" s="6">
        <f t="shared" si="1"/>
        <v>0.1027</v>
      </c>
      <c r="L17" s="7">
        <v>0.8</v>
      </c>
      <c r="M17" s="10">
        <f t="shared" si="2"/>
        <v>0.12837499999999999</v>
      </c>
      <c r="N17" t="s">
        <v>30</v>
      </c>
      <c r="O17" t="s">
        <v>30</v>
      </c>
      <c r="P17" t="s">
        <v>30</v>
      </c>
      <c r="Q17" t="s">
        <v>119</v>
      </c>
      <c r="T17" s="2">
        <v>1</v>
      </c>
      <c r="U17" s="2">
        <v>1</v>
      </c>
      <c r="V17" s="2">
        <v>1</v>
      </c>
      <c r="W17" s="2">
        <v>1</v>
      </c>
      <c r="X17" s="2">
        <v>0</v>
      </c>
      <c r="Y17" s="2">
        <v>1</v>
      </c>
      <c r="Z17" s="2">
        <v>0</v>
      </c>
      <c r="AA17" s="2">
        <v>1</v>
      </c>
      <c r="AB17" s="2">
        <v>0</v>
      </c>
      <c r="AC17" s="2">
        <v>0</v>
      </c>
    </row>
    <row r="18" spans="1:29">
      <c r="A18" s="2">
        <v>899</v>
      </c>
      <c r="B18" s="2">
        <v>242300605</v>
      </c>
      <c r="C18" s="2">
        <v>242300605</v>
      </c>
      <c r="D18" t="s">
        <v>524</v>
      </c>
      <c r="F18" t="s">
        <v>525</v>
      </c>
      <c r="G18">
        <v>0.1096</v>
      </c>
      <c r="H18" s="2">
        <v>0</v>
      </c>
      <c r="I18" s="2">
        <v>0</v>
      </c>
      <c r="J18" s="2">
        <v>0</v>
      </c>
      <c r="K18" s="6">
        <f t="shared" si="1"/>
        <v>0.1096</v>
      </c>
      <c r="L18" s="7">
        <v>0.65</v>
      </c>
      <c r="M18" s="10">
        <f t="shared" si="2"/>
        <v>0.16861538461538461</v>
      </c>
      <c r="N18" t="s">
        <v>30</v>
      </c>
      <c r="O18" t="s">
        <v>30</v>
      </c>
      <c r="P18" t="s">
        <v>35</v>
      </c>
      <c r="Q18" t="s">
        <v>119</v>
      </c>
      <c r="R18" t="s">
        <v>137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1</v>
      </c>
      <c r="Z18" s="2">
        <v>0</v>
      </c>
      <c r="AA18" s="2">
        <v>1</v>
      </c>
      <c r="AB18" s="2">
        <v>0</v>
      </c>
      <c r="AC18" s="2">
        <v>0</v>
      </c>
    </row>
    <row r="19" spans="1:29">
      <c r="A19" s="2">
        <v>903</v>
      </c>
      <c r="B19" s="2">
        <v>250850203</v>
      </c>
      <c r="C19" s="2">
        <v>250850203</v>
      </c>
      <c r="D19" t="s">
        <v>774</v>
      </c>
      <c r="E19" s="2">
        <v>18705050</v>
      </c>
      <c r="F19" t="s">
        <v>100</v>
      </c>
      <c r="G19">
        <v>0.1225</v>
      </c>
      <c r="H19" s="2">
        <v>0</v>
      </c>
      <c r="I19" s="2">
        <v>0</v>
      </c>
      <c r="J19" s="2">
        <v>0</v>
      </c>
      <c r="K19" s="6">
        <f t="shared" si="1"/>
        <v>0.1225</v>
      </c>
      <c r="L19" s="7">
        <v>0.6</v>
      </c>
      <c r="M19" s="10">
        <f t="shared" si="2"/>
        <v>0.20416666666666666</v>
      </c>
      <c r="N19" t="s">
        <v>30</v>
      </c>
      <c r="O19" t="s">
        <v>30</v>
      </c>
      <c r="P19" t="s">
        <v>35</v>
      </c>
      <c r="Q19" t="s">
        <v>119</v>
      </c>
      <c r="R19" t="s">
        <v>139</v>
      </c>
      <c r="T19" s="2">
        <v>1</v>
      </c>
      <c r="U19" s="2">
        <v>1</v>
      </c>
      <c r="V19" s="2">
        <v>1</v>
      </c>
      <c r="W19" s="2">
        <v>1</v>
      </c>
      <c r="X19" s="2">
        <v>0</v>
      </c>
      <c r="Y19" s="2">
        <v>1</v>
      </c>
      <c r="Z19" s="2">
        <v>0</v>
      </c>
      <c r="AA19" s="2">
        <v>1</v>
      </c>
      <c r="AB19">
        <v>0.6</v>
      </c>
      <c r="AC19">
        <v>4.3</v>
      </c>
    </row>
    <row r="20" spans="1:29">
      <c r="A20" s="2">
        <v>737</v>
      </c>
      <c r="B20" s="2">
        <v>243450104</v>
      </c>
      <c r="C20" s="2">
        <v>243450104</v>
      </c>
      <c r="D20" t="s">
        <v>639</v>
      </c>
      <c r="F20" t="s">
        <v>34</v>
      </c>
      <c r="G20">
        <v>0.126</v>
      </c>
      <c r="H20" s="2">
        <v>0</v>
      </c>
      <c r="I20" s="2">
        <v>0</v>
      </c>
      <c r="J20" s="2">
        <v>0</v>
      </c>
      <c r="K20" s="6">
        <f t="shared" si="1"/>
        <v>0.126</v>
      </c>
      <c r="L20" s="7">
        <v>0.8</v>
      </c>
      <c r="M20" s="10">
        <f t="shared" si="2"/>
        <v>0.1575</v>
      </c>
      <c r="N20" t="s">
        <v>142</v>
      </c>
      <c r="O20" t="s">
        <v>30</v>
      </c>
      <c r="P20" t="s">
        <v>142</v>
      </c>
      <c r="Q20" t="s">
        <v>119</v>
      </c>
      <c r="R20" t="s">
        <v>119</v>
      </c>
      <c r="T20" s="2">
        <v>1</v>
      </c>
      <c r="U20" s="2">
        <v>1</v>
      </c>
      <c r="V20" s="2">
        <v>1</v>
      </c>
      <c r="W20" s="2">
        <v>1</v>
      </c>
      <c r="X20" s="2">
        <v>0</v>
      </c>
      <c r="Y20" s="2">
        <v>1</v>
      </c>
      <c r="Z20" s="2">
        <v>0</v>
      </c>
      <c r="AA20" s="2">
        <v>1</v>
      </c>
      <c r="AB20" s="2">
        <v>0</v>
      </c>
      <c r="AC20" s="2">
        <v>0</v>
      </c>
    </row>
    <row r="21" spans="1:29">
      <c r="A21" s="2">
        <v>894</v>
      </c>
      <c r="B21" s="2">
        <v>240600215</v>
      </c>
      <c r="C21" s="2">
        <v>240600215</v>
      </c>
      <c r="D21" t="s">
        <v>162</v>
      </c>
      <c r="F21" t="s">
        <v>163</v>
      </c>
      <c r="G21" s="3">
        <f>+VLOOKUP(B21,'[1]master_prod_15todos(30-11-2 (2)'!$B$2:$AF$470,31,FALSE)</f>
        <v>0.13</v>
      </c>
      <c r="H21" s="2">
        <v>0</v>
      </c>
      <c r="I21" s="2">
        <v>0</v>
      </c>
      <c r="J21" s="2">
        <v>0</v>
      </c>
      <c r="K21" s="6">
        <f t="shared" si="1"/>
        <v>0.13</v>
      </c>
      <c r="L21" s="7">
        <f>+VLOOKUP(B21,'[1]master_prod_15todos(30-11-2 (2)'!$B$2:$AG$470,32,FALSE)</f>
        <v>0.85019999999999996</v>
      </c>
      <c r="M21" s="10">
        <f t="shared" si="2"/>
        <v>0.15290519877675843</v>
      </c>
      <c r="N21" t="s">
        <v>142</v>
      </c>
      <c r="O21" t="s">
        <v>30</v>
      </c>
      <c r="P21" t="s">
        <v>142</v>
      </c>
      <c r="Q21" t="s">
        <v>119</v>
      </c>
      <c r="R21" t="s">
        <v>119</v>
      </c>
      <c r="T21" s="2">
        <v>1</v>
      </c>
      <c r="U21" s="2">
        <v>1</v>
      </c>
      <c r="V21" s="2">
        <v>1</v>
      </c>
      <c r="W21" s="2">
        <v>1</v>
      </c>
      <c r="X21" s="2">
        <v>0</v>
      </c>
      <c r="Y21" s="2">
        <v>1</v>
      </c>
      <c r="Z21" s="2">
        <v>0</v>
      </c>
      <c r="AA21" s="2">
        <v>1</v>
      </c>
      <c r="AB21" s="2">
        <v>0</v>
      </c>
      <c r="AC21" s="2">
        <v>0</v>
      </c>
    </row>
    <row r="22" spans="1:29">
      <c r="A22" s="2">
        <v>609</v>
      </c>
      <c r="B22" s="2">
        <v>242010702</v>
      </c>
      <c r="C22" s="2">
        <v>242010702</v>
      </c>
      <c r="D22" t="s">
        <v>393</v>
      </c>
      <c r="F22" t="s">
        <v>394</v>
      </c>
      <c r="G22" s="3">
        <f>+VLOOKUP(B22,'[1]master_prod_15todos(30-11-2 (2)'!$B$2:$AF$470,31,FALSE)</f>
        <v>0.13</v>
      </c>
      <c r="H22" s="2">
        <v>0</v>
      </c>
      <c r="I22" s="2">
        <v>0</v>
      </c>
      <c r="J22" s="2">
        <v>0</v>
      </c>
      <c r="K22" s="6">
        <f t="shared" si="1"/>
        <v>0.13</v>
      </c>
      <c r="L22" s="7">
        <f>+VLOOKUP(B22,'[1]master_prod_15todos(30-11-2 (2)'!$B$2:$AG$470,32,FALSE)</f>
        <v>0.90029999999999999</v>
      </c>
      <c r="M22" s="10">
        <f t="shared" si="2"/>
        <v>0.14439631234033101</v>
      </c>
      <c r="N22" t="s">
        <v>30</v>
      </c>
      <c r="O22" t="s">
        <v>30</v>
      </c>
      <c r="P22" t="s">
        <v>35</v>
      </c>
      <c r="Q22" t="s">
        <v>119</v>
      </c>
      <c r="R22" t="s">
        <v>145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1</v>
      </c>
      <c r="Z22" s="2">
        <v>0</v>
      </c>
      <c r="AA22" s="2">
        <v>1</v>
      </c>
      <c r="AB22">
        <v>0.6</v>
      </c>
      <c r="AC22">
        <v>4.3</v>
      </c>
    </row>
    <row r="23" spans="1:29">
      <c r="A23" s="2">
        <v>555</v>
      </c>
      <c r="B23" t="s">
        <v>1132</v>
      </c>
      <c r="C23" t="s">
        <v>1132</v>
      </c>
      <c r="D23" t="s">
        <v>1176</v>
      </c>
      <c r="F23" t="s">
        <v>517</v>
      </c>
      <c r="G23" s="3">
        <v>0.13</v>
      </c>
      <c r="H23" s="2">
        <v>0</v>
      </c>
      <c r="I23" s="2">
        <v>0</v>
      </c>
      <c r="J23" s="2">
        <v>0</v>
      </c>
      <c r="K23" s="6">
        <f t="shared" si="1"/>
        <v>0.13</v>
      </c>
      <c r="L23" s="7">
        <v>0.65</v>
      </c>
      <c r="M23" s="10">
        <f t="shared" si="2"/>
        <v>0.2</v>
      </c>
      <c r="N23" t="s">
        <v>35</v>
      </c>
      <c r="O23" t="s">
        <v>30</v>
      </c>
      <c r="P23" t="s">
        <v>86</v>
      </c>
      <c r="Q23" t="s">
        <v>119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1</v>
      </c>
      <c r="AB23" s="2">
        <v>0</v>
      </c>
      <c r="AC23" s="2">
        <v>0</v>
      </c>
    </row>
    <row r="24" spans="1:29">
      <c r="A24" s="2">
        <v>151</v>
      </c>
      <c r="B24" s="2">
        <v>243350100</v>
      </c>
      <c r="C24" s="2">
        <v>243350100</v>
      </c>
      <c r="D24" t="s">
        <v>634</v>
      </c>
      <c r="F24" t="s">
        <v>34</v>
      </c>
      <c r="G24" s="3">
        <v>0.15</v>
      </c>
      <c r="H24" s="2">
        <v>0</v>
      </c>
      <c r="I24" s="2">
        <v>0</v>
      </c>
      <c r="J24" s="2">
        <v>0</v>
      </c>
      <c r="K24" s="6">
        <f t="shared" si="1"/>
        <v>0.15</v>
      </c>
      <c r="L24" s="7">
        <v>0.64990000000000003</v>
      </c>
      <c r="M24" s="10">
        <f t="shared" si="2"/>
        <v>0.2308047391906447</v>
      </c>
      <c r="N24" t="s">
        <v>35</v>
      </c>
      <c r="O24" t="s">
        <v>30</v>
      </c>
      <c r="P24" t="s">
        <v>122</v>
      </c>
      <c r="Q24" t="s">
        <v>119</v>
      </c>
      <c r="R24" t="s">
        <v>150</v>
      </c>
      <c r="T24" s="2">
        <v>1</v>
      </c>
      <c r="U24" s="2">
        <v>1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>
        <v>0.6</v>
      </c>
      <c r="AC24">
        <v>3.5661999999999998</v>
      </c>
    </row>
    <row r="25" spans="1:29">
      <c r="A25" s="2">
        <v>698</v>
      </c>
      <c r="B25" s="2">
        <v>242001209</v>
      </c>
      <c r="C25" s="2">
        <v>242001209</v>
      </c>
      <c r="D25" t="s">
        <v>385</v>
      </c>
      <c r="F25" t="s">
        <v>166</v>
      </c>
      <c r="G25" s="3">
        <f>+VLOOKUP(B25,'[1]master_prod_15todos(30-11-2 (2)'!$B$2:$AF$470,31,FALSE)</f>
        <v>0.15290000000000001</v>
      </c>
      <c r="H25" s="2">
        <v>0</v>
      </c>
      <c r="I25" s="2">
        <v>0</v>
      </c>
      <c r="J25" s="2">
        <v>0</v>
      </c>
      <c r="K25" s="6">
        <f t="shared" si="1"/>
        <v>0.15290000000000001</v>
      </c>
      <c r="L25" s="7">
        <f>+VLOOKUP(B25,'[1]master_prod_15todos(30-11-2 (2)'!$B$2:$AG$470,32,FALSE)</f>
        <v>0.70010000000000006</v>
      </c>
      <c r="M25" s="10">
        <f t="shared" si="2"/>
        <v>0.21839737180402799</v>
      </c>
      <c r="N25" t="s">
        <v>35</v>
      </c>
      <c r="O25" t="s">
        <v>30</v>
      </c>
      <c r="P25" t="s">
        <v>35</v>
      </c>
      <c r="Q25" t="s">
        <v>36</v>
      </c>
      <c r="R25" t="s">
        <v>153</v>
      </c>
      <c r="T25" s="2">
        <v>1</v>
      </c>
      <c r="U25" s="2">
        <v>1</v>
      </c>
      <c r="V25" s="2">
        <v>1</v>
      </c>
      <c r="W25" s="2">
        <v>1</v>
      </c>
      <c r="X25" s="2">
        <v>0</v>
      </c>
      <c r="Y25" s="2">
        <v>1</v>
      </c>
      <c r="Z25" s="2">
        <v>0</v>
      </c>
      <c r="AA25" s="2">
        <v>1</v>
      </c>
      <c r="AB25" s="2">
        <v>0</v>
      </c>
      <c r="AC25" s="2">
        <v>0</v>
      </c>
    </row>
    <row r="26" spans="1:29">
      <c r="A26" s="2">
        <v>606</v>
      </c>
      <c r="B26" s="2">
        <v>242000502</v>
      </c>
      <c r="C26" s="2">
        <v>242000502</v>
      </c>
      <c r="D26" t="s">
        <v>375</v>
      </c>
      <c r="F26" t="s">
        <v>166</v>
      </c>
      <c r="G26" s="3">
        <f>+VLOOKUP(B26,'[1]master_prod_15todos(30-11-2 (2)'!$B$2:$AF$470,31,FALSE)</f>
        <v>0.17</v>
      </c>
      <c r="H26" s="2">
        <v>0</v>
      </c>
      <c r="I26" s="2">
        <v>0</v>
      </c>
      <c r="J26" s="2">
        <v>0</v>
      </c>
      <c r="K26" s="6">
        <f t="shared" si="1"/>
        <v>0.17</v>
      </c>
      <c r="L26" s="7">
        <f>+VLOOKUP(B26,'[1]master_prod_15todos(30-11-2 (2)'!$B$2:$AG$470,32,FALSE)</f>
        <v>0.60009999999999997</v>
      </c>
      <c r="M26" s="10">
        <f t="shared" si="2"/>
        <v>0.28328611898017003</v>
      </c>
      <c r="N26" t="s">
        <v>35</v>
      </c>
      <c r="O26" t="s">
        <v>30</v>
      </c>
      <c r="P26" t="s">
        <v>35</v>
      </c>
      <c r="Q26" t="s">
        <v>36</v>
      </c>
      <c r="R26" t="s">
        <v>37</v>
      </c>
      <c r="T26" s="2">
        <v>1</v>
      </c>
      <c r="U26" s="2">
        <v>1</v>
      </c>
      <c r="V26" s="2">
        <v>1</v>
      </c>
      <c r="W26" s="2">
        <v>1</v>
      </c>
      <c r="X26" s="2">
        <v>0</v>
      </c>
      <c r="Y26" s="2">
        <v>1</v>
      </c>
      <c r="Z26" s="2">
        <v>0</v>
      </c>
      <c r="AA26" s="2">
        <v>1</v>
      </c>
      <c r="AB26" s="2">
        <v>0</v>
      </c>
      <c r="AC26" s="2">
        <v>0</v>
      </c>
    </row>
    <row r="27" spans="1:29">
      <c r="A27" s="2">
        <v>242</v>
      </c>
      <c r="B27" s="2">
        <v>242000207</v>
      </c>
      <c r="C27" s="2">
        <v>242000207</v>
      </c>
      <c r="D27" t="s">
        <v>373</v>
      </c>
      <c r="F27" t="s">
        <v>310</v>
      </c>
      <c r="G27" s="3">
        <f>+VLOOKUP(B27,'[1]master_prod_15todos(30-11-2 (2)'!$B$2:$AF$470,31,FALSE)</f>
        <v>0.19</v>
      </c>
      <c r="H27" s="2">
        <v>0</v>
      </c>
      <c r="I27" s="2">
        <v>0</v>
      </c>
      <c r="J27" s="2">
        <v>0</v>
      </c>
      <c r="K27" s="6">
        <f t="shared" si="1"/>
        <v>0.19</v>
      </c>
      <c r="L27" s="7">
        <f>+VLOOKUP(B27,'[1]master_prod_15todos(30-11-2 (2)'!$B$2:$AG$470,32,FALSE)</f>
        <v>0.8</v>
      </c>
      <c r="M27" s="10">
        <f t="shared" si="2"/>
        <v>0.23749999999999999</v>
      </c>
      <c r="N27" t="s">
        <v>157</v>
      </c>
      <c r="O27" t="s">
        <v>30</v>
      </c>
      <c r="P27" t="s">
        <v>157</v>
      </c>
      <c r="Q27" t="s">
        <v>36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1</v>
      </c>
      <c r="Z27" s="2">
        <v>0</v>
      </c>
      <c r="AA27" s="2">
        <v>1</v>
      </c>
      <c r="AB27" s="2">
        <v>0</v>
      </c>
      <c r="AC27" s="2">
        <v>0</v>
      </c>
    </row>
    <row r="28" spans="1:29">
      <c r="A28" s="2">
        <v>598</v>
      </c>
      <c r="B28" s="2">
        <v>241500101</v>
      </c>
      <c r="C28" s="2">
        <v>241500101</v>
      </c>
      <c r="D28" t="s">
        <v>326</v>
      </c>
      <c r="F28" t="s">
        <v>310</v>
      </c>
      <c r="G28" s="3">
        <f>+VLOOKUP(B28,'[1]master_prod_15todos(30-11-2 (2)'!$B$2:$AF$470,31,FALSE)</f>
        <v>0.2</v>
      </c>
      <c r="H28" s="2">
        <v>0</v>
      </c>
      <c r="I28" s="2">
        <v>0</v>
      </c>
      <c r="J28" s="2">
        <v>0</v>
      </c>
      <c r="K28" s="6">
        <f t="shared" si="1"/>
        <v>0.2</v>
      </c>
      <c r="L28" s="7">
        <f>+VLOOKUP(B28,'[1]master_prod_15todos(30-11-2 (2)'!$B$2:$AG$470,32,FALSE)</f>
        <v>0.7</v>
      </c>
      <c r="M28" s="10">
        <f t="shared" si="2"/>
        <v>0.28571428571428575</v>
      </c>
      <c r="N28" t="s">
        <v>35</v>
      </c>
      <c r="O28" t="s">
        <v>30</v>
      </c>
      <c r="P28" t="s">
        <v>35</v>
      </c>
      <c r="Q28" t="s">
        <v>36</v>
      </c>
      <c r="R28" t="s">
        <v>37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1</v>
      </c>
      <c r="Z28" s="2">
        <v>0</v>
      </c>
      <c r="AA28" s="2">
        <v>1</v>
      </c>
      <c r="AB28" s="2">
        <v>0</v>
      </c>
      <c r="AC28" s="2">
        <v>0</v>
      </c>
    </row>
    <row r="29" spans="1:29">
      <c r="A29" s="2">
        <v>750</v>
      </c>
      <c r="B29" s="2">
        <v>243050310</v>
      </c>
      <c r="C29" s="2">
        <v>243050310</v>
      </c>
      <c r="D29" t="s">
        <v>599</v>
      </c>
      <c r="F29" t="s">
        <v>166</v>
      </c>
      <c r="G29">
        <v>0.2</v>
      </c>
      <c r="H29" s="2">
        <v>0</v>
      </c>
      <c r="I29" s="2">
        <v>0</v>
      </c>
      <c r="J29" s="2">
        <v>0</v>
      </c>
      <c r="K29" s="6">
        <f t="shared" si="1"/>
        <v>0.2</v>
      </c>
      <c r="L29" s="7">
        <v>0.6</v>
      </c>
      <c r="M29" s="10">
        <f t="shared" si="2"/>
        <v>0.33333333333333337</v>
      </c>
      <c r="N29" t="s">
        <v>35</v>
      </c>
      <c r="O29" t="s">
        <v>30</v>
      </c>
      <c r="P29" t="s">
        <v>35</v>
      </c>
      <c r="Q29" t="s">
        <v>36</v>
      </c>
      <c r="R29" t="s">
        <v>37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1</v>
      </c>
      <c r="Z29" s="2">
        <v>0</v>
      </c>
      <c r="AA29" s="2">
        <v>1</v>
      </c>
      <c r="AB29" s="2">
        <v>0</v>
      </c>
      <c r="AC29" s="2">
        <v>0</v>
      </c>
    </row>
    <row r="30" spans="1:29">
      <c r="A30" s="2">
        <v>597</v>
      </c>
      <c r="B30" s="2">
        <v>252350104</v>
      </c>
      <c r="C30" s="2">
        <v>252350104</v>
      </c>
      <c r="D30" t="s">
        <v>844</v>
      </c>
      <c r="E30" s="2">
        <v>52432</v>
      </c>
      <c r="F30" t="s">
        <v>840</v>
      </c>
      <c r="G30">
        <v>0.2</v>
      </c>
      <c r="H30" s="2">
        <v>0</v>
      </c>
      <c r="I30" s="2">
        <v>0</v>
      </c>
      <c r="J30" s="2">
        <v>0</v>
      </c>
      <c r="K30" s="6">
        <f t="shared" si="1"/>
        <v>0.2</v>
      </c>
      <c r="L30" s="7">
        <v>0.46</v>
      </c>
      <c r="M30" s="10">
        <f t="shared" si="2"/>
        <v>0.43478260869565216</v>
      </c>
      <c r="N30" t="s">
        <v>164</v>
      </c>
      <c r="O30" t="s">
        <v>164</v>
      </c>
      <c r="P30" t="s">
        <v>164</v>
      </c>
      <c r="Q30" t="s">
        <v>36</v>
      </c>
      <c r="T30" s="2">
        <v>1</v>
      </c>
      <c r="U30" s="2">
        <v>1</v>
      </c>
      <c r="V30" s="2">
        <v>1</v>
      </c>
      <c r="W30" s="2">
        <v>1</v>
      </c>
      <c r="X30" s="2">
        <v>0</v>
      </c>
      <c r="Y30" s="2">
        <v>0</v>
      </c>
      <c r="Z30" s="2">
        <v>0</v>
      </c>
      <c r="AA30" s="2">
        <v>1</v>
      </c>
      <c r="AB30" s="2">
        <v>0</v>
      </c>
      <c r="AC30" s="2">
        <v>0</v>
      </c>
    </row>
    <row r="31" spans="1:29">
      <c r="A31" s="2">
        <v>191</v>
      </c>
      <c r="B31" s="2">
        <v>252650554</v>
      </c>
      <c r="C31" s="2">
        <v>252650554</v>
      </c>
      <c r="D31" t="s">
        <v>902</v>
      </c>
      <c r="F31" t="s">
        <v>64</v>
      </c>
      <c r="G31">
        <v>0.2</v>
      </c>
      <c r="H31" s="2">
        <v>0</v>
      </c>
      <c r="I31" s="2">
        <v>0</v>
      </c>
      <c r="J31" s="2">
        <v>0</v>
      </c>
      <c r="K31" s="6">
        <f t="shared" si="1"/>
        <v>0.2</v>
      </c>
      <c r="L31" s="7">
        <v>0.55010000000000003</v>
      </c>
      <c r="M31" s="10">
        <f t="shared" si="2"/>
        <v>0.36357025995273584</v>
      </c>
      <c r="N31" t="s">
        <v>164</v>
      </c>
      <c r="O31" t="s">
        <v>164</v>
      </c>
      <c r="P31" t="s">
        <v>164</v>
      </c>
      <c r="Q31" t="s">
        <v>167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</row>
    <row r="32" spans="1:29">
      <c r="A32" s="2">
        <v>105</v>
      </c>
      <c r="B32" s="2">
        <v>252520108</v>
      </c>
      <c r="C32" s="2">
        <v>252520108</v>
      </c>
      <c r="D32" t="s">
        <v>849</v>
      </c>
      <c r="F32" t="s">
        <v>89</v>
      </c>
      <c r="G32">
        <v>0.21049999999999999</v>
      </c>
      <c r="H32" s="2">
        <v>0</v>
      </c>
      <c r="I32" s="2">
        <v>0</v>
      </c>
      <c r="J32" s="2">
        <v>0</v>
      </c>
      <c r="K32" s="6">
        <f t="shared" si="1"/>
        <v>0.21049999999999999</v>
      </c>
      <c r="L32" s="7">
        <v>0.6</v>
      </c>
      <c r="M32" s="10">
        <f t="shared" si="2"/>
        <v>0.35083333333333333</v>
      </c>
      <c r="N32" t="s">
        <v>30</v>
      </c>
      <c r="O32" t="s">
        <v>30</v>
      </c>
      <c r="P32" t="s">
        <v>37</v>
      </c>
      <c r="Q32" t="s">
        <v>36</v>
      </c>
      <c r="T32" s="2">
        <v>1</v>
      </c>
      <c r="U32" s="2">
        <v>1</v>
      </c>
      <c r="V32" s="2">
        <v>1</v>
      </c>
      <c r="W32" s="2">
        <v>1</v>
      </c>
      <c r="X32" s="2">
        <v>0</v>
      </c>
      <c r="Y32" s="2">
        <v>1</v>
      </c>
      <c r="Z32" s="2">
        <v>0</v>
      </c>
      <c r="AA32" s="2">
        <v>1</v>
      </c>
      <c r="AB32" s="2">
        <v>0</v>
      </c>
      <c r="AC32" s="2">
        <v>0</v>
      </c>
    </row>
    <row r="33" spans="1:29">
      <c r="A33" s="2">
        <v>106</v>
      </c>
      <c r="B33" s="2">
        <v>252520109</v>
      </c>
      <c r="C33" s="2">
        <v>252520109</v>
      </c>
      <c r="D33" t="s">
        <v>850</v>
      </c>
      <c r="E33" s="2">
        <v>1155</v>
      </c>
      <c r="F33" t="s">
        <v>100</v>
      </c>
      <c r="G33">
        <v>0.21049999999999999</v>
      </c>
      <c r="H33" s="2">
        <v>0</v>
      </c>
      <c r="I33" s="2">
        <v>0</v>
      </c>
      <c r="J33" s="2">
        <v>0</v>
      </c>
      <c r="K33" s="6">
        <f t="shared" si="1"/>
        <v>0.21049999999999999</v>
      </c>
      <c r="L33" s="7">
        <v>0.60005701254276</v>
      </c>
      <c r="M33" s="10">
        <f t="shared" si="2"/>
        <v>0.35079999999999961</v>
      </c>
      <c r="N33" t="s">
        <v>35</v>
      </c>
      <c r="O33" t="s">
        <v>30</v>
      </c>
      <c r="P33" t="s">
        <v>35</v>
      </c>
      <c r="Q33" t="s">
        <v>36</v>
      </c>
      <c r="R33" t="s">
        <v>153</v>
      </c>
      <c r="T33" s="2">
        <v>1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s="2">
        <v>349</v>
      </c>
      <c r="B34" s="2">
        <v>250100408</v>
      </c>
      <c r="C34" s="2">
        <v>250100408</v>
      </c>
      <c r="D34" t="s">
        <v>662</v>
      </c>
      <c r="F34" t="s">
        <v>219</v>
      </c>
      <c r="G34">
        <v>0.23169999999999999</v>
      </c>
      <c r="H34" s="2">
        <v>0</v>
      </c>
      <c r="I34" s="2">
        <v>0</v>
      </c>
      <c r="J34" s="2">
        <v>0</v>
      </c>
      <c r="K34" s="6">
        <f t="shared" si="1"/>
        <v>0.23169999999999999</v>
      </c>
      <c r="L34" s="7">
        <v>0.6401</v>
      </c>
      <c r="M34" s="10">
        <f t="shared" si="2"/>
        <v>0.36197469145446021</v>
      </c>
      <c r="N34" t="s">
        <v>30</v>
      </c>
      <c r="O34" t="s">
        <v>30</v>
      </c>
      <c r="P34" t="s">
        <v>30</v>
      </c>
      <c r="Q34" t="s">
        <v>171</v>
      </c>
      <c r="R34" t="s">
        <v>172</v>
      </c>
      <c r="T34" s="2">
        <v>1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0</v>
      </c>
      <c r="AA34" s="2">
        <v>1</v>
      </c>
      <c r="AB34" s="2">
        <v>0</v>
      </c>
      <c r="AC34" s="2">
        <v>0</v>
      </c>
    </row>
    <row r="35" spans="1:29">
      <c r="A35" s="2">
        <v>566</v>
      </c>
      <c r="B35" s="2">
        <v>250210131</v>
      </c>
      <c r="C35" s="2">
        <v>250210131</v>
      </c>
      <c r="D35" t="s">
        <v>707</v>
      </c>
      <c r="E35" t="s">
        <v>708</v>
      </c>
      <c r="F35" t="s">
        <v>701</v>
      </c>
      <c r="G35" s="3">
        <v>0.25</v>
      </c>
      <c r="H35" s="2">
        <v>0</v>
      </c>
      <c r="I35" s="2">
        <v>0</v>
      </c>
      <c r="J35" s="2">
        <v>0</v>
      </c>
      <c r="K35" s="6">
        <f t="shared" si="1"/>
        <v>0.25</v>
      </c>
      <c r="L35" s="7">
        <v>0.55000000000000004</v>
      </c>
      <c r="M35" s="10">
        <f t="shared" si="2"/>
        <v>0.45454545454545453</v>
      </c>
      <c r="N35" t="s">
        <v>30</v>
      </c>
      <c r="O35" t="s">
        <v>30</v>
      </c>
      <c r="P35" t="s">
        <v>30</v>
      </c>
      <c r="Q35" t="s">
        <v>171</v>
      </c>
      <c r="R35" t="s">
        <v>172</v>
      </c>
      <c r="T35" s="2">
        <v>1</v>
      </c>
      <c r="U35" s="2">
        <v>1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0</v>
      </c>
    </row>
    <row r="36" spans="1:29">
      <c r="A36" s="2">
        <v>108</v>
      </c>
      <c r="B36" s="2">
        <v>250210101</v>
      </c>
      <c r="C36" s="2">
        <v>250210101</v>
      </c>
      <c r="D36" t="s">
        <v>693</v>
      </c>
      <c r="E36" s="2">
        <v>1157</v>
      </c>
      <c r="F36" t="s">
        <v>89</v>
      </c>
      <c r="G36">
        <v>0.25430000000000003</v>
      </c>
      <c r="H36" s="2">
        <v>0</v>
      </c>
      <c r="I36" s="2">
        <v>0</v>
      </c>
      <c r="J36" s="2">
        <v>0</v>
      </c>
      <c r="K36" s="6">
        <f t="shared" si="1"/>
        <v>0.25430000000000003</v>
      </c>
      <c r="L36" s="7">
        <v>0.5</v>
      </c>
      <c r="M36" s="10">
        <f t="shared" si="2"/>
        <v>0.50860000000000005</v>
      </c>
      <c r="N36" t="s">
        <v>30</v>
      </c>
      <c r="O36" t="s">
        <v>30</v>
      </c>
      <c r="P36" t="s">
        <v>30</v>
      </c>
      <c r="Q36" t="s">
        <v>171</v>
      </c>
      <c r="R36" t="s">
        <v>37</v>
      </c>
      <c r="T36" s="2">
        <v>1</v>
      </c>
      <c r="U36" s="2">
        <v>1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0</v>
      </c>
    </row>
    <row r="37" spans="1:29">
      <c r="A37" s="2">
        <v>107</v>
      </c>
      <c r="B37" s="2">
        <v>250220102</v>
      </c>
      <c r="C37" s="2">
        <v>250220102</v>
      </c>
      <c r="D37" t="s">
        <v>709</v>
      </c>
      <c r="E37" s="2">
        <v>1156</v>
      </c>
      <c r="F37" t="s">
        <v>89</v>
      </c>
      <c r="G37">
        <v>0.25430000000000003</v>
      </c>
      <c r="H37" s="2">
        <v>0</v>
      </c>
      <c r="I37" s="2">
        <v>0</v>
      </c>
      <c r="J37" s="2">
        <v>0</v>
      </c>
      <c r="K37" s="6">
        <f t="shared" si="1"/>
        <v>0.25430000000000003</v>
      </c>
      <c r="L37" s="7">
        <v>0.5</v>
      </c>
      <c r="M37" s="10">
        <f t="shared" si="2"/>
        <v>0.50860000000000005</v>
      </c>
      <c r="N37" t="s">
        <v>30</v>
      </c>
      <c r="O37" t="s">
        <v>30</v>
      </c>
      <c r="P37" t="s">
        <v>37</v>
      </c>
      <c r="Q37" t="s">
        <v>36</v>
      </c>
      <c r="T37" s="2">
        <v>1</v>
      </c>
      <c r="U37" s="2">
        <v>1</v>
      </c>
      <c r="V37" s="2">
        <v>1</v>
      </c>
      <c r="W37" s="2">
        <v>1</v>
      </c>
      <c r="X37" s="2">
        <v>0</v>
      </c>
      <c r="Y37" s="2">
        <v>1</v>
      </c>
      <c r="Z37" s="2">
        <v>0</v>
      </c>
      <c r="AA37" s="2">
        <v>1</v>
      </c>
      <c r="AB37" s="2">
        <v>0</v>
      </c>
      <c r="AC37" s="2">
        <v>0</v>
      </c>
    </row>
    <row r="38" spans="1:29">
      <c r="A38" s="2">
        <v>876</v>
      </c>
      <c r="B38" s="2">
        <v>253400213</v>
      </c>
      <c r="C38" s="2">
        <v>253400213</v>
      </c>
      <c r="D38" t="s">
        <v>1061</v>
      </c>
      <c r="F38" t="s">
        <v>166</v>
      </c>
      <c r="G38">
        <v>0.26989999999999997</v>
      </c>
      <c r="H38" s="2">
        <v>0</v>
      </c>
      <c r="I38" s="2">
        <v>0</v>
      </c>
      <c r="J38" s="2">
        <v>0</v>
      </c>
      <c r="K38" s="6">
        <f t="shared" si="1"/>
        <v>0.26989999999999997</v>
      </c>
      <c r="L38" s="7">
        <v>0.6</v>
      </c>
      <c r="M38" s="10">
        <f t="shared" si="2"/>
        <v>0.44983333333333331</v>
      </c>
      <c r="N38" t="s">
        <v>30</v>
      </c>
      <c r="O38" t="s">
        <v>30</v>
      </c>
      <c r="P38" t="s">
        <v>37</v>
      </c>
      <c r="Q38" t="s">
        <v>36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1</v>
      </c>
      <c r="Z38" s="2">
        <v>0</v>
      </c>
      <c r="AA38" s="2">
        <v>1</v>
      </c>
      <c r="AB38" s="2">
        <v>0</v>
      </c>
      <c r="AC38" s="2">
        <v>0</v>
      </c>
    </row>
    <row r="39" spans="1:29">
      <c r="A39" s="2">
        <v>873</v>
      </c>
      <c r="B39" s="2">
        <v>253401213</v>
      </c>
      <c r="C39" s="2">
        <v>253401213</v>
      </c>
      <c r="D39" t="s">
        <v>1099</v>
      </c>
      <c r="F39" t="s">
        <v>166</v>
      </c>
      <c r="G39">
        <v>0.26989999999999997</v>
      </c>
      <c r="H39" s="2">
        <v>0</v>
      </c>
      <c r="I39" s="2">
        <v>0</v>
      </c>
      <c r="J39" s="2">
        <v>0</v>
      </c>
      <c r="K39" s="6">
        <f t="shared" si="1"/>
        <v>0.26989999999999997</v>
      </c>
      <c r="L39" s="7">
        <v>0.6</v>
      </c>
      <c r="M39" s="10">
        <f t="shared" si="2"/>
        <v>0.44983333333333331</v>
      </c>
      <c r="N39" t="s">
        <v>30</v>
      </c>
      <c r="O39" t="s">
        <v>30</v>
      </c>
      <c r="P39" t="s">
        <v>37</v>
      </c>
      <c r="Q39" t="s">
        <v>36</v>
      </c>
      <c r="R39" t="s">
        <v>178</v>
      </c>
      <c r="T39" s="2">
        <v>1</v>
      </c>
      <c r="U39" s="2">
        <v>1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1</v>
      </c>
      <c r="AB39" s="2">
        <v>0</v>
      </c>
      <c r="AC39" s="2">
        <v>0</v>
      </c>
    </row>
    <row r="40" spans="1:29">
      <c r="A40" s="2">
        <v>877</v>
      </c>
      <c r="B40" s="2">
        <v>253401215</v>
      </c>
      <c r="C40" s="2">
        <v>253401215</v>
      </c>
      <c r="D40" t="s">
        <v>1100</v>
      </c>
      <c r="F40" t="s">
        <v>166</v>
      </c>
      <c r="G40">
        <v>0.26989999999999997</v>
      </c>
      <c r="H40" s="2">
        <v>0</v>
      </c>
      <c r="I40" s="2">
        <v>0</v>
      </c>
      <c r="J40" s="2">
        <v>0</v>
      </c>
      <c r="K40" s="6">
        <f t="shared" si="1"/>
        <v>0.26989999999999997</v>
      </c>
      <c r="L40" s="7">
        <v>0.6</v>
      </c>
      <c r="M40" s="10">
        <f t="shared" si="2"/>
        <v>0.44983333333333331</v>
      </c>
      <c r="N40" t="s">
        <v>30</v>
      </c>
      <c r="O40" t="s">
        <v>30</v>
      </c>
      <c r="P40" t="s">
        <v>35</v>
      </c>
      <c r="Q40" t="s">
        <v>36</v>
      </c>
      <c r="R40" t="s">
        <v>37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1</v>
      </c>
      <c r="Z40" s="2">
        <v>0</v>
      </c>
      <c r="AA40" s="2">
        <v>1</v>
      </c>
      <c r="AB40" s="2">
        <v>0</v>
      </c>
      <c r="AC40" s="2">
        <v>0</v>
      </c>
    </row>
    <row r="41" spans="1:29">
      <c r="A41" s="2">
        <v>874</v>
      </c>
      <c r="B41" s="2">
        <v>253401216</v>
      </c>
      <c r="C41" s="2">
        <v>253401216</v>
      </c>
      <c r="D41" t="s">
        <v>1101</v>
      </c>
      <c r="F41" t="s">
        <v>166</v>
      </c>
      <c r="G41">
        <v>0.26989999999999997</v>
      </c>
      <c r="H41" s="2">
        <v>0</v>
      </c>
      <c r="I41" s="2">
        <v>0</v>
      </c>
      <c r="J41" s="2">
        <v>0</v>
      </c>
      <c r="K41" s="6">
        <f t="shared" si="1"/>
        <v>0.26989999999999997</v>
      </c>
      <c r="L41" s="7">
        <v>0.6</v>
      </c>
      <c r="M41" s="10">
        <f t="shared" si="2"/>
        <v>0.44983333333333331</v>
      </c>
      <c r="N41" t="s">
        <v>35</v>
      </c>
      <c r="O41" t="s">
        <v>30</v>
      </c>
      <c r="P41" t="s">
        <v>35</v>
      </c>
      <c r="Q41" t="s">
        <v>36</v>
      </c>
      <c r="R41" t="s">
        <v>37</v>
      </c>
      <c r="T41" s="2">
        <v>1</v>
      </c>
      <c r="U41" s="2">
        <v>1</v>
      </c>
      <c r="V41" s="2">
        <v>1</v>
      </c>
      <c r="W41" s="2">
        <v>1</v>
      </c>
      <c r="X41" s="2">
        <v>0</v>
      </c>
      <c r="Y41" s="2">
        <v>1</v>
      </c>
      <c r="Z41" s="2">
        <v>0</v>
      </c>
      <c r="AA41" s="2">
        <v>1</v>
      </c>
      <c r="AB41" s="2">
        <v>0</v>
      </c>
      <c r="AC41" s="2">
        <v>0</v>
      </c>
    </row>
    <row r="42" spans="1:29">
      <c r="A42" s="2">
        <v>200</v>
      </c>
      <c r="B42" t="s">
        <v>1132</v>
      </c>
      <c r="C42" t="s">
        <v>1132</v>
      </c>
      <c r="D42" t="s">
        <v>1148</v>
      </c>
      <c r="E42" t="s">
        <v>1074</v>
      </c>
      <c r="F42" t="s">
        <v>1149</v>
      </c>
      <c r="G42">
        <v>0.26989999999999997</v>
      </c>
      <c r="H42" s="2">
        <v>0</v>
      </c>
      <c r="I42" s="2">
        <v>0</v>
      </c>
      <c r="J42" s="2">
        <v>0</v>
      </c>
      <c r="K42" s="6">
        <f t="shared" si="1"/>
        <v>0.26989999999999997</v>
      </c>
      <c r="L42" s="7">
        <v>0.6</v>
      </c>
      <c r="M42" s="10">
        <f t="shared" si="2"/>
        <v>0.44983333333333331</v>
      </c>
      <c r="N42" t="s">
        <v>35</v>
      </c>
      <c r="O42" t="s">
        <v>30</v>
      </c>
      <c r="P42" t="s">
        <v>35</v>
      </c>
      <c r="Q42" t="s">
        <v>36</v>
      </c>
      <c r="R42" t="s">
        <v>37</v>
      </c>
      <c r="T42" s="2">
        <v>1</v>
      </c>
      <c r="U42" s="2">
        <v>1</v>
      </c>
      <c r="V42" s="2">
        <v>1</v>
      </c>
      <c r="W42" s="2">
        <v>1</v>
      </c>
      <c r="X42" s="2">
        <v>0</v>
      </c>
      <c r="Y42" s="2">
        <v>1</v>
      </c>
      <c r="Z42" s="2">
        <v>0</v>
      </c>
      <c r="AA42" s="2">
        <v>1</v>
      </c>
      <c r="AB42" s="2">
        <v>0</v>
      </c>
      <c r="AC42" s="2">
        <v>0</v>
      </c>
    </row>
    <row r="43" spans="1:29">
      <c r="A43" s="2">
        <v>201</v>
      </c>
      <c r="B43" t="s">
        <v>1132</v>
      </c>
      <c r="C43" t="s">
        <v>1132</v>
      </c>
      <c r="D43" t="s">
        <v>1150</v>
      </c>
      <c r="E43" t="s">
        <v>1074</v>
      </c>
      <c r="F43" t="s">
        <v>525</v>
      </c>
      <c r="G43">
        <v>0.26989999999999997</v>
      </c>
      <c r="H43" s="2">
        <v>0</v>
      </c>
      <c r="I43" s="2">
        <v>0</v>
      </c>
      <c r="J43" s="2">
        <v>0</v>
      </c>
      <c r="K43" s="6">
        <f t="shared" si="1"/>
        <v>0.26989999999999997</v>
      </c>
      <c r="L43" s="7">
        <v>0.6</v>
      </c>
      <c r="M43" s="10">
        <f t="shared" si="2"/>
        <v>0.44983333333333331</v>
      </c>
      <c r="N43" t="s">
        <v>35</v>
      </c>
      <c r="O43" t="s">
        <v>30</v>
      </c>
      <c r="P43" t="s">
        <v>35</v>
      </c>
      <c r="Q43" t="s">
        <v>36</v>
      </c>
      <c r="R43" t="s">
        <v>153</v>
      </c>
      <c r="T43" s="2">
        <v>1</v>
      </c>
      <c r="U43" s="2">
        <v>1</v>
      </c>
      <c r="V43" s="2">
        <v>1</v>
      </c>
      <c r="W43" s="2">
        <v>1</v>
      </c>
      <c r="X43" s="2">
        <v>0</v>
      </c>
      <c r="Y43" s="2">
        <v>1</v>
      </c>
      <c r="Z43" s="2">
        <v>0</v>
      </c>
      <c r="AA43" s="2">
        <v>1</v>
      </c>
      <c r="AB43" s="2">
        <v>0</v>
      </c>
      <c r="AC43" s="2">
        <v>0</v>
      </c>
    </row>
    <row r="44" spans="1:29">
      <c r="A44" s="2">
        <v>891</v>
      </c>
      <c r="B44" s="2">
        <v>241260903</v>
      </c>
      <c r="C44" s="2">
        <v>241260903</v>
      </c>
      <c r="D44" t="s">
        <v>307</v>
      </c>
      <c r="F44" t="s">
        <v>310</v>
      </c>
      <c r="G44" s="3">
        <f>+VLOOKUP(B44,'[1]master_prod_15todos(30-11-2 (2)'!$B$2:$AF$470,31,FALSE)</f>
        <v>0.32</v>
      </c>
      <c r="H44" s="2">
        <v>0</v>
      </c>
      <c r="I44" s="2">
        <v>0</v>
      </c>
      <c r="J44" s="2">
        <v>0</v>
      </c>
      <c r="K44" s="6">
        <f t="shared" si="1"/>
        <v>0.32</v>
      </c>
      <c r="L44" s="7">
        <f>+VLOOKUP(B44,'[1]master_prod_15todos(30-11-2 (2)'!$B$2:$AG$470,32,FALSE)</f>
        <v>0.8</v>
      </c>
      <c r="M44" s="10">
        <f t="shared" si="2"/>
        <v>0.39999999999999997</v>
      </c>
      <c r="N44" t="s">
        <v>35</v>
      </c>
      <c r="O44" t="s">
        <v>30</v>
      </c>
      <c r="P44" t="s">
        <v>35</v>
      </c>
      <c r="Q44" t="s">
        <v>36</v>
      </c>
      <c r="R44" t="s">
        <v>37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1</v>
      </c>
      <c r="Z44" s="2">
        <v>0</v>
      </c>
      <c r="AA44" s="2">
        <v>1</v>
      </c>
      <c r="AB44" s="2">
        <v>0</v>
      </c>
      <c r="AC44" s="2">
        <v>0</v>
      </c>
    </row>
    <row r="45" spans="1:29">
      <c r="A45" s="2">
        <v>45</v>
      </c>
      <c r="B45" s="2">
        <v>243300104</v>
      </c>
      <c r="C45" s="2">
        <v>243300104</v>
      </c>
      <c r="D45" t="s">
        <v>627</v>
      </c>
      <c r="E45" t="s">
        <v>628</v>
      </c>
      <c r="F45" t="s">
        <v>490</v>
      </c>
      <c r="G45" s="3">
        <v>0.35</v>
      </c>
      <c r="H45" s="2">
        <v>0</v>
      </c>
      <c r="I45" s="2">
        <v>0</v>
      </c>
      <c r="J45" s="2">
        <v>0</v>
      </c>
      <c r="K45" s="6">
        <f t="shared" si="1"/>
        <v>0.35</v>
      </c>
      <c r="L45" s="7">
        <v>0.65</v>
      </c>
      <c r="M45" s="10">
        <f t="shared" si="2"/>
        <v>0.53846153846153844</v>
      </c>
      <c r="N45" t="s">
        <v>35</v>
      </c>
      <c r="O45" t="s">
        <v>30</v>
      </c>
      <c r="P45" t="s">
        <v>37</v>
      </c>
      <c r="Q45" t="s">
        <v>36</v>
      </c>
      <c r="R45" t="s">
        <v>189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0</v>
      </c>
      <c r="AA45" s="2">
        <v>1</v>
      </c>
      <c r="AB45" s="2">
        <v>0</v>
      </c>
      <c r="AC45" s="2">
        <v>0</v>
      </c>
    </row>
    <row r="46" spans="1:29">
      <c r="A46" s="2">
        <v>716</v>
      </c>
      <c r="B46" s="2">
        <v>252300303</v>
      </c>
      <c r="C46" s="2">
        <v>252300303</v>
      </c>
      <c r="D46" t="s">
        <v>831</v>
      </c>
      <c r="F46" t="s">
        <v>297</v>
      </c>
      <c r="G46">
        <v>0.3614</v>
      </c>
      <c r="H46" s="2">
        <v>0</v>
      </c>
      <c r="I46" s="2">
        <v>0</v>
      </c>
      <c r="J46" s="2">
        <v>0</v>
      </c>
      <c r="K46" s="6">
        <f t="shared" si="1"/>
        <v>0.3614</v>
      </c>
      <c r="L46" s="7">
        <v>0.6</v>
      </c>
      <c r="M46" s="10">
        <f t="shared" si="2"/>
        <v>0.60233333333333339</v>
      </c>
      <c r="N46" t="s">
        <v>164</v>
      </c>
      <c r="O46" t="s">
        <v>164</v>
      </c>
      <c r="P46" t="s">
        <v>164</v>
      </c>
      <c r="Q46" t="s">
        <v>36</v>
      </c>
      <c r="T46" s="2">
        <v>1</v>
      </c>
      <c r="U46" s="2">
        <v>1</v>
      </c>
      <c r="V46" s="2">
        <v>1</v>
      </c>
      <c r="W46" s="2">
        <v>1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</row>
    <row r="47" spans="1:29">
      <c r="A47" s="2">
        <v>235</v>
      </c>
      <c r="B47" s="2">
        <v>252100502</v>
      </c>
      <c r="C47" s="2">
        <v>252100502</v>
      </c>
      <c r="D47" t="s">
        <v>822</v>
      </c>
      <c r="F47" t="s">
        <v>310</v>
      </c>
      <c r="G47" s="3">
        <v>0.38</v>
      </c>
      <c r="H47" s="2">
        <v>0</v>
      </c>
      <c r="I47" s="2">
        <v>0</v>
      </c>
      <c r="J47" s="2">
        <v>0</v>
      </c>
      <c r="K47" s="6">
        <f t="shared" si="1"/>
        <v>0.38</v>
      </c>
      <c r="L47" s="7">
        <v>0.55000000000000004</v>
      </c>
      <c r="M47" s="10">
        <f t="shared" si="2"/>
        <v>0.69090909090909081</v>
      </c>
      <c r="N47" t="s">
        <v>30</v>
      </c>
      <c r="O47" t="s">
        <v>30</v>
      </c>
      <c r="P47" t="s">
        <v>35</v>
      </c>
      <c r="Q47" t="s">
        <v>192</v>
      </c>
      <c r="R47" t="s">
        <v>193</v>
      </c>
      <c r="T47" s="2">
        <v>1</v>
      </c>
      <c r="U47" s="2">
        <v>1</v>
      </c>
      <c r="V47" s="2">
        <v>1</v>
      </c>
      <c r="W47" s="2">
        <v>1</v>
      </c>
      <c r="X47" s="2">
        <v>0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</row>
    <row r="48" spans="1:29">
      <c r="A48" s="2">
        <v>87</v>
      </c>
      <c r="B48" s="2">
        <v>242460111</v>
      </c>
      <c r="C48" s="2">
        <v>242460111</v>
      </c>
      <c r="D48" t="s">
        <v>575</v>
      </c>
      <c r="F48" t="s">
        <v>297</v>
      </c>
      <c r="G48">
        <v>0.39989999999999998</v>
      </c>
      <c r="H48" s="2">
        <v>0</v>
      </c>
      <c r="I48" s="2">
        <v>0</v>
      </c>
      <c r="J48" s="2">
        <v>0</v>
      </c>
      <c r="K48" s="6">
        <f t="shared" si="1"/>
        <v>0.39989999999999998</v>
      </c>
      <c r="L48" s="7">
        <v>0.65</v>
      </c>
      <c r="M48" s="10">
        <f t="shared" si="2"/>
        <v>0.61523076923076914</v>
      </c>
      <c r="N48" t="s">
        <v>35</v>
      </c>
      <c r="O48" t="s">
        <v>30</v>
      </c>
      <c r="P48" t="s">
        <v>35</v>
      </c>
      <c r="Q48" t="s">
        <v>192</v>
      </c>
      <c r="T48" s="2">
        <v>1</v>
      </c>
      <c r="U48" s="2">
        <v>1</v>
      </c>
      <c r="V48" s="2">
        <v>1</v>
      </c>
      <c r="W48" s="2">
        <v>1</v>
      </c>
      <c r="X48" s="2">
        <v>0</v>
      </c>
      <c r="Y48" s="2">
        <v>1</v>
      </c>
      <c r="Z48" s="2">
        <v>0</v>
      </c>
      <c r="AA48" s="2">
        <v>1</v>
      </c>
      <c r="AB48" s="2">
        <v>0</v>
      </c>
      <c r="AC48" s="2">
        <v>0</v>
      </c>
    </row>
    <row r="49" spans="1:29">
      <c r="A49" s="2">
        <v>47</v>
      </c>
      <c r="B49" s="2">
        <v>242202324</v>
      </c>
      <c r="C49" s="2">
        <v>242202324</v>
      </c>
      <c r="D49" t="s">
        <v>488</v>
      </c>
      <c r="E49" t="s">
        <v>489</v>
      </c>
      <c r="F49" t="s">
        <v>490</v>
      </c>
      <c r="G49">
        <v>0.4</v>
      </c>
      <c r="H49" s="2">
        <v>0</v>
      </c>
      <c r="I49" s="2">
        <v>0</v>
      </c>
      <c r="J49" s="2">
        <v>0</v>
      </c>
      <c r="K49" s="6">
        <f t="shared" si="1"/>
        <v>0.4</v>
      </c>
      <c r="L49" s="7">
        <v>0.65</v>
      </c>
      <c r="M49" s="10">
        <f t="shared" si="2"/>
        <v>0.61538461538461542</v>
      </c>
      <c r="N49" t="s">
        <v>30</v>
      </c>
      <c r="O49" t="s">
        <v>30</v>
      </c>
      <c r="P49" t="s">
        <v>30</v>
      </c>
      <c r="Q49" t="s">
        <v>171</v>
      </c>
      <c r="R49" t="s">
        <v>172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</row>
    <row r="50" spans="1:29">
      <c r="A50" s="2">
        <v>749</v>
      </c>
      <c r="B50" s="2">
        <v>243050312</v>
      </c>
      <c r="C50" s="2">
        <v>243050312</v>
      </c>
      <c r="D50" t="s">
        <v>601</v>
      </c>
      <c r="E50" t="s">
        <v>602</v>
      </c>
      <c r="F50" t="s">
        <v>310</v>
      </c>
      <c r="G50" s="3">
        <v>0.42</v>
      </c>
      <c r="H50" s="2">
        <v>0</v>
      </c>
      <c r="I50" s="2">
        <v>0</v>
      </c>
      <c r="J50" s="2">
        <v>0</v>
      </c>
      <c r="K50" s="6">
        <f t="shared" si="1"/>
        <v>0.42</v>
      </c>
      <c r="L50" s="7">
        <v>0.65</v>
      </c>
      <c r="M50" s="10">
        <f t="shared" si="2"/>
        <v>0.64615384615384608</v>
      </c>
      <c r="N50" t="s">
        <v>30</v>
      </c>
      <c r="O50" t="s">
        <v>30</v>
      </c>
      <c r="P50" t="s">
        <v>35</v>
      </c>
      <c r="Q50" t="s">
        <v>36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1</v>
      </c>
      <c r="AB50" s="2">
        <v>0</v>
      </c>
      <c r="AC50" s="2">
        <v>0</v>
      </c>
    </row>
    <row r="51" spans="1:29">
      <c r="A51" s="2">
        <v>569</v>
      </c>
      <c r="B51" t="s">
        <v>1132</v>
      </c>
      <c r="C51" t="s">
        <v>1132</v>
      </c>
      <c r="D51" s="2">
        <v>250101314</v>
      </c>
      <c r="E51" t="s">
        <v>661</v>
      </c>
      <c r="F51" t="s">
        <v>1136</v>
      </c>
      <c r="G51">
        <v>0.438</v>
      </c>
      <c r="H51" s="2">
        <v>0</v>
      </c>
      <c r="I51" s="2">
        <v>0</v>
      </c>
      <c r="J51" s="2">
        <v>0</v>
      </c>
      <c r="K51" s="6">
        <f t="shared" si="1"/>
        <v>0.438</v>
      </c>
      <c r="L51" s="7">
        <v>0.65</v>
      </c>
      <c r="M51" s="10">
        <f t="shared" si="2"/>
        <v>0.67384615384615387</v>
      </c>
      <c r="N51" t="s">
        <v>30</v>
      </c>
      <c r="O51" t="s">
        <v>30</v>
      </c>
      <c r="P51" t="s">
        <v>30</v>
      </c>
      <c r="Q51" t="s">
        <v>94</v>
      </c>
      <c r="R51" t="s">
        <v>37</v>
      </c>
      <c r="T51" s="2">
        <v>1</v>
      </c>
      <c r="U51" s="2">
        <v>1</v>
      </c>
      <c r="V51" s="2">
        <v>1</v>
      </c>
      <c r="W51" s="2">
        <v>1</v>
      </c>
      <c r="X51" s="2">
        <v>0</v>
      </c>
      <c r="Y51" s="2">
        <v>1</v>
      </c>
      <c r="Z51" s="2">
        <v>0</v>
      </c>
      <c r="AA51" s="2">
        <v>1</v>
      </c>
      <c r="AB51" s="2">
        <v>0</v>
      </c>
      <c r="AC51" s="2">
        <v>0</v>
      </c>
    </row>
    <row r="52" spans="1:29">
      <c r="A52" s="2">
        <v>809</v>
      </c>
      <c r="B52" s="2">
        <v>251953504</v>
      </c>
      <c r="C52" s="2">
        <v>251953504</v>
      </c>
      <c r="D52" t="s">
        <v>805</v>
      </c>
      <c r="F52" t="s">
        <v>45</v>
      </c>
      <c r="G52" s="3">
        <v>0.44</v>
      </c>
      <c r="H52" s="2">
        <v>0</v>
      </c>
      <c r="I52" s="2">
        <v>0</v>
      </c>
      <c r="J52" s="2">
        <v>0</v>
      </c>
      <c r="K52" s="6">
        <f t="shared" si="1"/>
        <v>0.44</v>
      </c>
      <c r="L52" s="7">
        <v>0.65</v>
      </c>
      <c r="M52" s="10">
        <f t="shared" si="2"/>
        <v>0.67692307692307685</v>
      </c>
      <c r="N52" t="s">
        <v>30</v>
      </c>
      <c r="O52" t="s">
        <v>30</v>
      </c>
      <c r="P52" t="s">
        <v>30</v>
      </c>
      <c r="Q52" t="s">
        <v>171</v>
      </c>
      <c r="R52" t="s">
        <v>172</v>
      </c>
      <c r="T52" s="2">
        <v>1</v>
      </c>
      <c r="U52" s="2">
        <v>1</v>
      </c>
      <c r="V52" s="2">
        <v>1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s="2">
        <v>693</v>
      </c>
      <c r="B53" s="2">
        <v>241050103</v>
      </c>
      <c r="C53" s="2">
        <v>241050103</v>
      </c>
      <c r="D53" t="s">
        <v>271</v>
      </c>
      <c r="F53" t="s">
        <v>272</v>
      </c>
      <c r="G53" s="3">
        <f>+VLOOKUP(B53,'[1]master_prod_15todos(30-11-2 (2)'!$B$2:$AF$470,31,FALSE)</f>
        <v>0.46</v>
      </c>
      <c r="H53" s="2">
        <v>0</v>
      </c>
      <c r="I53" s="2">
        <v>0</v>
      </c>
      <c r="J53" s="2">
        <v>0</v>
      </c>
      <c r="K53" s="6">
        <f t="shared" si="1"/>
        <v>0.46</v>
      </c>
      <c r="L53" s="7">
        <f>+VLOOKUP(B53,'[1]master_prod_15todos(30-11-2 (2)'!$B$2:$AG$470,32,FALSE)</f>
        <v>0.75</v>
      </c>
      <c r="M53" s="10">
        <f t="shared" si="2"/>
        <v>0.6133333333333334</v>
      </c>
      <c r="N53" t="s">
        <v>30</v>
      </c>
      <c r="O53" t="s">
        <v>30</v>
      </c>
      <c r="P53" t="s">
        <v>30</v>
      </c>
      <c r="Q53" t="s">
        <v>171</v>
      </c>
      <c r="R53" t="s">
        <v>172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s="2">
        <v>596</v>
      </c>
      <c r="B54" s="2">
        <v>252350103</v>
      </c>
      <c r="C54" s="2">
        <v>252350103</v>
      </c>
      <c r="D54" t="s">
        <v>839</v>
      </c>
      <c r="E54" s="2">
        <v>52434</v>
      </c>
      <c r="F54" t="s">
        <v>840</v>
      </c>
      <c r="G54">
        <v>0.47370000000000001</v>
      </c>
      <c r="H54" s="2">
        <v>0</v>
      </c>
      <c r="I54" s="2">
        <v>0</v>
      </c>
      <c r="J54" s="2">
        <v>0</v>
      </c>
      <c r="K54" s="6">
        <f t="shared" si="1"/>
        <v>0.47370000000000001</v>
      </c>
      <c r="L54" s="7">
        <v>0.7</v>
      </c>
      <c r="M54" s="10">
        <f t="shared" si="2"/>
        <v>0.67671428571428582</v>
      </c>
      <c r="N54" t="s">
        <v>30</v>
      </c>
      <c r="O54" t="s">
        <v>30</v>
      </c>
      <c r="P54" t="s">
        <v>30</v>
      </c>
      <c r="Q54" t="s">
        <v>171</v>
      </c>
      <c r="R54" t="s">
        <v>172</v>
      </c>
      <c r="T54" s="2">
        <v>1</v>
      </c>
      <c r="U54" s="2">
        <v>1</v>
      </c>
      <c r="V54" s="2">
        <v>1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s="2">
        <v>272</v>
      </c>
      <c r="B55" s="2">
        <v>240350108</v>
      </c>
      <c r="C55" s="2">
        <v>240350108</v>
      </c>
      <c r="D55" t="s">
        <v>63</v>
      </c>
      <c r="F55" t="s">
        <v>64</v>
      </c>
      <c r="G55" s="3">
        <f>+VLOOKUP(B55,'[1]master_prod_15todos(30-11-2 (2)'!$B$2:$AF$470,31,FALSE)</f>
        <v>0.5</v>
      </c>
      <c r="H55" s="2">
        <v>0</v>
      </c>
      <c r="I55" s="2">
        <v>0</v>
      </c>
      <c r="J55" s="2">
        <v>0</v>
      </c>
      <c r="K55" s="6">
        <f t="shared" si="1"/>
        <v>0.5</v>
      </c>
      <c r="L55" s="7">
        <f>+VLOOKUP(B55,'[1]master_prod_15todos(30-11-2 (2)'!$B$2:$AG$470,32,FALSE)</f>
        <v>0.5</v>
      </c>
      <c r="M55" s="10">
        <f t="shared" si="2"/>
        <v>1</v>
      </c>
      <c r="N55" t="s">
        <v>35</v>
      </c>
      <c r="O55" t="s">
        <v>30</v>
      </c>
      <c r="P55" t="s">
        <v>35</v>
      </c>
      <c r="Q55" t="s">
        <v>36</v>
      </c>
      <c r="R55" t="s">
        <v>37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0</v>
      </c>
      <c r="AA55" s="2">
        <v>1</v>
      </c>
      <c r="AB55" s="2">
        <v>0</v>
      </c>
      <c r="AC55" s="2">
        <v>0</v>
      </c>
    </row>
    <row r="56" spans="1:29">
      <c r="A56" s="2">
        <v>152</v>
      </c>
      <c r="B56" s="2">
        <v>241860103</v>
      </c>
      <c r="C56" s="2">
        <v>241860103</v>
      </c>
      <c r="D56" t="s">
        <v>335</v>
      </c>
      <c r="E56" t="s">
        <v>336</v>
      </c>
      <c r="F56" t="s">
        <v>337</v>
      </c>
      <c r="G56" s="3">
        <f>+VLOOKUP(B56,'[1]master_prod_15todos(30-11-2 (2)'!$B$2:$AF$470,31,FALSE)</f>
        <v>0.51</v>
      </c>
      <c r="H56" s="2">
        <v>0</v>
      </c>
      <c r="I56" s="2">
        <v>0</v>
      </c>
      <c r="J56" s="2">
        <v>0</v>
      </c>
      <c r="K56" s="6">
        <f t="shared" si="1"/>
        <v>0.51</v>
      </c>
      <c r="L56" s="7">
        <f>+VLOOKUP(B56,'[1]master_prod_15todos(30-11-2 (2)'!$B$2:$AG$470,32,FALSE)</f>
        <v>0.4</v>
      </c>
      <c r="M56" s="10">
        <f t="shared" si="2"/>
        <v>1.2749999999999999</v>
      </c>
      <c r="N56" t="s">
        <v>30</v>
      </c>
      <c r="O56" t="s">
        <v>30</v>
      </c>
      <c r="P56" t="s">
        <v>57</v>
      </c>
      <c r="Q56" t="s">
        <v>58</v>
      </c>
      <c r="R56" t="s">
        <v>212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0</v>
      </c>
      <c r="AA56" s="2">
        <v>1</v>
      </c>
      <c r="AB56" s="2">
        <v>0</v>
      </c>
      <c r="AC56" s="2">
        <v>0</v>
      </c>
    </row>
    <row r="57" spans="1:29">
      <c r="A57" s="2">
        <v>674</v>
      </c>
      <c r="B57" s="2">
        <v>241020110</v>
      </c>
      <c r="C57" s="2">
        <v>241020110</v>
      </c>
      <c r="D57" t="s">
        <v>268</v>
      </c>
      <c r="F57" t="s">
        <v>263</v>
      </c>
      <c r="G57" s="3">
        <f>+VLOOKUP(B57,'[1]master_prod_15todos(30-11-2 (2)'!$B$2:$AF$470,31,FALSE)</f>
        <v>0.52759999999999996</v>
      </c>
      <c r="H57" s="2">
        <v>0</v>
      </c>
      <c r="I57" s="2">
        <v>0</v>
      </c>
      <c r="J57" s="2">
        <v>0</v>
      </c>
      <c r="K57" s="6">
        <f t="shared" si="1"/>
        <v>0.52759999999999996</v>
      </c>
      <c r="L57" s="7">
        <f>+VLOOKUP(B57,'[1]master_prod_15todos(30-11-2 (2)'!$B$2:$AG$470,32,FALSE)</f>
        <v>0.8</v>
      </c>
      <c r="M57" s="10">
        <f t="shared" si="2"/>
        <v>0.65949999999999986</v>
      </c>
      <c r="O57" t="s">
        <v>157</v>
      </c>
      <c r="Q57" t="s">
        <v>36</v>
      </c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s="2">
        <v>844</v>
      </c>
      <c r="B58" s="2">
        <v>252800416</v>
      </c>
      <c r="C58" s="2">
        <v>252800416</v>
      </c>
      <c r="D58" t="s">
        <v>929</v>
      </c>
      <c r="E58" t="s">
        <v>930</v>
      </c>
      <c r="F58" t="s">
        <v>75</v>
      </c>
      <c r="G58" s="3">
        <v>0.56000000000000005</v>
      </c>
      <c r="H58" s="2">
        <v>0</v>
      </c>
      <c r="I58" s="2">
        <v>0</v>
      </c>
      <c r="J58" s="2">
        <v>0</v>
      </c>
      <c r="K58" s="6">
        <f t="shared" si="1"/>
        <v>0.56000000000000005</v>
      </c>
      <c r="L58" s="7">
        <v>0.55000000000000004</v>
      </c>
      <c r="M58" s="10">
        <f t="shared" si="2"/>
        <v>1.0181818181818183</v>
      </c>
      <c r="O58" t="s">
        <v>35</v>
      </c>
      <c r="Q58" t="s">
        <v>36</v>
      </c>
      <c r="T58" s="2">
        <v>1</v>
      </c>
      <c r="U58" s="2">
        <v>1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s="2">
        <v>113</v>
      </c>
      <c r="B59" s="2">
        <v>240450302</v>
      </c>
      <c r="C59" s="2">
        <v>240450302</v>
      </c>
      <c r="D59" t="s">
        <v>83</v>
      </c>
      <c r="E59" t="s">
        <v>84</v>
      </c>
      <c r="F59" t="s">
        <v>85</v>
      </c>
      <c r="G59" s="3">
        <f>+VLOOKUP(B59,'[1]master_prod_15todos(30-11-2 (2)'!$B$2:$AF$470,31,FALSE)</f>
        <v>0.59</v>
      </c>
      <c r="H59" s="2">
        <v>0</v>
      </c>
      <c r="I59" s="2">
        <v>0</v>
      </c>
      <c r="J59" s="2">
        <v>0</v>
      </c>
      <c r="K59" s="6">
        <f t="shared" si="1"/>
        <v>0.59</v>
      </c>
      <c r="L59" s="7">
        <f>+VLOOKUP(B59,'[1]master_prod_15todos(30-11-2 (2)'!$B$2:$AG$470,32,FALSE)</f>
        <v>0.6</v>
      </c>
      <c r="M59" s="10">
        <f t="shared" si="2"/>
        <v>0.98333333333333328</v>
      </c>
      <c r="N59" t="s">
        <v>51</v>
      </c>
      <c r="O59" t="s">
        <v>30</v>
      </c>
      <c r="P59" t="s">
        <v>51</v>
      </c>
      <c r="Q59" t="s">
        <v>217</v>
      </c>
      <c r="R59" t="s">
        <v>218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0</v>
      </c>
      <c r="AA59" s="2">
        <v>1</v>
      </c>
      <c r="AB59" s="2">
        <v>0</v>
      </c>
      <c r="AC59" s="2">
        <v>0</v>
      </c>
    </row>
    <row r="60" spans="1:29">
      <c r="A60" s="2">
        <v>192</v>
      </c>
      <c r="B60" s="2">
        <v>242300610</v>
      </c>
      <c r="C60" s="2">
        <v>242300610</v>
      </c>
      <c r="D60" t="s">
        <v>527</v>
      </c>
      <c r="E60" t="s">
        <v>528</v>
      </c>
      <c r="F60" t="s">
        <v>517</v>
      </c>
      <c r="G60">
        <v>0.59940000000000004</v>
      </c>
      <c r="H60" s="2">
        <v>0</v>
      </c>
      <c r="I60" s="2">
        <v>0</v>
      </c>
      <c r="J60" s="2">
        <v>0</v>
      </c>
      <c r="K60" s="6">
        <f t="shared" si="1"/>
        <v>0.59940000000000004</v>
      </c>
      <c r="L60" s="7">
        <v>0.65</v>
      </c>
      <c r="M60" s="10">
        <f t="shared" si="2"/>
        <v>0.92215384615384621</v>
      </c>
      <c r="N60" t="s">
        <v>51</v>
      </c>
      <c r="O60" t="s">
        <v>30</v>
      </c>
      <c r="P60" t="s">
        <v>51</v>
      </c>
      <c r="Q60" t="s">
        <v>94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1</v>
      </c>
      <c r="AB60" s="2">
        <v>0</v>
      </c>
      <c r="AC60" s="2">
        <v>0</v>
      </c>
    </row>
    <row r="61" spans="1:29">
      <c r="A61" s="2">
        <v>284</v>
      </c>
      <c r="B61" s="2">
        <v>250100304</v>
      </c>
      <c r="C61" s="2">
        <v>250100304</v>
      </c>
      <c r="D61" t="s">
        <v>658</v>
      </c>
      <c r="E61" t="s">
        <v>659</v>
      </c>
      <c r="F61" t="s">
        <v>490</v>
      </c>
      <c r="G61" s="3">
        <v>0.61</v>
      </c>
      <c r="H61" s="2">
        <v>0</v>
      </c>
      <c r="I61" s="2">
        <v>0</v>
      </c>
      <c r="J61" s="2">
        <v>0</v>
      </c>
      <c r="K61" s="6">
        <f t="shared" si="1"/>
        <v>0.61</v>
      </c>
      <c r="L61" s="7">
        <v>0.65</v>
      </c>
      <c r="M61" s="10">
        <f t="shared" si="2"/>
        <v>0.93846153846153846</v>
      </c>
      <c r="N61" t="s">
        <v>51</v>
      </c>
      <c r="O61" t="s">
        <v>30</v>
      </c>
      <c r="P61" t="s">
        <v>51</v>
      </c>
      <c r="Q61" t="s">
        <v>217</v>
      </c>
      <c r="R61" t="s">
        <v>81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0</v>
      </c>
      <c r="AA61" s="2">
        <v>1</v>
      </c>
      <c r="AB61" s="2">
        <v>0</v>
      </c>
      <c r="AC61" s="2">
        <v>0</v>
      </c>
    </row>
    <row r="62" spans="1:29">
      <c r="A62" s="2">
        <v>707</v>
      </c>
      <c r="B62" s="2">
        <v>240650207</v>
      </c>
      <c r="C62" s="2">
        <v>240650207</v>
      </c>
      <c r="D62" t="s">
        <v>220</v>
      </c>
      <c r="E62" t="s">
        <v>221</v>
      </c>
      <c r="F62" t="s">
        <v>219</v>
      </c>
      <c r="G62" s="3">
        <f>+VLOOKUP(B62,'[1]master_prod_15todos(30-11-2 (2)'!$B$2:$AF$470,31,FALSE)</f>
        <v>0.65</v>
      </c>
      <c r="H62" s="2">
        <v>0</v>
      </c>
      <c r="I62" s="2">
        <v>0</v>
      </c>
      <c r="J62" s="2">
        <v>0</v>
      </c>
      <c r="K62" s="6">
        <f t="shared" si="1"/>
        <v>0.65</v>
      </c>
      <c r="L62" s="7">
        <f>+VLOOKUP(B62,'[1]master_prod_15todos(30-11-2 (2)'!$B$2:$AG$470,32,FALSE)</f>
        <v>0.95</v>
      </c>
      <c r="M62" s="10">
        <f t="shared" si="2"/>
        <v>0.68421052631578949</v>
      </c>
      <c r="N62" t="s">
        <v>30</v>
      </c>
      <c r="O62" t="s">
        <v>30</v>
      </c>
      <c r="P62" t="s">
        <v>35</v>
      </c>
      <c r="Q62" t="s">
        <v>81</v>
      </c>
      <c r="R62" t="s">
        <v>225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1</v>
      </c>
      <c r="Z62" s="2">
        <v>0</v>
      </c>
      <c r="AA62" s="2">
        <v>1</v>
      </c>
      <c r="AB62" s="2">
        <v>0</v>
      </c>
      <c r="AC62" s="2">
        <v>0</v>
      </c>
    </row>
    <row r="63" spans="1:29">
      <c r="A63" s="2">
        <v>125</v>
      </c>
      <c r="B63" s="2">
        <v>241950205</v>
      </c>
      <c r="C63" s="2">
        <v>241950205</v>
      </c>
      <c r="D63" t="s">
        <v>346</v>
      </c>
      <c r="E63" s="2">
        <v>4030</v>
      </c>
      <c r="F63" t="s">
        <v>45</v>
      </c>
      <c r="G63" s="3">
        <f>+VLOOKUP(B63,'[1]master_prod_15todos(30-11-2 (2)'!$B$2:$AF$470,31,FALSE)</f>
        <v>0.65</v>
      </c>
      <c r="H63" s="2">
        <v>0</v>
      </c>
      <c r="I63" s="2">
        <v>0</v>
      </c>
      <c r="J63" s="2">
        <v>0</v>
      </c>
      <c r="K63" s="6">
        <f t="shared" si="1"/>
        <v>0.65</v>
      </c>
      <c r="L63" s="7">
        <f>+VLOOKUP(B63,'[1]master_prod_15todos(30-11-2 (2)'!$B$2:$AG$470,32,FALSE)</f>
        <v>0.8</v>
      </c>
      <c r="M63" s="10">
        <f t="shared" si="2"/>
        <v>0.8125</v>
      </c>
      <c r="N63" t="s">
        <v>35</v>
      </c>
      <c r="O63" t="s">
        <v>30</v>
      </c>
      <c r="P63" t="s">
        <v>35</v>
      </c>
      <c r="Q63" t="s">
        <v>81</v>
      </c>
      <c r="R63" t="s">
        <v>81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0</v>
      </c>
      <c r="AA63" s="2">
        <v>1</v>
      </c>
      <c r="AB63" s="2">
        <v>0</v>
      </c>
      <c r="AC63" s="2">
        <v>0</v>
      </c>
    </row>
    <row r="64" spans="1:29">
      <c r="A64" s="2">
        <v>122</v>
      </c>
      <c r="B64" s="2">
        <v>251950503</v>
      </c>
      <c r="C64" s="2">
        <v>251950503</v>
      </c>
      <c r="D64" t="s">
        <v>796</v>
      </c>
      <c r="E64" s="2">
        <v>4035</v>
      </c>
      <c r="F64" t="s">
        <v>45</v>
      </c>
      <c r="G64" s="3">
        <v>0.65</v>
      </c>
      <c r="H64" s="2">
        <v>0</v>
      </c>
      <c r="I64" s="2">
        <v>0</v>
      </c>
      <c r="J64" s="2">
        <v>0</v>
      </c>
      <c r="K64" s="6">
        <f t="shared" si="1"/>
        <v>0.65</v>
      </c>
      <c r="L64" s="7">
        <v>0.75</v>
      </c>
      <c r="M64" s="10">
        <f t="shared" si="2"/>
        <v>0.8666666666666667</v>
      </c>
      <c r="N64" t="s">
        <v>229</v>
      </c>
      <c r="O64" t="s">
        <v>229</v>
      </c>
      <c r="P64" t="s">
        <v>37</v>
      </c>
      <c r="Q64" t="s">
        <v>230</v>
      </c>
      <c r="R64" t="s">
        <v>231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0</v>
      </c>
      <c r="AA64" s="2">
        <v>1</v>
      </c>
      <c r="AB64" s="2">
        <v>0</v>
      </c>
      <c r="AC64" s="2">
        <v>0</v>
      </c>
    </row>
    <row r="65" spans="1:29">
      <c r="A65" s="2">
        <v>126</v>
      </c>
      <c r="B65" s="2">
        <v>251950506</v>
      </c>
      <c r="C65" s="2">
        <v>251950506</v>
      </c>
      <c r="D65" t="s">
        <v>798</v>
      </c>
      <c r="E65" s="2">
        <v>4033</v>
      </c>
      <c r="F65" t="s">
        <v>45</v>
      </c>
      <c r="G65" s="3">
        <v>0.65</v>
      </c>
      <c r="H65" s="2">
        <v>0</v>
      </c>
      <c r="I65" s="2">
        <v>0</v>
      </c>
      <c r="J65" s="2">
        <v>0</v>
      </c>
      <c r="K65" s="6">
        <f t="shared" si="1"/>
        <v>0.65</v>
      </c>
      <c r="L65" s="7">
        <v>0.75</v>
      </c>
      <c r="M65" s="10">
        <f t="shared" si="2"/>
        <v>0.8666666666666667</v>
      </c>
      <c r="N65" t="s">
        <v>233</v>
      </c>
      <c r="O65" t="s">
        <v>30</v>
      </c>
      <c r="P65" t="s">
        <v>233</v>
      </c>
      <c r="Q65" t="s">
        <v>230</v>
      </c>
      <c r="R65" t="s">
        <v>231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0</v>
      </c>
      <c r="AA65" s="2">
        <v>1</v>
      </c>
      <c r="AB65" s="2">
        <v>0</v>
      </c>
      <c r="AC65" s="2">
        <v>0</v>
      </c>
    </row>
    <row r="66" spans="1:29">
      <c r="A66" s="2">
        <v>123</v>
      </c>
      <c r="B66" s="2">
        <v>251951504</v>
      </c>
      <c r="C66" s="2">
        <v>251951504</v>
      </c>
      <c r="D66" t="s">
        <v>803</v>
      </c>
      <c r="E66" s="2">
        <v>4036</v>
      </c>
      <c r="F66" t="s">
        <v>45</v>
      </c>
      <c r="G66" s="3">
        <v>0.65</v>
      </c>
      <c r="H66" s="2">
        <v>0</v>
      </c>
      <c r="I66" s="2">
        <v>0</v>
      </c>
      <c r="J66" s="2">
        <v>0</v>
      </c>
      <c r="K66" s="6">
        <f t="shared" si="1"/>
        <v>0.65</v>
      </c>
      <c r="L66" s="7">
        <v>0.75</v>
      </c>
      <c r="M66" s="10">
        <f t="shared" si="2"/>
        <v>0.8666666666666667</v>
      </c>
      <c r="N66" t="s">
        <v>30</v>
      </c>
      <c r="O66" t="s">
        <v>30</v>
      </c>
      <c r="P66" t="s">
        <v>30</v>
      </c>
      <c r="Q66" t="s">
        <v>237</v>
      </c>
      <c r="R66" t="s">
        <v>237</v>
      </c>
      <c r="T66" s="2">
        <v>1</v>
      </c>
      <c r="U66" s="2">
        <v>1</v>
      </c>
      <c r="V66" s="2">
        <v>1</v>
      </c>
      <c r="W66" s="2">
        <v>1</v>
      </c>
      <c r="X66" s="2">
        <v>0</v>
      </c>
      <c r="Y66" s="2">
        <v>1</v>
      </c>
      <c r="Z66" s="2">
        <v>0</v>
      </c>
      <c r="AA66" s="2">
        <v>1</v>
      </c>
      <c r="AB66" s="2">
        <v>0</v>
      </c>
      <c r="AC66" s="2">
        <v>0</v>
      </c>
    </row>
    <row r="67" spans="1:29">
      <c r="A67" s="2">
        <v>887</v>
      </c>
      <c r="B67" s="2">
        <v>242460114</v>
      </c>
      <c r="C67" s="2">
        <v>242460114</v>
      </c>
      <c r="D67" t="s">
        <v>576</v>
      </c>
      <c r="F67" t="s">
        <v>297</v>
      </c>
      <c r="G67" s="3">
        <v>0.69</v>
      </c>
      <c r="H67" s="2">
        <v>0</v>
      </c>
      <c r="I67" s="2">
        <v>0</v>
      </c>
      <c r="J67" s="2">
        <v>0</v>
      </c>
      <c r="K67" s="6">
        <f t="shared" ref="K67:K130" si="3">SUM(G67:J67)</f>
        <v>0.69</v>
      </c>
      <c r="L67" s="7">
        <v>0.7</v>
      </c>
      <c r="M67" s="10">
        <f t="shared" si="2"/>
        <v>0.98571428571428565</v>
      </c>
      <c r="N67" t="s">
        <v>30</v>
      </c>
      <c r="O67" t="s">
        <v>30</v>
      </c>
      <c r="P67" t="s">
        <v>30</v>
      </c>
      <c r="Q67" t="s">
        <v>230</v>
      </c>
      <c r="R67" t="s">
        <v>241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2">
        <v>1</v>
      </c>
      <c r="AB67" s="2">
        <v>0</v>
      </c>
      <c r="AC67" s="2">
        <v>0</v>
      </c>
    </row>
    <row r="68" spans="1:29">
      <c r="A68" s="2">
        <v>764</v>
      </c>
      <c r="B68" s="2">
        <v>252000901</v>
      </c>
      <c r="C68" s="2">
        <v>252000901</v>
      </c>
      <c r="D68" t="s">
        <v>806</v>
      </c>
      <c r="E68" t="s">
        <v>807</v>
      </c>
      <c r="F68" t="s">
        <v>310</v>
      </c>
      <c r="G68">
        <v>0.7</v>
      </c>
      <c r="H68" s="2">
        <v>0</v>
      </c>
      <c r="I68" s="2">
        <v>0</v>
      </c>
      <c r="J68" s="2">
        <v>0</v>
      </c>
      <c r="K68" s="6">
        <f t="shared" si="3"/>
        <v>0.7</v>
      </c>
      <c r="L68" s="7">
        <v>0.65</v>
      </c>
      <c r="M68" s="10">
        <f t="shared" ref="M68:M131" si="4">+K68/L68</f>
        <v>1.0769230769230769</v>
      </c>
      <c r="N68" t="s">
        <v>30</v>
      </c>
      <c r="O68" t="s">
        <v>30</v>
      </c>
      <c r="P68" t="s">
        <v>37</v>
      </c>
      <c r="Q68" t="s">
        <v>81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0</v>
      </c>
      <c r="Z68" s="2">
        <v>0</v>
      </c>
      <c r="AA68" s="2">
        <v>1</v>
      </c>
      <c r="AB68" s="2">
        <v>0</v>
      </c>
      <c r="AC68" s="2">
        <v>0</v>
      </c>
    </row>
    <row r="69" spans="1:29">
      <c r="A69" s="2">
        <v>848</v>
      </c>
      <c r="B69" s="2">
        <v>252650408</v>
      </c>
      <c r="C69" s="2">
        <v>252650408</v>
      </c>
      <c r="D69" t="s">
        <v>876</v>
      </c>
      <c r="E69" t="s">
        <v>877</v>
      </c>
      <c r="F69" t="s">
        <v>288</v>
      </c>
      <c r="G69">
        <v>0.77600000000000002</v>
      </c>
      <c r="H69" s="2">
        <v>0</v>
      </c>
      <c r="I69" s="2">
        <v>0</v>
      </c>
      <c r="J69" s="2">
        <v>0</v>
      </c>
      <c r="K69" s="6">
        <f t="shared" si="3"/>
        <v>0.77600000000000002</v>
      </c>
      <c r="L69" s="7">
        <v>0.94</v>
      </c>
      <c r="M69" s="10">
        <f t="shared" si="4"/>
        <v>0.8255319148936171</v>
      </c>
      <c r="N69" t="s">
        <v>245</v>
      </c>
      <c r="O69" t="s">
        <v>30</v>
      </c>
      <c r="P69" t="s">
        <v>245</v>
      </c>
      <c r="Q69" t="s">
        <v>81</v>
      </c>
      <c r="R69" t="s">
        <v>37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0</v>
      </c>
      <c r="AA69" s="2">
        <v>1</v>
      </c>
      <c r="AB69" s="2">
        <v>0</v>
      </c>
      <c r="AC69" s="2">
        <v>0</v>
      </c>
    </row>
    <row r="70" spans="1:29">
      <c r="A70" s="2">
        <v>845</v>
      </c>
      <c r="B70" s="2">
        <v>252850504</v>
      </c>
      <c r="C70" s="2">
        <v>252850504</v>
      </c>
      <c r="D70" t="s">
        <v>1034</v>
      </c>
      <c r="E70" t="s">
        <v>1035</v>
      </c>
      <c r="F70" t="s">
        <v>75</v>
      </c>
      <c r="G70">
        <v>0.79500000000000004</v>
      </c>
      <c r="H70" s="2">
        <v>0</v>
      </c>
      <c r="I70" s="2">
        <v>0</v>
      </c>
      <c r="J70" s="2">
        <v>0</v>
      </c>
      <c r="K70" s="6">
        <f t="shared" si="3"/>
        <v>0.79500000000000004</v>
      </c>
      <c r="L70" s="7">
        <v>0.55000000000000004</v>
      </c>
      <c r="M70" s="10">
        <f t="shared" si="4"/>
        <v>1.4454545454545453</v>
      </c>
      <c r="N70" t="s">
        <v>245</v>
      </c>
      <c r="O70" t="s">
        <v>30</v>
      </c>
      <c r="P70" t="s">
        <v>245</v>
      </c>
      <c r="Q70" t="s">
        <v>81</v>
      </c>
      <c r="S70" t="s">
        <v>247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</row>
    <row r="71" spans="1:29">
      <c r="A71" s="2">
        <v>273</v>
      </c>
      <c r="B71" s="2">
        <v>240350111</v>
      </c>
      <c r="C71" s="2">
        <v>240350111</v>
      </c>
      <c r="D71" t="s">
        <v>67</v>
      </c>
      <c r="F71" t="s">
        <v>64</v>
      </c>
      <c r="G71" s="3">
        <f>+VLOOKUP(B71,'[1]master_prod_15todos(30-11-2 (2)'!$B$2:$AF$470,31,FALSE)</f>
        <v>0.8</v>
      </c>
      <c r="H71" s="2">
        <v>0</v>
      </c>
      <c r="I71" s="2">
        <v>0</v>
      </c>
      <c r="J71" s="2">
        <v>0</v>
      </c>
      <c r="K71" s="6">
        <f t="shared" si="3"/>
        <v>0.8</v>
      </c>
      <c r="L71" s="7">
        <f>+VLOOKUP(B71,'[1]master_prod_15todos(30-11-2 (2)'!$B$2:$AG$470,32,FALSE)</f>
        <v>0.6</v>
      </c>
      <c r="M71" s="10">
        <f t="shared" si="4"/>
        <v>1.3333333333333335</v>
      </c>
      <c r="N71" t="s">
        <v>30</v>
      </c>
      <c r="O71" t="s">
        <v>30</v>
      </c>
      <c r="P71" t="s">
        <v>40</v>
      </c>
      <c r="Q71" t="s">
        <v>81</v>
      </c>
      <c r="R71" t="s">
        <v>251</v>
      </c>
      <c r="T71" s="2">
        <v>1</v>
      </c>
      <c r="U71" s="2">
        <v>1</v>
      </c>
      <c r="V71" s="2">
        <v>0</v>
      </c>
      <c r="W71" s="2">
        <v>1</v>
      </c>
      <c r="X71" s="2">
        <v>1</v>
      </c>
      <c r="Y71" s="2">
        <v>0</v>
      </c>
      <c r="Z71" s="2">
        <v>0</v>
      </c>
      <c r="AA71" s="2">
        <v>1</v>
      </c>
      <c r="AB71" s="2">
        <v>0</v>
      </c>
      <c r="AC71" s="2">
        <v>0</v>
      </c>
    </row>
    <row r="72" spans="1:29">
      <c r="A72" s="2">
        <v>274</v>
      </c>
      <c r="B72" s="2">
        <v>240350112</v>
      </c>
      <c r="C72" s="2">
        <v>240350112</v>
      </c>
      <c r="D72" t="s">
        <v>69</v>
      </c>
      <c r="E72" t="s">
        <v>70</v>
      </c>
      <c r="F72" t="s">
        <v>64</v>
      </c>
      <c r="G72" s="3">
        <f>+VLOOKUP(B72,'[1]master_prod_15todos(30-11-2 (2)'!$B$2:$AF$470,31,FALSE)</f>
        <v>0.8</v>
      </c>
      <c r="H72" s="2">
        <v>0</v>
      </c>
      <c r="I72" s="2">
        <v>0</v>
      </c>
      <c r="J72" s="2">
        <v>0</v>
      </c>
      <c r="K72" s="6">
        <f t="shared" si="3"/>
        <v>0.8</v>
      </c>
      <c r="L72" s="7">
        <f>+VLOOKUP(B72,'[1]master_prod_15todos(30-11-2 (2)'!$B$2:$AG$470,32,FALSE)</f>
        <v>0.5</v>
      </c>
      <c r="M72" s="10">
        <f t="shared" si="4"/>
        <v>1.6</v>
      </c>
      <c r="N72" t="s">
        <v>30</v>
      </c>
      <c r="O72" t="s">
        <v>30</v>
      </c>
      <c r="P72" t="s">
        <v>37</v>
      </c>
      <c r="Q72" t="s">
        <v>237</v>
      </c>
      <c r="R72" t="s">
        <v>253</v>
      </c>
      <c r="T72" s="2">
        <v>1</v>
      </c>
      <c r="U72" s="2">
        <v>1</v>
      </c>
      <c r="V72" s="2">
        <v>1</v>
      </c>
      <c r="W72" s="2">
        <v>1</v>
      </c>
      <c r="X72" s="2">
        <v>0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</row>
    <row r="73" spans="1:29">
      <c r="A73" s="2">
        <v>782</v>
      </c>
      <c r="B73" s="2">
        <v>250450910</v>
      </c>
      <c r="C73" s="2">
        <v>250450910</v>
      </c>
      <c r="D73" t="s">
        <v>745</v>
      </c>
      <c r="F73" t="s">
        <v>256</v>
      </c>
      <c r="G73">
        <v>0.8</v>
      </c>
      <c r="H73" s="2">
        <v>0</v>
      </c>
      <c r="I73" s="2">
        <v>0</v>
      </c>
      <c r="J73" s="2">
        <v>0</v>
      </c>
      <c r="K73" s="6">
        <f t="shared" si="3"/>
        <v>0.8</v>
      </c>
      <c r="L73" s="7">
        <v>0.85</v>
      </c>
      <c r="M73" s="10">
        <f t="shared" si="4"/>
        <v>0.94117647058823539</v>
      </c>
      <c r="N73" t="s">
        <v>30</v>
      </c>
      <c r="O73" t="s">
        <v>30</v>
      </c>
      <c r="P73" t="s">
        <v>37</v>
      </c>
      <c r="Q73" t="s">
        <v>81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0</v>
      </c>
      <c r="AA73" s="2">
        <v>1</v>
      </c>
      <c r="AB73" s="3">
        <v>0.43</v>
      </c>
      <c r="AC73">
        <v>52.372100000000003</v>
      </c>
    </row>
    <row r="74" spans="1:29">
      <c r="A74" s="2">
        <v>80</v>
      </c>
      <c r="B74" s="2">
        <v>242300603</v>
      </c>
      <c r="C74" s="2">
        <v>242300603</v>
      </c>
      <c r="D74" t="s">
        <v>519</v>
      </c>
      <c r="E74" s="2">
        <v>6725</v>
      </c>
      <c r="F74" t="s">
        <v>520</v>
      </c>
      <c r="G74">
        <v>0.84209999999999996</v>
      </c>
      <c r="H74" s="2">
        <v>0</v>
      </c>
      <c r="I74" s="2">
        <v>0</v>
      </c>
      <c r="J74" s="2">
        <v>0</v>
      </c>
      <c r="K74" s="6">
        <f t="shared" si="3"/>
        <v>0.84209999999999996</v>
      </c>
      <c r="L74" s="7">
        <v>0.65</v>
      </c>
      <c r="M74" s="10">
        <f t="shared" si="4"/>
        <v>1.2955384615384615</v>
      </c>
      <c r="N74" t="s">
        <v>259</v>
      </c>
      <c r="O74" t="s">
        <v>30</v>
      </c>
      <c r="P74" t="s">
        <v>259</v>
      </c>
      <c r="Q74" t="s">
        <v>260</v>
      </c>
      <c r="R74" t="s">
        <v>261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0</v>
      </c>
      <c r="AA74" s="2">
        <v>1</v>
      </c>
      <c r="AB74" s="2">
        <v>0</v>
      </c>
      <c r="AC74" s="2">
        <v>0</v>
      </c>
    </row>
    <row r="75" spans="1:29">
      <c r="A75" s="2">
        <v>424</v>
      </c>
      <c r="B75" s="2">
        <v>250150104</v>
      </c>
      <c r="C75" s="2">
        <v>250150104</v>
      </c>
      <c r="D75" t="s">
        <v>665</v>
      </c>
      <c r="F75" t="s">
        <v>666</v>
      </c>
      <c r="G75">
        <v>0.84209999999999996</v>
      </c>
      <c r="H75" s="2">
        <v>0</v>
      </c>
      <c r="I75" s="2">
        <v>0</v>
      </c>
      <c r="J75" s="2">
        <v>0</v>
      </c>
      <c r="K75" s="6">
        <f t="shared" si="3"/>
        <v>0.84209999999999996</v>
      </c>
      <c r="L75" s="7">
        <v>0.55000000000000004</v>
      </c>
      <c r="M75" s="10">
        <f t="shared" si="4"/>
        <v>1.5310909090909088</v>
      </c>
      <c r="N75" t="s">
        <v>264</v>
      </c>
      <c r="O75" t="s">
        <v>30</v>
      </c>
      <c r="P75" t="s">
        <v>264</v>
      </c>
      <c r="Q75" t="s">
        <v>260</v>
      </c>
      <c r="R75" t="s">
        <v>261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0</v>
      </c>
      <c r="AA75" s="2">
        <v>1</v>
      </c>
      <c r="AB75" s="2">
        <v>0</v>
      </c>
      <c r="AC75" s="2">
        <v>0</v>
      </c>
    </row>
    <row r="76" spans="1:29">
      <c r="A76" s="2">
        <v>312</v>
      </c>
      <c r="B76" s="2">
        <v>242201362</v>
      </c>
      <c r="C76" s="2">
        <v>242201362</v>
      </c>
      <c r="D76" t="s">
        <v>445</v>
      </c>
      <c r="F76" t="s">
        <v>446</v>
      </c>
      <c r="G76" s="3">
        <f>+VLOOKUP(B76,'[1]master_prod_15todos(30-11-2 (2)'!$B$2:$AF$470,31,FALSE)</f>
        <v>0.9</v>
      </c>
      <c r="H76" s="2">
        <v>0</v>
      </c>
      <c r="I76" s="2">
        <v>0</v>
      </c>
      <c r="J76" s="2">
        <v>0</v>
      </c>
      <c r="K76" s="6">
        <f t="shared" si="3"/>
        <v>0.9</v>
      </c>
      <c r="L76" s="7">
        <f>+VLOOKUP(B76,'[1]master_prod_15todos(30-11-2 (2)'!$B$2:$AG$470,32,FALSE)</f>
        <v>0.25</v>
      </c>
      <c r="M76" s="10">
        <f t="shared" si="4"/>
        <v>3.6</v>
      </c>
      <c r="N76" t="s">
        <v>266</v>
      </c>
      <c r="O76" t="s">
        <v>30</v>
      </c>
      <c r="P76" t="s">
        <v>266</v>
      </c>
      <c r="Q76" t="s">
        <v>260</v>
      </c>
      <c r="R76" t="s">
        <v>261</v>
      </c>
      <c r="S76" t="s">
        <v>267</v>
      </c>
      <c r="T76" s="2">
        <v>1</v>
      </c>
      <c r="U76" s="2">
        <v>1</v>
      </c>
      <c r="V76" s="2">
        <v>1</v>
      </c>
      <c r="W76" s="2">
        <v>1</v>
      </c>
      <c r="X76" s="2">
        <v>0</v>
      </c>
      <c r="Y76" s="2">
        <v>1</v>
      </c>
      <c r="Z76" s="2">
        <v>0</v>
      </c>
      <c r="AA76" s="2">
        <v>1</v>
      </c>
      <c r="AB76" s="2">
        <v>0</v>
      </c>
      <c r="AC76" s="2">
        <v>0</v>
      </c>
    </row>
    <row r="77" spans="1:29">
      <c r="A77" s="2">
        <v>748</v>
      </c>
      <c r="B77" s="2">
        <v>240650106</v>
      </c>
      <c r="C77" s="2">
        <v>240650106</v>
      </c>
      <c r="D77" t="s">
        <v>215</v>
      </c>
      <c r="E77" t="s">
        <v>216</v>
      </c>
      <c r="F77" t="s">
        <v>85</v>
      </c>
      <c r="G77" s="3">
        <f>+VLOOKUP(B77,'[1]master_prod_15todos(30-11-2 (2)'!$B$2:$AF$470,31,FALSE)</f>
        <v>0.92500000000000004</v>
      </c>
      <c r="H77" s="2">
        <v>0</v>
      </c>
      <c r="I77" s="2">
        <v>0</v>
      </c>
      <c r="J77" s="2">
        <v>0</v>
      </c>
      <c r="K77" s="6">
        <f t="shared" si="3"/>
        <v>0.92500000000000004</v>
      </c>
      <c r="L77" s="7">
        <f>+VLOOKUP(B77,'[1]master_prod_15todos(30-11-2 (2)'!$B$2:$AG$470,32,FALSE)</f>
        <v>0.6</v>
      </c>
      <c r="M77" s="10">
        <f t="shared" si="4"/>
        <v>1.5416666666666667</v>
      </c>
      <c r="N77" t="s">
        <v>264</v>
      </c>
      <c r="O77" t="s">
        <v>30</v>
      </c>
      <c r="P77" t="s">
        <v>264</v>
      </c>
      <c r="Q77" t="s">
        <v>260</v>
      </c>
      <c r="R77" t="s">
        <v>261</v>
      </c>
      <c r="S77" t="s">
        <v>267</v>
      </c>
      <c r="T77" s="2">
        <v>1</v>
      </c>
      <c r="U77" s="2">
        <v>1</v>
      </c>
      <c r="V77" s="2">
        <v>1</v>
      </c>
      <c r="W77" s="2">
        <v>1</v>
      </c>
      <c r="X77" s="2">
        <v>0</v>
      </c>
      <c r="Y77" s="2">
        <v>1</v>
      </c>
      <c r="Z77" s="2">
        <v>0</v>
      </c>
      <c r="AA77" s="2">
        <v>1</v>
      </c>
      <c r="AB77" s="2">
        <v>0</v>
      </c>
      <c r="AC77" s="2">
        <v>0</v>
      </c>
    </row>
    <row r="78" spans="1:29">
      <c r="A78" s="2">
        <v>86</v>
      </c>
      <c r="B78" s="2">
        <v>242000602</v>
      </c>
      <c r="C78" s="2">
        <v>242000602</v>
      </c>
      <c r="D78" t="s">
        <v>377</v>
      </c>
      <c r="F78" t="s">
        <v>64</v>
      </c>
      <c r="G78" s="3">
        <f>+VLOOKUP(B78,'[1]master_prod_15todos(30-11-2 (2)'!$B$2:$AF$470,31,FALSE)</f>
        <v>0.94</v>
      </c>
      <c r="H78" s="2">
        <v>0</v>
      </c>
      <c r="I78" s="2">
        <v>0</v>
      </c>
      <c r="J78" s="2">
        <v>0</v>
      </c>
      <c r="K78" s="6">
        <f t="shared" si="3"/>
        <v>0.94</v>
      </c>
      <c r="L78" s="7">
        <f>+VLOOKUP(B78,'[1]master_prod_15todos(30-11-2 (2)'!$B$2:$AG$470,32,FALSE)</f>
        <v>0.95</v>
      </c>
      <c r="M78" s="10">
        <f t="shared" si="4"/>
        <v>0.98947368421052628</v>
      </c>
      <c r="N78" t="s">
        <v>62</v>
      </c>
      <c r="O78" t="s">
        <v>30</v>
      </c>
      <c r="P78" t="s">
        <v>62</v>
      </c>
      <c r="Q78" t="s">
        <v>260</v>
      </c>
      <c r="R78" t="s">
        <v>261</v>
      </c>
      <c r="S78" t="s">
        <v>267</v>
      </c>
      <c r="T78" s="2">
        <v>1</v>
      </c>
      <c r="U78" s="2">
        <v>1</v>
      </c>
      <c r="V78" s="2">
        <v>1</v>
      </c>
      <c r="W78" s="2">
        <v>1</v>
      </c>
      <c r="X78" s="2">
        <v>0</v>
      </c>
      <c r="Y78" s="2">
        <v>1</v>
      </c>
      <c r="Z78" s="2">
        <v>0</v>
      </c>
      <c r="AA78" s="2">
        <v>1</v>
      </c>
      <c r="AB78" s="2">
        <v>0</v>
      </c>
      <c r="AC78" s="2">
        <v>0</v>
      </c>
    </row>
    <row r="79" spans="1:29">
      <c r="A79" s="2">
        <v>98</v>
      </c>
      <c r="B79" s="2">
        <v>242350106</v>
      </c>
      <c r="C79" s="2">
        <v>242350106</v>
      </c>
      <c r="D79" t="s">
        <v>537</v>
      </c>
      <c r="E79" t="s">
        <v>538</v>
      </c>
      <c r="F79" t="s">
        <v>310</v>
      </c>
      <c r="G79" s="3">
        <v>0.95</v>
      </c>
      <c r="H79" s="2">
        <v>0</v>
      </c>
      <c r="I79" s="2">
        <v>0</v>
      </c>
      <c r="J79" s="2">
        <v>0</v>
      </c>
      <c r="K79" s="6">
        <f t="shared" si="3"/>
        <v>0.95</v>
      </c>
      <c r="L79" s="7">
        <v>0.8</v>
      </c>
      <c r="M79" s="10">
        <f t="shared" si="4"/>
        <v>1.1874999999999998</v>
      </c>
      <c r="N79" t="s">
        <v>273</v>
      </c>
      <c r="O79" t="s">
        <v>30</v>
      </c>
      <c r="P79" t="s">
        <v>273</v>
      </c>
      <c r="Q79" t="s">
        <v>260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0</v>
      </c>
      <c r="AA79" s="2">
        <v>1</v>
      </c>
      <c r="AB79" s="2">
        <v>0</v>
      </c>
      <c r="AC79" s="2">
        <v>0</v>
      </c>
    </row>
    <row r="80" spans="1:29">
      <c r="A80" s="2">
        <v>100</v>
      </c>
      <c r="B80" s="2">
        <v>242350105</v>
      </c>
      <c r="C80" s="2">
        <v>242350105</v>
      </c>
      <c r="D80" t="s">
        <v>534</v>
      </c>
      <c r="F80" t="s">
        <v>535</v>
      </c>
      <c r="G80" s="2">
        <v>1</v>
      </c>
      <c r="H80" s="2">
        <v>0</v>
      </c>
      <c r="I80" s="2">
        <v>0</v>
      </c>
      <c r="J80" s="2">
        <v>0</v>
      </c>
      <c r="K80" s="6">
        <f t="shared" si="3"/>
        <v>1</v>
      </c>
      <c r="L80" s="7">
        <v>0.8</v>
      </c>
      <c r="M80" s="10">
        <f t="shared" si="4"/>
        <v>1.25</v>
      </c>
      <c r="N80" t="s">
        <v>273</v>
      </c>
      <c r="O80" t="s">
        <v>273</v>
      </c>
      <c r="P80" t="s">
        <v>273</v>
      </c>
      <c r="Q80" t="s">
        <v>260</v>
      </c>
      <c r="R80" t="s">
        <v>261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0</v>
      </c>
      <c r="AA80" s="2">
        <v>1</v>
      </c>
      <c r="AB80" s="2">
        <v>0</v>
      </c>
      <c r="AC80" s="2">
        <v>0</v>
      </c>
    </row>
    <row r="81" spans="1:29">
      <c r="A81" s="2">
        <v>99</v>
      </c>
      <c r="B81" s="2">
        <v>242350108</v>
      </c>
      <c r="C81" s="2">
        <v>242350108</v>
      </c>
      <c r="D81" t="s">
        <v>539</v>
      </c>
      <c r="F81" t="s">
        <v>310</v>
      </c>
      <c r="G81" s="2">
        <v>1</v>
      </c>
      <c r="H81" s="2">
        <v>0</v>
      </c>
      <c r="I81" s="2">
        <v>0</v>
      </c>
      <c r="J81" s="2">
        <v>0</v>
      </c>
      <c r="K81" s="6">
        <f t="shared" si="3"/>
        <v>1</v>
      </c>
      <c r="L81" s="7">
        <v>0.8</v>
      </c>
      <c r="M81" s="10">
        <f t="shared" si="4"/>
        <v>1.25</v>
      </c>
      <c r="N81" t="s">
        <v>30</v>
      </c>
      <c r="O81" t="s">
        <v>30</v>
      </c>
      <c r="P81" t="s">
        <v>51</v>
      </c>
      <c r="Q81" t="s">
        <v>230</v>
      </c>
      <c r="R81" t="s">
        <v>280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0</v>
      </c>
      <c r="Z81" s="2">
        <v>0</v>
      </c>
      <c r="AA81" s="2">
        <v>1</v>
      </c>
      <c r="AB81">
        <v>0.70550000000000002</v>
      </c>
      <c r="AC81">
        <v>5.9107000000000003</v>
      </c>
    </row>
    <row r="82" spans="1:29">
      <c r="A82" s="2">
        <v>246</v>
      </c>
      <c r="B82" s="2">
        <v>242350213</v>
      </c>
      <c r="C82" s="2">
        <v>242350213</v>
      </c>
      <c r="D82" t="s">
        <v>544</v>
      </c>
      <c r="F82" t="s">
        <v>446</v>
      </c>
      <c r="G82" s="2">
        <v>1</v>
      </c>
      <c r="H82" s="2">
        <v>0</v>
      </c>
      <c r="I82" s="2">
        <v>0</v>
      </c>
      <c r="J82" s="2">
        <v>0</v>
      </c>
      <c r="K82" s="6">
        <f t="shared" si="3"/>
        <v>1</v>
      </c>
      <c r="L82" s="7">
        <v>0.4</v>
      </c>
      <c r="M82" s="10">
        <f t="shared" si="4"/>
        <v>2.5</v>
      </c>
      <c r="N82" t="s">
        <v>30</v>
      </c>
      <c r="O82" t="s">
        <v>30</v>
      </c>
      <c r="P82" t="s">
        <v>37</v>
      </c>
      <c r="Q82" t="s">
        <v>230</v>
      </c>
      <c r="R82" t="s">
        <v>283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0</v>
      </c>
      <c r="AA82" s="2">
        <v>1</v>
      </c>
      <c r="AB82" s="2">
        <v>0</v>
      </c>
      <c r="AC82" s="2">
        <v>0</v>
      </c>
    </row>
    <row r="83" spans="1:29">
      <c r="A83" s="2">
        <v>283</v>
      </c>
      <c r="B83" s="2">
        <v>243300106</v>
      </c>
      <c r="C83" s="2">
        <v>243300106</v>
      </c>
      <c r="D83" t="s">
        <v>629</v>
      </c>
      <c r="F83" t="s">
        <v>630</v>
      </c>
      <c r="G83" s="2">
        <v>1</v>
      </c>
      <c r="H83" s="2">
        <v>0</v>
      </c>
      <c r="I83" s="2">
        <v>0</v>
      </c>
      <c r="J83" s="2">
        <v>0</v>
      </c>
      <c r="K83" s="6">
        <f t="shared" si="3"/>
        <v>1</v>
      </c>
      <c r="L83" s="7">
        <v>0.79001422025596002</v>
      </c>
      <c r="M83" s="10">
        <f t="shared" si="4"/>
        <v>1.2658000000000074</v>
      </c>
      <c r="N83" t="s">
        <v>30</v>
      </c>
      <c r="O83" t="s">
        <v>30</v>
      </c>
      <c r="P83" t="s">
        <v>30</v>
      </c>
      <c r="Q83" t="s">
        <v>230</v>
      </c>
      <c r="R83" t="s">
        <v>231</v>
      </c>
      <c r="T83" s="2">
        <v>1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0</v>
      </c>
      <c r="AA83" s="2">
        <v>1</v>
      </c>
      <c r="AB83" s="2">
        <v>0</v>
      </c>
      <c r="AC83" s="2">
        <v>0</v>
      </c>
    </row>
    <row r="84" spans="1:29">
      <c r="A84" s="2">
        <v>177</v>
      </c>
      <c r="B84" s="2">
        <v>250210129</v>
      </c>
      <c r="C84" s="2">
        <v>250210129</v>
      </c>
      <c r="D84" t="s">
        <v>702</v>
      </c>
      <c r="E84" t="s">
        <v>703</v>
      </c>
      <c r="F84" t="s">
        <v>701</v>
      </c>
      <c r="G84" s="2">
        <v>1</v>
      </c>
      <c r="H84" s="2">
        <v>0</v>
      </c>
      <c r="I84" s="2">
        <v>0</v>
      </c>
      <c r="J84" s="2">
        <v>0</v>
      </c>
      <c r="K84" s="6">
        <f t="shared" si="3"/>
        <v>1</v>
      </c>
      <c r="L84" s="7">
        <v>0.65</v>
      </c>
      <c r="M84" s="10">
        <f t="shared" si="4"/>
        <v>1.5384615384615383</v>
      </c>
      <c r="N84" t="s">
        <v>101</v>
      </c>
      <c r="O84" t="s">
        <v>30</v>
      </c>
      <c r="P84" t="s">
        <v>101</v>
      </c>
      <c r="Q84" t="s">
        <v>230</v>
      </c>
      <c r="R84" t="s">
        <v>231</v>
      </c>
      <c r="T84" s="2">
        <v>1</v>
      </c>
      <c r="U84" s="2">
        <v>1</v>
      </c>
      <c r="V84" s="2">
        <v>1</v>
      </c>
      <c r="W84" s="2">
        <v>1</v>
      </c>
      <c r="X84" s="2">
        <v>0</v>
      </c>
      <c r="Y84" s="2">
        <v>0</v>
      </c>
      <c r="Z84" s="2">
        <v>0</v>
      </c>
      <c r="AA84" s="2">
        <v>1</v>
      </c>
      <c r="AB84">
        <v>0.6</v>
      </c>
      <c r="AC84" s="2">
        <v>0</v>
      </c>
    </row>
    <row r="85" spans="1:29">
      <c r="A85" s="2">
        <v>48</v>
      </c>
      <c r="B85" s="2">
        <v>250210130</v>
      </c>
      <c r="C85" s="2">
        <v>250210130</v>
      </c>
      <c r="D85" t="s">
        <v>699</v>
      </c>
      <c r="E85" t="s">
        <v>700</v>
      </c>
      <c r="F85" t="s">
        <v>701</v>
      </c>
      <c r="G85" s="2">
        <v>1</v>
      </c>
      <c r="H85" s="2">
        <v>0</v>
      </c>
      <c r="I85" s="2">
        <v>0</v>
      </c>
      <c r="J85" s="2">
        <v>0</v>
      </c>
      <c r="K85" s="6">
        <f t="shared" si="3"/>
        <v>1</v>
      </c>
      <c r="L85" s="7">
        <v>0.65</v>
      </c>
      <c r="M85" s="10">
        <f t="shared" si="4"/>
        <v>1.5384615384615383</v>
      </c>
      <c r="N85" t="s">
        <v>30</v>
      </c>
      <c r="O85" t="s">
        <v>30</v>
      </c>
      <c r="P85" t="s">
        <v>37</v>
      </c>
      <c r="Q85" t="s">
        <v>230</v>
      </c>
      <c r="R85" t="s">
        <v>289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0</v>
      </c>
      <c r="AA85" s="2">
        <v>1</v>
      </c>
      <c r="AB85">
        <v>0.6</v>
      </c>
      <c r="AC85">
        <v>35.4</v>
      </c>
    </row>
    <row r="86" spans="1:29">
      <c r="A86" s="2">
        <v>765</v>
      </c>
      <c r="B86" s="2">
        <v>262000901</v>
      </c>
      <c r="C86" s="2">
        <v>262000901</v>
      </c>
      <c r="D86" t="s">
        <v>806</v>
      </c>
      <c r="F86" t="s">
        <v>517</v>
      </c>
      <c r="G86" s="2">
        <v>1</v>
      </c>
      <c r="H86" s="2">
        <v>0</v>
      </c>
      <c r="I86" s="2">
        <v>0</v>
      </c>
      <c r="J86" s="2">
        <v>0</v>
      </c>
      <c r="K86" s="6">
        <f t="shared" si="3"/>
        <v>1</v>
      </c>
      <c r="L86" s="7">
        <v>0.65</v>
      </c>
      <c r="M86" s="10">
        <f t="shared" si="4"/>
        <v>1.5384615384615383</v>
      </c>
      <c r="N86" t="s">
        <v>105</v>
      </c>
      <c r="O86" t="s">
        <v>30</v>
      </c>
      <c r="P86" t="s">
        <v>105</v>
      </c>
      <c r="Q86" t="s">
        <v>230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</row>
    <row r="87" spans="1:29">
      <c r="A87" s="2">
        <v>124</v>
      </c>
      <c r="B87" t="s">
        <v>1132</v>
      </c>
      <c r="C87" t="s">
        <v>1132</v>
      </c>
      <c r="D87" t="s">
        <v>1139</v>
      </c>
      <c r="E87" s="2">
        <v>241950207</v>
      </c>
      <c r="F87" t="s">
        <v>45</v>
      </c>
      <c r="G87" s="2">
        <v>1</v>
      </c>
      <c r="H87" s="2">
        <v>0</v>
      </c>
      <c r="I87" s="2">
        <v>0</v>
      </c>
      <c r="J87" s="2">
        <v>0</v>
      </c>
      <c r="K87" s="6">
        <f t="shared" si="3"/>
        <v>1</v>
      </c>
      <c r="L87" s="7">
        <v>0.8</v>
      </c>
      <c r="M87" s="10">
        <f t="shared" si="4"/>
        <v>1.25</v>
      </c>
      <c r="N87" t="s">
        <v>30</v>
      </c>
      <c r="O87" t="s">
        <v>30</v>
      </c>
      <c r="P87" t="s">
        <v>37</v>
      </c>
      <c r="Q87" t="s">
        <v>230</v>
      </c>
      <c r="R87" t="s">
        <v>289</v>
      </c>
      <c r="T87" s="2">
        <v>1</v>
      </c>
      <c r="U87" s="2">
        <v>1</v>
      </c>
      <c r="V87" s="2">
        <v>1</v>
      </c>
      <c r="W87" s="2">
        <v>1</v>
      </c>
      <c r="X87" s="2">
        <v>0</v>
      </c>
      <c r="Y87" s="2">
        <v>0</v>
      </c>
      <c r="Z87" s="2">
        <v>0</v>
      </c>
      <c r="AA87" s="2">
        <v>1</v>
      </c>
      <c r="AB87">
        <v>0.6</v>
      </c>
      <c r="AC87">
        <v>35.4</v>
      </c>
    </row>
    <row r="88" spans="1:29">
      <c r="A88" s="2">
        <v>127</v>
      </c>
      <c r="B88" t="s">
        <v>1132</v>
      </c>
      <c r="C88" t="s">
        <v>1132</v>
      </c>
      <c r="D88" t="s">
        <v>349</v>
      </c>
      <c r="F88" t="s">
        <v>45</v>
      </c>
      <c r="G88" s="2">
        <v>1</v>
      </c>
      <c r="H88" s="2">
        <v>0</v>
      </c>
      <c r="I88" s="2">
        <v>0</v>
      </c>
      <c r="J88" s="2">
        <v>0</v>
      </c>
      <c r="K88" s="6">
        <f t="shared" si="3"/>
        <v>1</v>
      </c>
      <c r="L88" s="7">
        <v>0.8</v>
      </c>
      <c r="M88" s="10">
        <f t="shared" si="4"/>
        <v>1.25</v>
      </c>
      <c r="N88" t="s">
        <v>30</v>
      </c>
      <c r="O88" t="s">
        <v>30</v>
      </c>
      <c r="P88" t="s">
        <v>37</v>
      </c>
      <c r="Q88" t="s">
        <v>94</v>
      </c>
      <c r="T88" s="2">
        <v>1</v>
      </c>
      <c r="U88" s="2">
        <v>1</v>
      </c>
      <c r="V88" s="2">
        <v>1</v>
      </c>
      <c r="W88" s="2">
        <v>1</v>
      </c>
      <c r="X88" s="2">
        <v>0</v>
      </c>
      <c r="Y88" s="2">
        <v>1</v>
      </c>
      <c r="Z88" s="2">
        <v>0</v>
      </c>
      <c r="AA88" s="2">
        <v>1</v>
      </c>
      <c r="AB88" s="2">
        <v>0</v>
      </c>
      <c r="AC88" s="2">
        <v>0</v>
      </c>
    </row>
    <row r="89" spans="1:29">
      <c r="A89" s="2">
        <v>168</v>
      </c>
      <c r="B89" t="s">
        <v>1132</v>
      </c>
      <c r="C89" t="s">
        <v>1141</v>
      </c>
      <c r="D89" t="s">
        <v>1142</v>
      </c>
      <c r="F89" t="s">
        <v>840</v>
      </c>
      <c r="G89" s="2">
        <v>1</v>
      </c>
      <c r="H89" s="2">
        <v>0</v>
      </c>
      <c r="I89" s="2">
        <v>0</v>
      </c>
      <c r="J89" s="2">
        <v>0</v>
      </c>
      <c r="K89" s="6">
        <f t="shared" si="3"/>
        <v>1</v>
      </c>
      <c r="L89" s="7">
        <v>0.8</v>
      </c>
      <c r="M89" s="10">
        <f t="shared" si="4"/>
        <v>1.25</v>
      </c>
      <c r="N89" t="s">
        <v>298</v>
      </c>
      <c r="O89" t="s">
        <v>298</v>
      </c>
      <c r="P89" t="s">
        <v>298</v>
      </c>
      <c r="Q89" t="s">
        <v>167</v>
      </c>
      <c r="R89" t="s">
        <v>299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0</v>
      </c>
      <c r="Z89" s="2">
        <v>0</v>
      </c>
      <c r="AA89" s="2">
        <v>1</v>
      </c>
      <c r="AB89" s="2">
        <v>0</v>
      </c>
      <c r="AC89" s="2">
        <v>0</v>
      </c>
    </row>
    <row r="90" spans="1:29">
      <c r="A90" s="2">
        <v>169</v>
      </c>
      <c r="B90" t="s">
        <v>1132</v>
      </c>
      <c r="C90" t="s">
        <v>1143</v>
      </c>
      <c r="D90" t="s">
        <v>1144</v>
      </c>
      <c r="F90" t="s">
        <v>840</v>
      </c>
      <c r="G90" s="2">
        <v>1</v>
      </c>
      <c r="H90" s="2">
        <v>0</v>
      </c>
      <c r="I90" s="2">
        <v>0</v>
      </c>
      <c r="J90" s="2">
        <v>0</v>
      </c>
      <c r="K90" s="6">
        <f t="shared" si="3"/>
        <v>1</v>
      </c>
      <c r="L90" s="7">
        <v>0.8</v>
      </c>
      <c r="M90" s="10">
        <f t="shared" si="4"/>
        <v>1.25</v>
      </c>
      <c r="N90" t="s">
        <v>35</v>
      </c>
      <c r="O90" t="s">
        <v>30</v>
      </c>
      <c r="P90" t="s">
        <v>35</v>
      </c>
      <c r="Q90" t="s">
        <v>107</v>
      </c>
      <c r="R90" t="s">
        <v>302</v>
      </c>
      <c r="T90" s="2">
        <v>1</v>
      </c>
      <c r="U90" s="2">
        <v>1</v>
      </c>
      <c r="V90" s="2">
        <v>1</v>
      </c>
      <c r="W90" s="2">
        <v>1</v>
      </c>
      <c r="X90" s="2">
        <v>0</v>
      </c>
      <c r="Y90" s="2">
        <v>1</v>
      </c>
      <c r="Z90" s="2">
        <v>0</v>
      </c>
      <c r="AA90" s="2">
        <v>1</v>
      </c>
      <c r="AB90" s="2">
        <v>0</v>
      </c>
      <c r="AC90" s="2">
        <v>0</v>
      </c>
    </row>
    <row r="91" spans="1:29">
      <c r="A91" s="2">
        <v>253</v>
      </c>
      <c r="B91" t="s">
        <v>1132</v>
      </c>
      <c r="C91" t="s">
        <v>1132</v>
      </c>
      <c r="D91" t="s">
        <v>1157</v>
      </c>
      <c r="E91" t="s">
        <v>606</v>
      </c>
      <c r="F91" t="s">
        <v>85</v>
      </c>
      <c r="G91" s="2">
        <v>1</v>
      </c>
      <c r="H91" s="2">
        <v>0</v>
      </c>
      <c r="I91" s="2">
        <v>0</v>
      </c>
      <c r="J91" s="2">
        <v>0</v>
      </c>
      <c r="K91" s="6">
        <f t="shared" si="3"/>
        <v>1</v>
      </c>
      <c r="L91" s="7">
        <v>0.8</v>
      </c>
      <c r="M91" s="10">
        <f t="shared" si="4"/>
        <v>1.25</v>
      </c>
      <c r="N91" t="s">
        <v>30</v>
      </c>
      <c r="O91" t="s">
        <v>30</v>
      </c>
      <c r="P91" t="s">
        <v>30</v>
      </c>
      <c r="Q91" t="s">
        <v>270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0</v>
      </c>
      <c r="AA91" s="2">
        <v>1</v>
      </c>
      <c r="AB91">
        <v>0.8</v>
      </c>
      <c r="AC91" s="2">
        <v>125</v>
      </c>
    </row>
    <row r="92" spans="1:29">
      <c r="A92" s="2">
        <v>352</v>
      </c>
      <c r="B92" t="s">
        <v>1132</v>
      </c>
      <c r="C92" t="s">
        <v>1132</v>
      </c>
      <c r="D92" t="s">
        <v>226</v>
      </c>
      <c r="F92" t="s">
        <v>100</v>
      </c>
      <c r="G92" s="2">
        <v>1</v>
      </c>
      <c r="H92" s="2">
        <v>0</v>
      </c>
      <c r="I92" s="2">
        <v>0</v>
      </c>
      <c r="J92" s="2">
        <v>0</v>
      </c>
      <c r="K92" s="6">
        <f t="shared" si="3"/>
        <v>1</v>
      </c>
      <c r="L92" s="7">
        <v>0.8</v>
      </c>
      <c r="M92" s="10">
        <f t="shared" si="4"/>
        <v>1.25</v>
      </c>
      <c r="N92" t="s">
        <v>51</v>
      </c>
      <c r="O92" t="s">
        <v>30</v>
      </c>
      <c r="P92" t="s">
        <v>51</v>
      </c>
      <c r="Q92" t="s">
        <v>230</v>
      </c>
      <c r="R92" t="s">
        <v>81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0</v>
      </c>
      <c r="AA92" s="2">
        <v>1</v>
      </c>
      <c r="AB92" s="2">
        <v>0</v>
      </c>
      <c r="AC92" s="2">
        <v>0</v>
      </c>
    </row>
    <row r="93" spans="1:29">
      <c r="A93" s="2">
        <v>375</v>
      </c>
      <c r="B93" t="s">
        <v>1132</v>
      </c>
      <c r="C93" t="s">
        <v>1133</v>
      </c>
      <c r="D93" t="s">
        <v>1168</v>
      </c>
      <c r="E93" t="s">
        <v>731</v>
      </c>
      <c r="F93" t="s">
        <v>45</v>
      </c>
      <c r="G93" s="2">
        <v>1</v>
      </c>
      <c r="H93" s="2">
        <v>0</v>
      </c>
      <c r="I93" s="2">
        <v>0</v>
      </c>
      <c r="J93" s="2">
        <v>0</v>
      </c>
      <c r="K93" s="6">
        <f t="shared" si="3"/>
        <v>1</v>
      </c>
      <c r="L93" s="7">
        <v>0.8</v>
      </c>
      <c r="M93" s="10">
        <f t="shared" si="4"/>
        <v>1.25</v>
      </c>
      <c r="N93" t="s">
        <v>105</v>
      </c>
      <c r="O93" t="s">
        <v>30</v>
      </c>
      <c r="P93" t="s">
        <v>105</v>
      </c>
      <c r="Q93" t="s">
        <v>167</v>
      </c>
      <c r="R93" t="s">
        <v>309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0</v>
      </c>
      <c r="AA93" s="2">
        <v>1</v>
      </c>
      <c r="AB93" s="2">
        <v>0</v>
      </c>
      <c r="AC93" s="2">
        <v>0</v>
      </c>
    </row>
    <row r="94" spans="1:29">
      <c r="A94" s="2">
        <v>380</v>
      </c>
      <c r="B94" t="s">
        <v>1132</v>
      </c>
      <c r="C94" t="s">
        <v>1133</v>
      </c>
      <c r="D94" t="s">
        <v>1171</v>
      </c>
      <c r="F94" t="s">
        <v>45</v>
      </c>
      <c r="G94" s="2">
        <v>1</v>
      </c>
      <c r="H94" s="2">
        <v>0</v>
      </c>
      <c r="I94" s="2">
        <v>0</v>
      </c>
      <c r="J94" s="2">
        <v>0</v>
      </c>
      <c r="K94" s="6">
        <f t="shared" si="3"/>
        <v>1</v>
      </c>
      <c r="L94" s="7">
        <v>0.8</v>
      </c>
      <c r="M94" s="10">
        <f t="shared" si="4"/>
        <v>1.25</v>
      </c>
      <c r="N94" t="s">
        <v>30</v>
      </c>
      <c r="O94" t="s">
        <v>30</v>
      </c>
      <c r="P94" t="s">
        <v>30</v>
      </c>
      <c r="Q94" t="s">
        <v>311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0</v>
      </c>
      <c r="AA94" s="2">
        <v>1</v>
      </c>
      <c r="AB94" s="2">
        <v>1</v>
      </c>
      <c r="AC94" s="3">
        <v>0.28000000000000003</v>
      </c>
    </row>
    <row r="95" spans="1:29">
      <c r="A95" s="2">
        <v>538</v>
      </c>
      <c r="B95" t="s">
        <v>1132</v>
      </c>
      <c r="C95" t="s">
        <v>1133</v>
      </c>
      <c r="D95" t="s">
        <v>1127</v>
      </c>
      <c r="E95" s="2">
        <v>292250203</v>
      </c>
      <c r="F95" t="s">
        <v>85</v>
      </c>
      <c r="G95" s="2">
        <v>1</v>
      </c>
      <c r="H95" s="2">
        <v>0</v>
      </c>
      <c r="I95" s="2">
        <v>0</v>
      </c>
      <c r="J95" s="2">
        <v>0</v>
      </c>
      <c r="K95" s="6">
        <f t="shared" si="3"/>
        <v>1</v>
      </c>
      <c r="L95" s="7">
        <v>0.8</v>
      </c>
      <c r="M95" s="10">
        <f t="shared" si="4"/>
        <v>1.25</v>
      </c>
      <c r="N95" t="s">
        <v>30</v>
      </c>
      <c r="O95" t="s">
        <v>30</v>
      </c>
      <c r="P95" t="s">
        <v>37</v>
      </c>
      <c r="Q95" t="s">
        <v>107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0</v>
      </c>
      <c r="AA95" s="2">
        <v>1</v>
      </c>
      <c r="AB95" s="2">
        <v>0</v>
      </c>
      <c r="AC95" s="2">
        <v>0</v>
      </c>
    </row>
    <row r="96" spans="1:29">
      <c r="A96" s="2">
        <v>549</v>
      </c>
      <c r="B96" t="s">
        <v>1132</v>
      </c>
      <c r="C96" t="s">
        <v>1133</v>
      </c>
      <c r="D96" t="s">
        <v>1174</v>
      </c>
      <c r="F96" t="s">
        <v>1136</v>
      </c>
      <c r="G96" s="2">
        <v>1</v>
      </c>
      <c r="H96" s="2">
        <v>0</v>
      </c>
      <c r="I96" s="2">
        <v>0</v>
      </c>
      <c r="J96" s="2">
        <v>0</v>
      </c>
      <c r="K96" s="6">
        <f t="shared" si="3"/>
        <v>1</v>
      </c>
      <c r="L96" s="7">
        <v>0.8</v>
      </c>
      <c r="M96" s="10">
        <f t="shared" si="4"/>
        <v>1.25</v>
      </c>
      <c r="N96" t="s">
        <v>101</v>
      </c>
      <c r="O96" t="s">
        <v>30</v>
      </c>
      <c r="P96" t="s">
        <v>101</v>
      </c>
      <c r="Q96" t="s">
        <v>167</v>
      </c>
      <c r="R96" t="s">
        <v>299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0</v>
      </c>
      <c r="AA96" s="2">
        <v>1</v>
      </c>
      <c r="AB96" s="2">
        <v>0</v>
      </c>
      <c r="AC96" s="2">
        <v>0</v>
      </c>
    </row>
    <row r="97" spans="1:29">
      <c r="A97" s="2">
        <v>561</v>
      </c>
      <c r="B97" t="s">
        <v>1132</v>
      </c>
      <c r="C97" t="s">
        <v>1133</v>
      </c>
      <c r="D97" t="s">
        <v>1177</v>
      </c>
      <c r="E97">
        <v>5194.5029999999997</v>
      </c>
      <c r="F97" t="s">
        <v>64</v>
      </c>
      <c r="G97" s="2">
        <v>1</v>
      </c>
      <c r="H97" s="2">
        <v>0</v>
      </c>
      <c r="I97" s="2">
        <v>0</v>
      </c>
      <c r="J97" s="2">
        <v>0</v>
      </c>
      <c r="K97" s="6">
        <f t="shared" si="3"/>
        <v>1</v>
      </c>
      <c r="L97" s="7">
        <v>0.8</v>
      </c>
      <c r="M97" s="10">
        <f t="shared" si="4"/>
        <v>1.25</v>
      </c>
      <c r="N97" t="s">
        <v>35</v>
      </c>
      <c r="O97" t="s">
        <v>30</v>
      </c>
      <c r="P97" t="s">
        <v>122</v>
      </c>
      <c r="Q97" t="s">
        <v>119</v>
      </c>
      <c r="R97" t="s">
        <v>315</v>
      </c>
      <c r="T97" s="2">
        <v>1</v>
      </c>
      <c r="U97" s="2">
        <v>1</v>
      </c>
      <c r="V97" s="2">
        <v>1</v>
      </c>
      <c r="W97" s="2">
        <v>1</v>
      </c>
      <c r="X97" s="2">
        <v>0</v>
      </c>
      <c r="Y97" s="2">
        <v>1</v>
      </c>
      <c r="Z97" s="2">
        <v>0</v>
      </c>
      <c r="AA97" s="2">
        <v>1</v>
      </c>
      <c r="AB97">
        <v>0.6</v>
      </c>
      <c r="AC97">
        <v>3.5661999999999998</v>
      </c>
    </row>
    <row r="98" spans="1:29">
      <c r="A98" s="2">
        <v>587</v>
      </c>
      <c r="B98" t="s">
        <v>1132</v>
      </c>
      <c r="C98" t="s">
        <v>1133</v>
      </c>
      <c r="D98" t="s">
        <v>1178</v>
      </c>
      <c r="F98" t="s">
        <v>64</v>
      </c>
      <c r="G98" s="2">
        <v>1</v>
      </c>
      <c r="H98" s="2">
        <v>0</v>
      </c>
      <c r="I98" s="2">
        <v>0</v>
      </c>
      <c r="J98" s="2">
        <v>0</v>
      </c>
      <c r="K98" s="6">
        <f t="shared" si="3"/>
        <v>1</v>
      </c>
      <c r="L98" s="7">
        <v>0.8</v>
      </c>
      <c r="M98" s="10">
        <f t="shared" si="4"/>
        <v>1.25</v>
      </c>
      <c r="N98" t="s">
        <v>164</v>
      </c>
      <c r="O98" t="s">
        <v>164</v>
      </c>
      <c r="P98" t="s">
        <v>164</v>
      </c>
      <c r="Q98" t="s">
        <v>167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0</v>
      </c>
      <c r="AA98" s="2">
        <v>1</v>
      </c>
      <c r="AB98" s="2">
        <v>0</v>
      </c>
      <c r="AC98" s="2">
        <v>0</v>
      </c>
    </row>
    <row r="99" spans="1:29">
      <c r="A99" s="2">
        <v>588</v>
      </c>
      <c r="B99" t="s">
        <v>1132</v>
      </c>
      <c r="C99" t="s">
        <v>1133</v>
      </c>
      <c r="D99" t="s">
        <v>1174</v>
      </c>
      <c r="F99" t="s">
        <v>793</v>
      </c>
      <c r="G99" s="2">
        <v>1</v>
      </c>
      <c r="H99" s="2">
        <v>0</v>
      </c>
      <c r="I99" s="2">
        <v>0</v>
      </c>
      <c r="J99" s="2">
        <v>0</v>
      </c>
      <c r="K99" s="6">
        <f t="shared" si="3"/>
        <v>1</v>
      </c>
      <c r="L99" s="7">
        <v>0.8</v>
      </c>
      <c r="M99" s="10">
        <f t="shared" si="4"/>
        <v>1.25</v>
      </c>
      <c r="N99" t="s">
        <v>30</v>
      </c>
      <c r="O99" t="s">
        <v>30</v>
      </c>
      <c r="P99" t="s">
        <v>51</v>
      </c>
      <c r="Q99" t="s">
        <v>230</v>
      </c>
      <c r="R99" t="s">
        <v>319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0</v>
      </c>
      <c r="Z99" s="2">
        <v>0</v>
      </c>
      <c r="AA99" s="2">
        <v>1</v>
      </c>
      <c r="AB99">
        <v>0.70550000000000002</v>
      </c>
      <c r="AC99">
        <v>5.9107000000000003</v>
      </c>
    </row>
    <row r="100" spans="1:29">
      <c r="A100" s="2">
        <v>591</v>
      </c>
      <c r="B100" t="s">
        <v>1132</v>
      </c>
      <c r="C100" t="s">
        <v>1132</v>
      </c>
      <c r="D100" t="s">
        <v>1179</v>
      </c>
      <c r="F100" t="s">
        <v>64</v>
      </c>
      <c r="G100" s="2">
        <v>1</v>
      </c>
      <c r="H100" s="2">
        <v>0</v>
      </c>
      <c r="I100" s="2">
        <v>0</v>
      </c>
      <c r="J100" s="2">
        <v>0</v>
      </c>
      <c r="K100" s="6">
        <f t="shared" si="3"/>
        <v>1</v>
      </c>
      <c r="L100" s="7">
        <v>0.8</v>
      </c>
      <c r="M100" s="10">
        <f t="shared" si="4"/>
        <v>1.25</v>
      </c>
      <c r="N100" t="s">
        <v>30</v>
      </c>
      <c r="O100" t="s">
        <v>30</v>
      </c>
      <c r="P100" t="s">
        <v>37</v>
      </c>
      <c r="Q100" t="s">
        <v>230</v>
      </c>
      <c r="R100" t="s">
        <v>321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0</v>
      </c>
      <c r="AA100" s="2">
        <v>1</v>
      </c>
      <c r="AB100" s="2">
        <v>0</v>
      </c>
      <c r="AC100" s="2">
        <v>0</v>
      </c>
    </row>
    <row r="101" spans="1:29">
      <c r="A101" s="2">
        <v>592</v>
      </c>
      <c r="B101" t="s">
        <v>1132</v>
      </c>
      <c r="C101" t="s">
        <v>1132</v>
      </c>
      <c r="D101" t="s">
        <v>1180</v>
      </c>
      <c r="E101" s="2">
        <v>4002782</v>
      </c>
      <c r="F101" t="s">
        <v>1181</v>
      </c>
      <c r="G101" s="2">
        <v>1</v>
      </c>
      <c r="H101" s="2">
        <v>0</v>
      </c>
      <c r="I101" s="2">
        <v>0</v>
      </c>
      <c r="J101" s="2">
        <v>0</v>
      </c>
      <c r="K101" s="6">
        <f t="shared" si="3"/>
        <v>1</v>
      </c>
      <c r="L101" s="7">
        <v>0.8</v>
      </c>
      <c r="M101" s="10">
        <f t="shared" si="4"/>
        <v>1.25</v>
      </c>
      <c r="N101" t="s">
        <v>37</v>
      </c>
      <c r="O101" t="s">
        <v>30</v>
      </c>
      <c r="P101" t="s">
        <v>37</v>
      </c>
      <c r="Q101" t="s">
        <v>324</v>
      </c>
      <c r="R101" t="s">
        <v>325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0</v>
      </c>
      <c r="AA101" s="2">
        <v>1</v>
      </c>
      <c r="AB101" s="2">
        <v>0</v>
      </c>
      <c r="AC101" s="2">
        <v>0</v>
      </c>
    </row>
    <row r="102" spans="1:29">
      <c r="A102" s="2">
        <v>595</v>
      </c>
      <c r="B102" t="s">
        <v>1132</v>
      </c>
      <c r="C102" t="s">
        <v>1132</v>
      </c>
      <c r="D102" t="s">
        <v>1183</v>
      </c>
      <c r="F102" t="s">
        <v>64</v>
      </c>
      <c r="G102" s="2">
        <v>1</v>
      </c>
      <c r="H102" s="2">
        <v>0</v>
      </c>
      <c r="I102" s="2">
        <v>0</v>
      </c>
      <c r="J102" s="2">
        <v>0</v>
      </c>
      <c r="K102" s="6">
        <f t="shared" si="3"/>
        <v>1</v>
      </c>
      <c r="L102" s="7">
        <v>0.8</v>
      </c>
      <c r="M102" s="10">
        <f t="shared" si="4"/>
        <v>1.25</v>
      </c>
      <c r="N102" t="s">
        <v>51</v>
      </c>
      <c r="O102" t="s">
        <v>30</v>
      </c>
      <c r="P102" t="s">
        <v>37</v>
      </c>
      <c r="Q102" t="s">
        <v>327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0</v>
      </c>
      <c r="Z102" s="2">
        <v>0</v>
      </c>
      <c r="AA102" s="2">
        <v>1</v>
      </c>
      <c r="AB102" s="2">
        <v>0</v>
      </c>
      <c r="AC102" s="2">
        <v>0</v>
      </c>
    </row>
    <row r="103" spans="1:29">
      <c r="A103" s="2">
        <v>599</v>
      </c>
      <c r="B103" t="s">
        <v>1132</v>
      </c>
      <c r="C103" t="s">
        <v>1132</v>
      </c>
      <c r="D103" t="s">
        <v>1145</v>
      </c>
      <c r="E103" t="s">
        <v>1146</v>
      </c>
      <c r="F103" t="s">
        <v>1136</v>
      </c>
      <c r="G103" s="2">
        <v>1</v>
      </c>
      <c r="H103" s="2">
        <v>0</v>
      </c>
      <c r="I103" s="2">
        <v>0</v>
      </c>
      <c r="J103" s="2">
        <v>0</v>
      </c>
      <c r="K103" s="6">
        <f t="shared" si="3"/>
        <v>1</v>
      </c>
      <c r="L103" s="7">
        <v>0.8</v>
      </c>
      <c r="M103" s="10">
        <f t="shared" si="4"/>
        <v>1.25</v>
      </c>
      <c r="N103" t="s">
        <v>30</v>
      </c>
      <c r="O103" t="s">
        <v>30</v>
      </c>
      <c r="P103" t="s">
        <v>30</v>
      </c>
      <c r="Q103" t="s">
        <v>331</v>
      </c>
      <c r="R103" t="s">
        <v>332</v>
      </c>
      <c r="T103" s="2">
        <v>1</v>
      </c>
      <c r="U103" s="2">
        <v>1</v>
      </c>
      <c r="V103" s="2">
        <v>1</v>
      </c>
      <c r="W103" s="2">
        <v>1</v>
      </c>
      <c r="X103" s="2">
        <v>0</v>
      </c>
      <c r="Y103" s="2">
        <v>1</v>
      </c>
      <c r="Z103" s="2">
        <v>0</v>
      </c>
      <c r="AA103" s="2">
        <v>1</v>
      </c>
      <c r="AB103" s="2">
        <v>0</v>
      </c>
      <c r="AC103" s="2">
        <v>0</v>
      </c>
    </row>
    <row r="104" spans="1:29">
      <c r="A104" s="2">
        <v>605</v>
      </c>
      <c r="B104" t="s">
        <v>1132</v>
      </c>
      <c r="C104" t="s">
        <v>1132</v>
      </c>
      <c r="D104" t="s">
        <v>1155</v>
      </c>
      <c r="F104" t="s">
        <v>1136</v>
      </c>
      <c r="G104" s="2">
        <v>1</v>
      </c>
      <c r="H104" s="2">
        <v>0</v>
      </c>
      <c r="I104" s="2">
        <v>0</v>
      </c>
      <c r="J104" s="2">
        <v>0</v>
      </c>
      <c r="K104" s="6">
        <f t="shared" si="3"/>
        <v>1</v>
      </c>
      <c r="L104" s="7">
        <v>0.8</v>
      </c>
      <c r="M104" s="10">
        <f t="shared" si="4"/>
        <v>1.25</v>
      </c>
      <c r="N104" t="s">
        <v>30</v>
      </c>
      <c r="O104" t="s">
        <v>30</v>
      </c>
      <c r="P104" t="s">
        <v>30</v>
      </c>
      <c r="Q104" t="s">
        <v>331</v>
      </c>
      <c r="R104" t="s">
        <v>332</v>
      </c>
      <c r="T104" s="2">
        <v>1</v>
      </c>
      <c r="U104" s="2">
        <v>1</v>
      </c>
      <c r="V104" s="2">
        <v>1</v>
      </c>
      <c r="W104" s="2">
        <v>2</v>
      </c>
      <c r="X104" s="2">
        <v>0</v>
      </c>
      <c r="Y104" s="2">
        <v>1</v>
      </c>
      <c r="Z104" s="2">
        <v>0</v>
      </c>
      <c r="AA104" s="2">
        <v>1</v>
      </c>
      <c r="AB104" s="2">
        <v>0</v>
      </c>
      <c r="AC104" s="2">
        <v>0</v>
      </c>
    </row>
    <row r="105" spans="1:29">
      <c r="A105" s="2">
        <v>608</v>
      </c>
      <c r="B105" t="s">
        <v>1132</v>
      </c>
      <c r="C105" t="s">
        <v>1132</v>
      </c>
      <c r="D105" t="s">
        <v>1157</v>
      </c>
      <c r="E105" t="s">
        <v>606</v>
      </c>
      <c r="F105" t="s">
        <v>85</v>
      </c>
      <c r="G105" s="2">
        <v>1</v>
      </c>
      <c r="H105" s="2">
        <v>0</v>
      </c>
      <c r="I105" s="2">
        <v>0</v>
      </c>
      <c r="J105" s="2">
        <v>0</v>
      </c>
      <c r="K105" s="6">
        <f t="shared" si="3"/>
        <v>1</v>
      </c>
      <c r="L105" s="7">
        <v>0.8</v>
      </c>
      <c r="M105" s="10">
        <f t="shared" si="4"/>
        <v>1.25</v>
      </c>
      <c r="N105" t="s">
        <v>51</v>
      </c>
      <c r="O105" t="s">
        <v>51</v>
      </c>
      <c r="P105" t="s">
        <v>51</v>
      </c>
      <c r="Q105" t="s">
        <v>81</v>
      </c>
      <c r="T105" s="2">
        <v>1</v>
      </c>
      <c r="U105" s="2">
        <v>1</v>
      </c>
      <c r="V105" s="2">
        <v>1</v>
      </c>
      <c r="W105" s="2">
        <v>1</v>
      </c>
      <c r="X105" s="2">
        <v>0</v>
      </c>
      <c r="Y105" s="2">
        <v>1</v>
      </c>
      <c r="Z105" s="2">
        <v>0</v>
      </c>
      <c r="AA105" s="2">
        <v>1</v>
      </c>
      <c r="AB105">
        <v>0.2</v>
      </c>
      <c r="AC105">
        <v>2.5815000000000001</v>
      </c>
    </row>
    <row r="106" spans="1:29">
      <c r="A106" s="2">
        <v>622</v>
      </c>
      <c r="B106" t="s">
        <v>1132</v>
      </c>
      <c r="C106" t="s">
        <v>1132</v>
      </c>
      <c r="D106" t="s">
        <v>226</v>
      </c>
      <c r="F106" t="s">
        <v>100</v>
      </c>
      <c r="G106" s="2">
        <v>1</v>
      </c>
      <c r="H106" s="2">
        <v>0</v>
      </c>
      <c r="I106" s="2">
        <v>0</v>
      </c>
      <c r="J106" s="2">
        <v>0</v>
      </c>
      <c r="K106" s="6">
        <f t="shared" si="3"/>
        <v>1</v>
      </c>
      <c r="L106" s="7">
        <v>0.8</v>
      </c>
      <c r="M106" s="10">
        <f t="shared" si="4"/>
        <v>1.25</v>
      </c>
      <c r="N106" t="s">
        <v>30</v>
      </c>
      <c r="O106" t="s">
        <v>30</v>
      </c>
      <c r="P106" t="s">
        <v>37</v>
      </c>
      <c r="Q106" t="s">
        <v>237</v>
      </c>
      <c r="R106" t="s">
        <v>341</v>
      </c>
      <c r="T106" s="2">
        <v>1</v>
      </c>
      <c r="U106" s="2">
        <v>1</v>
      </c>
      <c r="V106" s="2">
        <v>1</v>
      </c>
      <c r="W106" s="2">
        <v>1</v>
      </c>
      <c r="X106" s="2">
        <v>0</v>
      </c>
      <c r="Y106" s="2">
        <v>1</v>
      </c>
      <c r="Z106" s="2">
        <v>0</v>
      </c>
      <c r="AA106" s="2">
        <v>1</v>
      </c>
      <c r="AB106" s="2">
        <v>0</v>
      </c>
      <c r="AC106" s="2">
        <v>0</v>
      </c>
    </row>
    <row r="107" spans="1:29">
      <c r="A107" s="2">
        <v>631</v>
      </c>
      <c r="B107" t="s">
        <v>1132</v>
      </c>
      <c r="C107" t="s">
        <v>1132</v>
      </c>
      <c r="D107" t="s">
        <v>1186</v>
      </c>
      <c r="E107" s="2">
        <v>32630</v>
      </c>
      <c r="F107" t="s">
        <v>219</v>
      </c>
      <c r="G107" s="2">
        <v>1</v>
      </c>
      <c r="H107" s="2">
        <v>0</v>
      </c>
      <c r="I107" s="2">
        <v>0</v>
      </c>
      <c r="J107" s="2">
        <v>0</v>
      </c>
      <c r="K107" s="6">
        <f t="shared" si="3"/>
        <v>1</v>
      </c>
      <c r="L107" s="7">
        <v>0.8</v>
      </c>
      <c r="M107" s="10">
        <f t="shared" si="4"/>
        <v>1.25</v>
      </c>
      <c r="N107" t="s">
        <v>35</v>
      </c>
      <c r="O107" t="s">
        <v>30</v>
      </c>
      <c r="P107" t="s">
        <v>37</v>
      </c>
      <c r="Q107" t="s">
        <v>237</v>
      </c>
      <c r="T107" s="2">
        <v>1</v>
      </c>
      <c r="U107" s="2">
        <v>1</v>
      </c>
      <c r="V107" s="2">
        <v>1</v>
      </c>
      <c r="W107" s="2">
        <v>1</v>
      </c>
      <c r="X107" s="2">
        <v>0</v>
      </c>
      <c r="Y107" s="2">
        <v>1</v>
      </c>
      <c r="Z107" s="2">
        <v>0</v>
      </c>
      <c r="AA107" s="2">
        <v>1</v>
      </c>
      <c r="AB107" s="2">
        <v>0</v>
      </c>
      <c r="AC107" s="2">
        <v>0</v>
      </c>
    </row>
    <row r="108" spans="1:29">
      <c r="A108" s="2">
        <v>109</v>
      </c>
      <c r="B108" s="2">
        <v>250450204</v>
      </c>
      <c r="C108" s="2">
        <v>250450204</v>
      </c>
      <c r="D108" t="s">
        <v>720</v>
      </c>
      <c r="E108" t="s">
        <v>721</v>
      </c>
      <c r="F108" t="s">
        <v>219</v>
      </c>
      <c r="G108">
        <v>1.0375000000000001</v>
      </c>
      <c r="H108" s="2">
        <v>0</v>
      </c>
      <c r="I108" s="2">
        <v>0</v>
      </c>
      <c r="J108" s="2">
        <v>0</v>
      </c>
      <c r="K108" s="6">
        <f t="shared" si="3"/>
        <v>1.0375000000000001</v>
      </c>
      <c r="L108" s="7">
        <v>0.6</v>
      </c>
      <c r="M108" s="10">
        <f t="shared" si="4"/>
        <v>1.729166666666667</v>
      </c>
      <c r="N108" t="s">
        <v>51</v>
      </c>
      <c r="O108" t="s">
        <v>51</v>
      </c>
      <c r="P108" t="s">
        <v>345</v>
      </c>
      <c r="Q108" t="s">
        <v>237</v>
      </c>
      <c r="R108" t="s">
        <v>237</v>
      </c>
      <c r="T108" s="2">
        <v>1</v>
      </c>
      <c r="U108" s="2">
        <v>1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1</v>
      </c>
      <c r="AB108" s="2">
        <v>0</v>
      </c>
      <c r="AC108" s="2">
        <v>0</v>
      </c>
    </row>
    <row r="109" spans="1:29">
      <c r="A109" s="2">
        <v>110</v>
      </c>
      <c r="B109" s="2">
        <v>250450205</v>
      </c>
      <c r="C109" s="2">
        <v>250450205</v>
      </c>
      <c r="D109" t="s">
        <v>722</v>
      </c>
      <c r="E109" t="s">
        <v>723</v>
      </c>
      <c r="F109" t="s">
        <v>219</v>
      </c>
      <c r="G109">
        <v>1.0375000000000001</v>
      </c>
      <c r="H109" s="2">
        <v>0</v>
      </c>
      <c r="I109" s="2">
        <v>0</v>
      </c>
      <c r="J109" s="2">
        <v>0</v>
      </c>
      <c r="K109" s="6">
        <f t="shared" si="3"/>
        <v>1.0375000000000001</v>
      </c>
      <c r="L109" s="7">
        <v>0.6</v>
      </c>
      <c r="M109" s="10">
        <f t="shared" si="4"/>
        <v>1.729166666666667</v>
      </c>
      <c r="N109" t="s">
        <v>347</v>
      </c>
      <c r="O109" t="s">
        <v>51</v>
      </c>
      <c r="P109" t="s">
        <v>347</v>
      </c>
      <c r="Q109" t="s">
        <v>348</v>
      </c>
      <c r="T109" s="2">
        <v>1</v>
      </c>
      <c r="U109" s="2">
        <v>1</v>
      </c>
      <c r="V109" s="2">
        <v>1</v>
      </c>
      <c r="W109" s="2">
        <v>1</v>
      </c>
      <c r="X109" s="2">
        <v>0</v>
      </c>
      <c r="Y109" s="2">
        <v>1</v>
      </c>
      <c r="Z109" s="2">
        <v>0</v>
      </c>
      <c r="AA109" s="2">
        <v>1</v>
      </c>
      <c r="AB109">
        <v>0.7</v>
      </c>
      <c r="AC109">
        <v>0.71430000000000005</v>
      </c>
    </row>
    <row r="110" spans="1:29">
      <c r="A110" s="2">
        <v>688</v>
      </c>
      <c r="B110" s="2">
        <v>250450207</v>
      </c>
      <c r="C110" s="2">
        <v>250450207</v>
      </c>
      <c r="D110" t="s">
        <v>725</v>
      </c>
      <c r="F110" t="s">
        <v>517</v>
      </c>
      <c r="G110" s="3">
        <v>1.04</v>
      </c>
      <c r="H110" s="2">
        <v>0</v>
      </c>
      <c r="I110" s="2">
        <v>0</v>
      </c>
      <c r="J110" s="2">
        <v>0</v>
      </c>
      <c r="K110" s="6">
        <f t="shared" si="3"/>
        <v>1.04</v>
      </c>
      <c r="L110" s="7">
        <v>0.6</v>
      </c>
      <c r="M110" s="10">
        <f t="shared" si="4"/>
        <v>1.7333333333333334</v>
      </c>
      <c r="N110" t="s">
        <v>51</v>
      </c>
      <c r="O110" t="s">
        <v>51</v>
      </c>
      <c r="P110" t="s">
        <v>345</v>
      </c>
      <c r="Q110" t="s">
        <v>237</v>
      </c>
      <c r="R110" t="s">
        <v>237</v>
      </c>
      <c r="T110" s="2">
        <v>1</v>
      </c>
      <c r="U110" s="2">
        <v>1</v>
      </c>
      <c r="V110" s="2">
        <v>1</v>
      </c>
      <c r="W110" s="2">
        <v>1</v>
      </c>
      <c r="X110" s="2">
        <v>0</v>
      </c>
      <c r="Y110" s="2">
        <v>1</v>
      </c>
      <c r="Z110" s="2">
        <v>0</v>
      </c>
      <c r="AA110" s="2">
        <v>1</v>
      </c>
      <c r="AB110" s="2">
        <v>0</v>
      </c>
      <c r="AC110" s="2">
        <v>0</v>
      </c>
    </row>
    <row r="111" spans="1:29">
      <c r="A111" s="2">
        <v>307</v>
      </c>
      <c r="B111" s="2">
        <v>242201962</v>
      </c>
      <c r="C111" s="2">
        <v>242201962</v>
      </c>
      <c r="D111" t="s">
        <v>482</v>
      </c>
      <c r="E111" t="s">
        <v>483</v>
      </c>
      <c r="F111" t="s">
        <v>85</v>
      </c>
      <c r="G111">
        <v>1.0920000000000001</v>
      </c>
      <c r="H111" s="2">
        <v>0</v>
      </c>
      <c r="I111" s="2">
        <v>0</v>
      </c>
      <c r="J111" s="2">
        <v>0</v>
      </c>
      <c r="K111" s="6">
        <f t="shared" si="3"/>
        <v>1.0920000000000001</v>
      </c>
      <c r="L111" s="7">
        <v>0.74</v>
      </c>
      <c r="M111" s="10">
        <f t="shared" si="4"/>
        <v>1.4756756756756757</v>
      </c>
      <c r="N111" t="s">
        <v>51</v>
      </c>
      <c r="O111" t="s">
        <v>51</v>
      </c>
      <c r="P111" t="s">
        <v>345</v>
      </c>
      <c r="Q111" t="s">
        <v>237</v>
      </c>
      <c r="R111" t="s">
        <v>351</v>
      </c>
      <c r="T111" s="2">
        <v>1</v>
      </c>
      <c r="U111" s="2">
        <v>1</v>
      </c>
      <c r="V111" s="2">
        <v>1</v>
      </c>
      <c r="W111" s="2">
        <v>1</v>
      </c>
      <c r="X111" s="2">
        <v>0</v>
      </c>
      <c r="Y111" s="2">
        <v>1</v>
      </c>
      <c r="Z111" s="2">
        <v>0</v>
      </c>
      <c r="AA111" s="2">
        <v>1</v>
      </c>
      <c r="AB111" s="2">
        <v>0</v>
      </c>
      <c r="AC111" s="2">
        <v>0</v>
      </c>
    </row>
    <row r="112" spans="1:29">
      <c r="A112" s="2">
        <v>44</v>
      </c>
      <c r="B112" s="2">
        <v>251850214</v>
      </c>
      <c r="C112" s="2">
        <v>251850214</v>
      </c>
      <c r="D112" t="s">
        <v>779</v>
      </c>
      <c r="F112" t="s">
        <v>780</v>
      </c>
      <c r="G112">
        <v>1.2</v>
      </c>
      <c r="H112" s="2">
        <v>0</v>
      </c>
      <c r="I112" s="2">
        <v>0</v>
      </c>
      <c r="J112" s="2">
        <v>0</v>
      </c>
      <c r="K112" s="6">
        <f t="shared" si="3"/>
        <v>1.2</v>
      </c>
      <c r="L112" s="7">
        <v>0.6</v>
      </c>
      <c r="M112" s="10">
        <f t="shared" si="4"/>
        <v>2</v>
      </c>
      <c r="N112" t="s">
        <v>354</v>
      </c>
      <c r="O112" t="s">
        <v>354</v>
      </c>
      <c r="P112" t="s">
        <v>354</v>
      </c>
      <c r="Q112" t="s">
        <v>76</v>
      </c>
      <c r="R112" t="s">
        <v>77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0</v>
      </c>
      <c r="AA112" s="2">
        <v>1</v>
      </c>
      <c r="AB112" s="2">
        <v>0</v>
      </c>
      <c r="AC112" s="2">
        <v>0</v>
      </c>
    </row>
    <row r="113" spans="1:29">
      <c r="A113" s="2">
        <v>325</v>
      </c>
      <c r="B113" s="2">
        <v>252800107</v>
      </c>
      <c r="C113" s="2">
        <v>252800107</v>
      </c>
      <c r="D113" t="s">
        <v>924</v>
      </c>
      <c r="E113" t="s">
        <v>925</v>
      </c>
      <c r="F113" t="s">
        <v>75</v>
      </c>
      <c r="G113" s="3">
        <v>1.25</v>
      </c>
      <c r="H113" s="2">
        <v>0</v>
      </c>
      <c r="I113" s="2">
        <v>0</v>
      </c>
      <c r="J113" s="2">
        <v>0</v>
      </c>
      <c r="K113" s="6">
        <f t="shared" si="3"/>
        <v>1.25</v>
      </c>
      <c r="L113" s="7">
        <v>0.55000660007919999</v>
      </c>
      <c r="M113" s="10">
        <f t="shared" si="4"/>
        <v>2.2727000000000039</v>
      </c>
      <c r="N113" t="s">
        <v>51</v>
      </c>
      <c r="O113" t="s">
        <v>51</v>
      </c>
      <c r="P113" t="s">
        <v>51</v>
      </c>
      <c r="Q113" t="s">
        <v>237</v>
      </c>
      <c r="R113" t="s">
        <v>237</v>
      </c>
      <c r="T113" s="2">
        <v>1</v>
      </c>
      <c r="U113" s="2">
        <v>1</v>
      </c>
      <c r="V113" s="2">
        <v>1</v>
      </c>
      <c r="W113" s="2">
        <v>1</v>
      </c>
      <c r="X113" s="2">
        <v>0</v>
      </c>
      <c r="Y113" s="2">
        <v>1</v>
      </c>
      <c r="Z113" s="2">
        <v>0</v>
      </c>
      <c r="AA113" s="2">
        <v>1</v>
      </c>
      <c r="AB113" s="2">
        <v>0</v>
      </c>
      <c r="AC113" s="2">
        <v>0</v>
      </c>
    </row>
    <row r="114" spans="1:29">
      <c r="A114" s="2">
        <v>85</v>
      </c>
      <c r="B114" s="2">
        <v>242400405</v>
      </c>
      <c r="C114" s="2">
        <v>242400405</v>
      </c>
      <c r="D114" t="s">
        <v>556</v>
      </c>
      <c r="F114" t="s">
        <v>446</v>
      </c>
      <c r="G114" s="3">
        <v>1.29</v>
      </c>
      <c r="H114" s="2">
        <v>0</v>
      </c>
      <c r="I114" s="2">
        <v>0</v>
      </c>
      <c r="J114" s="2">
        <v>0</v>
      </c>
      <c r="K114" s="6">
        <f t="shared" si="3"/>
        <v>1.29</v>
      </c>
      <c r="L114" s="7">
        <v>0.7</v>
      </c>
      <c r="M114" s="10">
        <f t="shared" si="4"/>
        <v>1.842857142857143</v>
      </c>
      <c r="N114" t="s">
        <v>35</v>
      </c>
      <c r="O114" t="s">
        <v>30</v>
      </c>
      <c r="P114" t="s">
        <v>35</v>
      </c>
      <c r="Q114" t="s">
        <v>237</v>
      </c>
      <c r="R114" t="s">
        <v>237</v>
      </c>
      <c r="T114" s="2">
        <v>1</v>
      </c>
      <c r="U114" s="2">
        <v>1</v>
      </c>
      <c r="V114" s="2">
        <v>1</v>
      </c>
      <c r="W114" s="2">
        <v>1</v>
      </c>
      <c r="X114" s="2">
        <v>0</v>
      </c>
      <c r="Y114" s="2">
        <v>1</v>
      </c>
      <c r="Z114" s="2">
        <v>0</v>
      </c>
      <c r="AA114" s="2">
        <v>1</v>
      </c>
      <c r="AB114" s="2">
        <v>0</v>
      </c>
      <c r="AC114" s="2">
        <v>0</v>
      </c>
    </row>
    <row r="115" spans="1:29">
      <c r="A115" s="2">
        <v>562</v>
      </c>
      <c r="B115" s="2">
        <v>251850913</v>
      </c>
      <c r="C115" s="2">
        <v>251850913</v>
      </c>
      <c r="D115" t="s">
        <v>791</v>
      </c>
      <c r="E115" t="s">
        <v>792</v>
      </c>
      <c r="F115" t="s">
        <v>793</v>
      </c>
      <c r="G115" s="3">
        <v>1.32</v>
      </c>
      <c r="H115" s="2">
        <v>0</v>
      </c>
      <c r="I115" s="2">
        <v>0</v>
      </c>
      <c r="J115" s="2">
        <v>0</v>
      </c>
      <c r="K115" s="6">
        <f t="shared" si="3"/>
        <v>1.32</v>
      </c>
      <c r="L115" s="7">
        <v>0.56000000000000005</v>
      </c>
      <c r="M115" s="10">
        <f t="shared" si="4"/>
        <v>2.3571428571428572</v>
      </c>
      <c r="N115" t="s">
        <v>35</v>
      </c>
      <c r="O115" t="s">
        <v>30</v>
      </c>
      <c r="P115" t="s">
        <v>35</v>
      </c>
      <c r="Q115" t="s">
        <v>237</v>
      </c>
      <c r="R115" t="s">
        <v>237</v>
      </c>
      <c r="T115" s="2">
        <v>1</v>
      </c>
      <c r="U115" s="2">
        <v>1</v>
      </c>
      <c r="V115" s="2">
        <v>1</v>
      </c>
      <c r="W115" s="2">
        <v>1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</row>
    <row r="116" spans="1:29">
      <c r="A116" s="2">
        <v>422</v>
      </c>
      <c r="B116" s="2">
        <v>250150304</v>
      </c>
      <c r="C116" s="2">
        <v>250150304</v>
      </c>
      <c r="D116" t="s">
        <v>672</v>
      </c>
      <c r="F116" t="s">
        <v>39</v>
      </c>
      <c r="G116">
        <v>1.3875</v>
      </c>
      <c r="H116" s="2">
        <v>0</v>
      </c>
      <c r="I116" s="2">
        <v>0</v>
      </c>
      <c r="J116" s="2">
        <v>0</v>
      </c>
      <c r="K116" s="6">
        <f t="shared" si="3"/>
        <v>1.3875</v>
      </c>
      <c r="L116" s="7">
        <v>0.5</v>
      </c>
      <c r="M116" s="10">
        <f t="shared" si="4"/>
        <v>2.7749999999999999</v>
      </c>
      <c r="N116" t="s">
        <v>30</v>
      </c>
      <c r="O116" t="s">
        <v>30</v>
      </c>
      <c r="P116" t="s">
        <v>37</v>
      </c>
      <c r="Q116" t="s">
        <v>237</v>
      </c>
      <c r="R116" t="s">
        <v>362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1</v>
      </c>
      <c r="Z116" s="2">
        <v>0</v>
      </c>
      <c r="AA116" s="2">
        <v>1</v>
      </c>
      <c r="AB116" s="2">
        <v>0</v>
      </c>
      <c r="AC116" s="2">
        <v>0</v>
      </c>
    </row>
    <row r="117" spans="1:29">
      <c r="A117" s="2">
        <v>680</v>
      </c>
      <c r="B117" s="2">
        <v>243300206</v>
      </c>
      <c r="C117" s="2">
        <v>243300206</v>
      </c>
      <c r="D117" t="s">
        <v>632</v>
      </c>
      <c r="F117" t="s">
        <v>297</v>
      </c>
      <c r="G117">
        <v>1.3998999999999999</v>
      </c>
      <c r="H117" s="2">
        <v>0</v>
      </c>
      <c r="I117" s="2">
        <v>0</v>
      </c>
      <c r="J117" s="2">
        <v>0</v>
      </c>
      <c r="K117" s="6">
        <f t="shared" si="3"/>
        <v>1.3998999999999999</v>
      </c>
      <c r="L117" s="7">
        <v>0.65</v>
      </c>
      <c r="M117" s="10">
        <f t="shared" si="4"/>
        <v>2.1536923076923076</v>
      </c>
      <c r="N117" t="s">
        <v>30</v>
      </c>
      <c r="O117" t="s">
        <v>30</v>
      </c>
      <c r="P117" t="s">
        <v>37</v>
      </c>
      <c r="Q117" t="s">
        <v>237</v>
      </c>
      <c r="T117" s="2">
        <v>1</v>
      </c>
      <c r="U117" s="2">
        <v>1</v>
      </c>
      <c r="V117" s="2">
        <v>1</v>
      </c>
      <c r="W117" s="2">
        <v>1</v>
      </c>
      <c r="X117" s="2">
        <v>0</v>
      </c>
      <c r="Y117" s="2">
        <v>1</v>
      </c>
      <c r="Z117" s="2">
        <v>0</v>
      </c>
      <c r="AA117" s="2">
        <v>1</v>
      </c>
      <c r="AB117" s="2">
        <v>0</v>
      </c>
      <c r="AC117" s="2">
        <v>0</v>
      </c>
    </row>
    <row r="118" spans="1:29">
      <c r="A118" s="2">
        <v>264</v>
      </c>
      <c r="B118" s="2">
        <v>243201404</v>
      </c>
      <c r="C118" s="2">
        <v>243201404</v>
      </c>
      <c r="D118" t="s">
        <v>622</v>
      </c>
      <c r="E118" t="s">
        <v>623</v>
      </c>
      <c r="F118" t="s">
        <v>85</v>
      </c>
      <c r="G118">
        <v>1.4</v>
      </c>
      <c r="H118" s="2">
        <v>0</v>
      </c>
      <c r="I118" s="2">
        <v>0</v>
      </c>
      <c r="J118" s="2">
        <v>0</v>
      </c>
      <c r="K118" s="6">
        <f t="shared" si="3"/>
        <v>1.4</v>
      </c>
      <c r="L118" s="7">
        <v>0.55000000000000004</v>
      </c>
      <c r="M118" s="10">
        <f t="shared" si="4"/>
        <v>2.545454545454545</v>
      </c>
      <c r="N118" t="s">
        <v>30</v>
      </c>
      <c r="O118" t="s">
        <v>30</v>
      </c>
      <c r="P118" t="s">
        <v>35</v>
      </c>
      <c r="Q118" t="s">
        <v>237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1</v>
      </c>
      <c r="Z118" s="2">
        <v>0</v>
      </c>
      <c r="AA118" s="2">
        <v>1</v>
      </c>
      <c r="AB118" s="2">
        <v>0</v>
      </c>
      <c r="AC118" s="2">
        <v>0</v>
      </c>
    </row>
    <row r="119" spans="1:29">
      <c r="A119" s="2">
        <v>268</v>
      </c>
      <c r="B119" s="2">
        <v>250501323</v>
      </c>
      <c r="C119" s="2">
        <v>250501323</v>
      </c>
      <c r="D119" t="s">
        <v>756</v>
      </c>
      <c r="F119" t="s">
        <v>757</v>
      </c>
      <c r="G119">
        <v>1.4</v>
      </c>
      <c r="H119" s="2">
        <v>0</v>
      </c>
      <c r="I119" s="2">
        <v>0</v>
      </c>
      <c r="J119" s="2">
        <v>0</v>
      </c>
      <c r="K119" s="6">
        <f t="shared" si="3"/>
        <v>1.4</v>
      </c>
      <c r="L119" s="7">
        <v>0.6</v>
      </c>
      <c r="M119" s="10">
        <f t="shared" si="4"/>
        <v>2.3333333333333335</v>
      </c>
      <c r="N119" t="s">
        <v>35</v>
      </c>
      <c r="O119" t="s">
        <v>30</v>
      </c>
      <c r="P119" t="s">
        <v>35</v>
      </c>
      <c r="Q119" t="s">
        <v>237</v>
      </c>
      <c r="R119" t="s">
        <v>237</v>
      </c>
      <c r="T119" s="2">
        <v>1</v>
      </c>
      <c r="U119" s="2">
        <v>1</v>
      </c>
      <c r="V119" s="2">
        <v>1</v>
      </c>
      <c r="W119" s="2">
        <v>1</v>
      </c>
      <c r="X119" s="2">
        <v>0</v>
      </c>
      <c r="Y119" s="2">
        <v>1</v>
      </c>
      <c r="Z119" s="2">
        <v>0</v>
      </c>
      <c r="AA119" s="2">
        <v>1</v>
      </c>
      <c r="AB119" s="2">
        <v>0</v>
      </c>
      <c r="AC119" s="2">
        <v>0</v>
      </c>
    </row>
    <row r="120" spans="1:29">
      <c r="A120" s="2">
        <v>236</v>
      </c>
      <c r="B120" s="2">
        <v>252100503</v>
      </c>
      <c r="C120" s="2">
        <v>252100503</v>
      </c>
      <c r="D120" t="s">
        <v>824</v>
      </c>
      <c r="E120" t="s">
        <v>825</v>
      </c>
      <c r="F120" t="s">
        <v>826</v>
      </c>
      <c r="G120" s="3">
        <v>1.41</v>
      </c>
      <c r="H120" s="2">
        <v>0</v>
      </c>
      <c r="I120" s="2">
        <v>0</v>
      </c>
      <c r="J120" s="2">
        <v>0</v>
      </c>
      <c r="K120" s="6">
        <f t="shared" si="3"/>
        <v>1.41</v>
      </c>
      <c r="L120" s="7">
        <v>0.4</v>
      </c>
      <c r="M120" s="10">
        <f t="shared" si="4"/>
        <v>3.5249999999999995</v>
      </c>
      <c r="N120" t="s">
        <v>35</v>
      </c>
      <c r="O120" t="s">
        <v>30</v>
      </c>
      <c r="P120" t="s">
        <v>37</v>
      </c>
      <c r="Q120" t="s">
        <v>237</v>
      </c>
      <c r="T120" s="2">
        <v>1</v>
      </c>
      <c r="U120" s="2">
        <v>1</v>
      </c>
      <c r="V120" s="2">
        <v>1</v>
      </c>
      <c r="W120" s="2">
        <v>1</v>
      </c>
      <c r="X120" s="2">
        <v>0</v>
      </c>
      <c r="Y120" s="2">
        <v>1</v>
      </c>
      <c r="Z120" s="2">
        <v>0</v>
      </c>
      <c r="AA120" s="2">
        <v>1</v>
      </c>
      <c r="AB120" s="2">
        <v>0</v>
      </c>
      <c r="AC120" s="2">
        <v>0</v>
      </c>
    </row>
    <row r="121" spans="1:29">
      <c r="A121" s="2">
        <v>432</v>
      </c>
      <c r="B121" s="2">
        <v>242250102</v>
      </c>
      <c r="C121" s="2">
        <v>242250102</v>
      </c>
      <c r="D121" t="s">
        <v>499</v>
      </c>
      <c r="E121" t="s">
        <v>500</v>
      </c>
      <c r="F121" t="s">
        <v>501</v>
      </c>
      <c r="G121" s="3">
        <v>1.43</v>
      </c>
      <c r="H121" s="2">
        <v>0</v>
      </c>
      <c r="I121" s="2">
        <v>0</v>
      </c>
      <c r="J121" s="2">
        <v>0</v>
      </c>
      <c r="K121" s="6">
        <f t="shared" si="3"/>
        <v>1.43</v>
      </c>
      <c r="L121" s="7">
        <v>0.65</v>
      </c>
      <c r="M121" s="10">
        <f t="shared" si="4"/>
        <v>2.1999999999999997</v>
      </c>
      <c r="N121" t="s">
        <v>35</v>
      </c>
      <c r="O121" t="s">
        <v>30</v>
      </c>
      <c r="P121" t="s">
        <v>37</v>
      </c>
      <c r="Q121" t="s">
        <v>237</v>
      </c>
      <c r="T121" s="2">
        <v>1</v>
      </c>
      <c r="U121" s="2">
        <v>1</v>
      </c>
      <c r="V121" s="2">
        <v>1</v>
      </c>
      <c r="W121" s="2">
        <v>1</v>
      </c>
      <c r="X121" s="2">
        <v>0</v>
      </c>
      <c r="Y121" s="2">
        <v>1</v>
      </c>
      <c r="Z121" s="2">
        <v>0</v>
      </c>
      <c r="AA121" s="2">
        <v>1</v>
      </c>
      <c r="AB121" s="2">
        <v>0</v>
      </c>
      <c r="AC121" s="2">
        <v>0</v>
      </c>
    </row>
    <row r="122" spans="1:29">
      <c r="A122" s="2">
        <v>791</v>
      </c>
      <c r="B122" s="2">
        <v>252700117</v>
      </c>
      <c r="C122" s="2">
        <v>252700117</v>
      </c>
      <c r="D122" t="s">
        <v>907</v>
      </c>
      <c r="E122" t="s">
        <v>908</v>
      </c>
      <c r="F122" t="s">
        <v>288</v>
      </c>
      <c r="G122" s="3">
        <v>1.46</v>
      </c>
      <c r="H122" s="2">
        <v>0</v>
      </c>
      <c r="I122" s="2">
        <v>0</v>
      </c>
      <c r="J122" s="2">
        <v>0</v>
      </c>
      <c r="K122" s="6">
        <f t="shared" si="3"/>
        <v>1.46</v>
      </c>
      <c r="L122" s="7">
        <v>0.79</v>
      </c>
      <c r="M122" s="10">
        <f t="shared" si="4"/>
        <v>1.8481012658227847</v>
      </c>
      <c r="N122" t="s">
        <v>35</v>
      </c>
      <c r="O122" t="s">
        <v>30</v>
      </c>
      <c r="P122" t="s">
        <v>37</v>
      </c>
      <c r="Q122" t="s">
        <v>237</v>
      </c>
      <c r="T122" s="2">
        <v>1</v>
      </c>
      <c r="U122" s="2">
        <v>1</v>
      </c>
      <c r="V122" s="2">
        <v>1</v>
      </c>
      <c r="W122" s="2">
        <v>1</v>
      </c>
      <c r="X122" s="2">
        <v>0</v>
      </c>
      <c r="Y122" s="2">
        <v>1</v>
      </c>
      <c r="Z122" s="2">
        <v>0</v>
      </c>
      <c r="AA122" s="2">
        <v>1</v>
      </c>
      <c r="AB122">
        <v>0.6</v>
      </c>
      <c r="AC122">
        <v>41.333300000000001</v>
      </c>
    </row>
    <row r="123" spans="1:29">
      <c r="A123" s="2">
        <v>310</v>
      </c>
      <c r="B123" s="2">
        <v>242201465</v>
      </c>
      <c r="C123" s="2">
        <v>242201465</v>
      </c>
      <c r="D123" t="s">
        <v>457</v>
      </c>
      <c r="F123" t="s">
        <v>446</v>
      </c>
      <c r="G123" s="3">
        <f>+VLOOKUP(B123,'[1]master_prod_15todos(30-11-2 (2)'!$B$2:$AF$470,31,FALSE)</f>
        <v>1.5</v>
      </c>
      <c r="H123" s="2">
        <v>0</v>
      </c>
      <c r="I123" s="2">
        <v>0</v>
      </c>
      <c r="J123" s="2">
        <v>0</v>
      </c>
      <c r="K123" s="6">
        <f t="shared" si="3"/>
        <v>1.5</v>
      </c>
      <c r="L123" s="7">
        <f>+VLOOKUP(B123,'[1]master_prod_15todos(30-11-2 (2)'!$B$2:$AG$470,32,FALSE)</f>
        <v>0.45</v>
      </c>
      <c r="M123" s="10">
        <f t="shared" si="4"/>
        <v>3.333333333333333</v>
      </c>
      <c r="N123" t="s">
        <v>35</v>
      </c>
      <c r="O123" t="s">
        <v>30</v>
      </c>
      <c r="P123" t="s">
        <v>37</v>
      </c>
      <c r="Q123" t="s">
        <v>237</v>
      </c>
      <c r="T123" s="2">
        <v>1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0</v>
      </c>
      <c r="AA123" s="2">
        <v>1</v>
      </c>
      <c r="AB123">
        <v>0.6</v>
      </c>
      <c r="AC123" s="2">
        <v>0</v>
      </c>
    </row>
    <row r="124" spans="1:29">
      <c r="A124" s="2">
        <v>888</v>
      </c>
      <c r="B124" s="2">
        <v>243050208</v>
      </c>
      <c r="C124" s="2">
        <v>243050208</v>
      </c>
      <c r="D124" t="s">
        <v>590</v>
      </c>
      <c r="F124" t="s">
        <v>517</v>
      </c>
      <c r="G124">
        <v>1.5</v>
      </c>
      <c r="H124" s="2">
        <v>0</v>
      </c>
      <c r="I124" s="2">
        <v>0</v>
      </c>
      <c r="J124" s="2">
        <v>0</v>
      </c>
      <c r="K124" s="6">
        <f t="shared" si="3"/>
        <v>1.5</v>
      </c>
      <c r="L124" s="7">
        <v>0.6</v>
      </c>
      <c r="M124" s="10">
        <f t="shared" si="4"/>
        <v>2.5</v>
      </c>
      <c r="N124" t="s">
        <v>30</v>
      </c>
      <c r="O124" t="s">
        <v>30</v>
      </c>
      <c r="P124" t="s">
        <v>30</v>
      </c>
      <c r="Q124" t="s">
        <v>237</v>
      </c>
      <c r="T124" s="2">
        <v>1</v>
      </c>
      <c r="U124" s="2">
        <v>1</v>
      </c>
      <c r="V124" s="2">
        <v>1</v>
      </c>
      <c r="W124" s="2">
        <v>1</v>
      </c>
      <c r="X124" s="2">
        <v>0</v>
      </c>
      <c r="Y124" s="2">
        <v>1</v>
      </c>
      <c r="Z124" s="2">
        <v>0</v>
      </c>
      <c r="AA124" s="2">
        <v>1</v>
      </c>
      <c r="AB124">
        <v>0.6</v>
      </c>
      <c r="AC124">
        <v>29.283300000000001</v>
      </c>
    </row>
    <row r="125" spans="1:29">
      <c r="A125" s="2">
        <v>266</v>
      </c>
      <c r="B125" s="2">
        <v>243300203</v>
      </c>
      <c r="C125" s="2">
        <v>243300203</v>
      </c>
      <c r="D125" t="s">
        <v>631</v>
      </c>
      <c r="F125" t="s">
        <v>297</v>
      </c>
      <c r="G125">
        <v>1.5</v>
      </c>
      <c r="H125" s="2">
        <v>0</v>
      </c>
      <c r="I125" s="2">
        <v>0</v>
      </c>
      <c r="J125" s="2">
        <v>0</v>
      </c>
      <c r="K125" s="6">
        <f t="shared" si="3"/>
        <v>1.5</v>
      </c>
      <c r="L125" s="7">
        <v>0.6</v>
      </c>
      <c r="M125" s="10">
        <f t="shared" si="4"/>
        <v>2.5</v>
      </c>
      <c r="O125" t="s">
        <v>374</v>
      </c>
      <c r="Q125" t="s">
        <v>81</v>
      </c>
      <c r="T125" s="2">
        <v>1</v>
      </c>
      <c r="U125" s="2">
        <v>25</v>
      </c>
      <c r="V125" s="2">
        <v>1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s="2">
        <v>26</v>
      </c>
      <c r="B126" s="2">
        <v>243300209</v>
      </c>
      <c r="C126" s="2">
        <v>243300209</v>
      </c>
      <c r="D126" t="s">
        <v>633</v>
      </c>
      <c r="F126" t="s">
        <v>446</v>
      </c>
      <c r="G126">
        <v>1.5</v>
      </c>
      <c r="H126" s="2">
        <v>0</v>
      </c>
      <c r="I126" s="2">
        <v>0</v>
      </c>
      <c r="J126" s="2">
        <v>0</v>
      </c>
      <c r="K126" s="6">
        <f t="shared" si="3"/>
        <v>1.5</v>
      </c>
      <c r="L126" s="7">
        <v>0.6</v>
      </c>
      <c r="M126" s="10">
        <f t="shared" si="4"/>
        <v>2.5</v>
      </c>
      <c r="N126" t="s">
        <v>86</v>
      </c>
      <c r="O126" t="s">
        <v>51</v>
      </c>
      <c r="P126" t="s">
        <v>86</v>
      </c>
      <c r="Q126" t="s">
        <v>376</v>
      </c>
      <c r="T126" s="2">
        <v>1</v>
      </c>
      <c r="U126" s="2">
        <v>50</v>
      </c>
      <c r="V126" s="2">
        <v>1</v>
      </c>
      <c r="W126" s="2">
        <v>1</v>
      </c>
      <c r="X126" s="2">
        <v>1</v>
      </c>
      <c r="Y126" s="2">
        <v>1</v>
      </c>
      <c r="Z126" s="2">
        <v>0</v>
      </c>
      <c r="AA126" s="2">
        <v>1</v>
      </c>
      <c r="AB126" s="2">
        <v>0</v>
      </c>
      <c r="AC126" s="2">
        <v>0</v>
      </c>
    </row>
    <row r="127" spans="1:29">
      <c r="A127" s="2">
        <v>302</v>
      </c>
      <c r="B127" s="2">
        <v>240550701</v>
      </c>
      <c r="C127" s="2">
        <v>240550701</v>
      </c>
      <c r="D127" t="s">
        <v>135</v>
      </c>
      <c r="E127" s="2">
        <v>8888264929</v>
      </c>
      <c r="F127" t="s">
        <v>136</v>
      </c>
      <c r="G127" s="3">
        <f>+VLOOKUP(B127,'[1]master_prod_15todos(30-11-2 (2)'!$B$2:$AF$470,31,FALSE)</f>
        <v>1.55</v>
      </c>
      <c r="H127" s="2">
        <v>0</v>
      </c>
      <c r="I127" s="2">
        <v>0</v>
      </c>
      <c r="J127" s="2">
        <v>0</v>
      </c>
      <c r="K127" s="6">
        <f t="shared" si="3"/>
        <v>1.55</v>
      </c>
      <c r="L127" s="7">
        <f>+VLOOKUP(B127,'[1]master_prod_15todos(30-11-2 (2)'!$B$2:$AG$470,32,FALSE)</f>
        <v>0.7</v>
      </c>
      <c r="M127" s="10">
        <f t="shared" si="4"/>
        <v>2.2142857142857144</v>
      </c>
      <c r="N127" t="s">
        <v>378</v>
      </c>
      <c r="O127" t="s">
        <v>30</v>
      </c>
      <c r="P127" t="s">
        <v>378</v>
      </c>
      <c r="Q127" t="s">
        <v>66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</row>
    <row r="128" spans="1:29">
      <c r="A128" s="2">
        <v>303</v>
      </c>
      <c r="B128" s="2">
        <v>240550902</v>
      </c>
      <c r="C128" s="2">
        <v>240550902</v>
      </c>
      <c r="D128" t="s">
        <v>144</v>
      </c>
      <c r="E128" s="2">
        <v>8888264945</v>
      </c>
      <c r="F128" t="s">
        <v>75</v>
      </c>
      <c r="G128" s="3">
        <f>+VLOOKUP(B128,'[1]master_prod_15todos(30-11-2 (2)'!$B$2:$AF$470,31,FALSE)</f>
        <v>1.55</v>
      </c>
      <c r="H128" s="2">
        <v>0</v>
      </c>
      <c r="I128" s="2">
        <v>0</v>
      </c>
      <c r="J128" s="2">
        <v>0</v>
      </c>
      <c r="K128" s="6">
        <f t="shared" si="3"/>
        <v>1.55</v>
      </c>
      <c r="L128" s="7">
        <f>+VLOOKUP(B128,'[1]master_prod_15todos(30-11-2 (2)'!$B$2:$AG$470,32,FALSE)</f>
        <v>0.7</v>
      </c>
      <c r="M128" s="10">
        <f t="shared" si="4"/>
        <v>2.2142857142857144</v>
      </c>
      <c r="N128" t="s">
        <v>101</v>
      </c>
      <c r="O128" t="s">
        <v>30</v>
      </c>
      <c r="P128" t="s">
        <v>37</v>
      </c>
      <c r="Q128" t="s">
        <v>81</v>
      </c>
      <c r="T128" s="2">
        <v>1</v>
      </c>
      <c r="U128" s="2">
        <v>1</v>
      </c>
      <c r="V128" s="2">
        <v>1</v>
      </c>
      <c r="W128" s="2">
        <v>1</v>
      </c>
      <c r="X128" s="2">
        <v>0</v>
      </c>
      <c r="Y128" s="2">
        <v>1</v>
      </c>
      <c r="Z128" s="2">
        <v>0</v>
      </c>
      <c r="AA128" s="2">
        <v>1</v>
      </c>
      <c r="AB128" s="2">
        <v>0</v>
      </c>
      <c r="AC128" s="2">
        <v>0</v>
      </c>
    </row>
    <row r="129" spans="1:29">
      <c r="A129" s="2">
        <v>736</v>
      </c>
      <c r="B129" s="2">
        <v>242300613</v>
      </c>
      <c r="C129" s="2">
        <v>242300613</v>
      </c>
      <c r="D129" t="s">
        <v>531</v>
      </c>
      <c r="F129" t="s">
        <v>525</v>
      </c>
      <c r="G129" s="3">
        <v>1.56</v>
      </c>
      <c r="H129" s="2">
        <v>0</v>
      </c>
      <c r="I129" s="2">
        <v>0</v>
      </c>
      <c r="J129" s="2">
        <v>0</v>
      </c>
      <c r="K129" s="6">
        <f t="shared" si="3"/>
        <v>1.56</v>
      </c>
      <c r="L129" s="7">
        <v>0.65</v>
      </c>
      <c r="M129" s="10">
        <f t="shared" si="4"/>
        <v>2.4</v>
      </c>
      <c r="N129" t="s">
        <v>30</v>
      </c>
      <c r="O129" t="s">
        <v>30</v>
      </c>
      <c r="P129" t="s">
        <v>37</v>
      </c>
      <c r="Q129" t="s">
        <v>327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0</v>
      </c>
    </row>
    <row r="130" spans="1:29">
      <c r="A130" s="2">
        <v>792</v>
      </c>
      <c r="B130" s="2">
        <v>252700107</v>
      </c>
      <c r="C130" s="2">
        <v>252700107</v>
      </c>
      <c r="D130" t="s">
        <v>906</v>
      </c>
      <c r="E130" t="s">
        <v>895</v>
      </c>
      <c r="F130" t="s">
        <v>288</v>
      </c>
      <c r="G130">
        <v>1.5683</v>
      </c>
      <c r="H130" s="2">
        <v>0</v>
      </c>
      <c r="I130" s="2">
        <v>0</v>
      </c>
      <c r="J130" s="2">
        <v>0</v>
      </c>
      <c r="K130" s="6">
        <f t="shared" si="3"/>
        <v>1.5683</v>
      </c>
      <c r="L130" s="7">
        <v>0.59</v>
      </c>
      <c r="M130" s="10">
        <f t="shared" si="4"/>
        <v>2.6581355932203392</v>
      </c>
      <c r="N130" t="s">
        <v>51</v>
      </c>
      <c r="O130" t="s">
        <v>51</v>
      </c>
      <c r="P130" t="s">
        <v>51</v>
      </c>
      <c r="Q130" t="s">
        <v>386</v>
      </c>
      <c r="R130" t="s">
        <v>387</v>
      </c>
      <c r="T130" s="2">
        <v>1</v>
      </c>
      <c r="U130" s="2">
        <v>1</v>
      </c>
      <c r="V130" s="2">
        <v>1</v>
      </c>
      <c r="W130" s="2">
        <v>1</v>
      </c>
      <c r="X130" s="2">
        <v>0</v>
      </c>
      <c r="Y130" s="2">
        <v>1</v>
      </c>
      <c r="Z130" s="2">
        <v>0</v>
      </c>
      <c r="AA130" s="2">
        <v>1</v>
      </c>
      <c r="AB130" s="2">
        <v>0</v>
      </c>
      <c r="AC130" s="2">
        <v>0</v>
      </c>
    </row>
    <row r="131" spans="1:29">
      <c r="A131" s="2">
        <v>249</v>
      </c>
      <c r="B131" s="2">
        <v>243201204</v>
      </c>
      <c r="C131" s="2">
        <v>243201204</v>
      </c>
      <c r="D131" t="s">
        <v>617</v>
      </c>
      <c r="E131" t="s">
        <v>618</v>
      </c>
      <c r="F131" t="s">
        <v>85</v>
      </c>
      <c r="G131">
        <v>1.6</v>
      </c>
      <c r="H131" s="2">
        <v>0</v>
      </c>
      <c r="I131" s="2">
        <v>0</v>
      </c>
      <c r="J131" s="2">
        <v>0</v>
      </c>
      <c r="K131" s="6">
        <f t="shared" ref="K131:K194" si="5">SUM(G131:J131)</f>
        <v>1.6</v>
      </c>
      <c r="L131" s="7">
        <v>0.64</v>
      </c>
      <c r="M131" s="10">
        <f t="shared" si="4"/>
        <v>2.5</v>
      </c>
      <c r="N131" t="s">
        <v>51</v>
      </c>
      <c r="O131" t="s">
        <v>30</v>
      </c>
      <c r="P131" t="s">
        <v>51</v>
      </c>
      <c r="Q131" t="s">
        <v>81</v>
      </c>
      <c r="R131" t="s">
        <v>37</v>
      </c>
      <c r="T131" s="2">
        <v>1</v>
      </c>
      <c r="U131" s="2">
        <v>1</v>
      </c>
      <c r="V131" s="2">
        <v>1</v>
      </c>
      <c r="W131" s="2">
        <v>1</v>
      </c>
      <c r="X131" s="2">
        <v>0</v>
      </c>
      <c r="Y131" s="2">
        <v>1</v>
      </c>
      <c r="Z131" s="2">
        <v>0</v>
      </c>
      <c r="AA131" s="2">
        <v>1</v>
      </c>
      <c r="AB131" s="2">
        <v>0</v>
      </c>
      <c r="AC131" s="2">
        <v>0</v>
      </c>
    </row>
    <row r="132" spans="1:29">
      <c r="A132" s="2">
        <v>423</v>
      </c>
      <c r="B132" s="2">
        <v>250150305</v>
      </c>
      <c r="C132" s="2">
        <v>250150305</v>
      </c>
      <c r="D132" t="s">
        <v>674</v>
      </c>
      <c r="F132" t="s">
        <v>39</v>
      </c>
      <c r="G132">
        <v>1.625</v>
      </c>
      <c r="H132" s="2">
        <v>0</v>
      </c>
      <c r="I132" s="2">
        <v>0</v>
      </c>
      <c r="J132" s="2">
        <v>0</v>
      </c>
      <c r="K132" s="6">
        <f t="shared" si="5"/>
        <v>1.625</v>
      </c>
      <c r="L132" s="7">
        <v>0.5</v>
      </c>
      <c r="M132" s="10">
        <f t="shared" ref="M132:M195" si="6">+K132/L132</f>
        <v>3.25</v>
      </c>
      <c r="N132" t="s">
        <v>86</v>
      </c>
      <c r="O132" t="s">
        <v>30</v>
      </c>
      <c r="P132" t="s">
        <v>86</v>
      </c>
      <c r="Q132" t="s">
        <v>81</v>
      </c>
      <c r="R132" t="s">
        <v>37</v>
      </c>
      <c r="T132" s="2">
        <v>1</v>
      </c>
      <c r="U132" s="2">
        <v>1</v>
      </c>
      <c r="V132" s="2">
        <v>1</v>
      </c>
      <c r="W132" s="2">
        <v>1</v>
      </c>
      <c r="X132" s="2">
        <v>0</v>
      </c>
      <c r="Y132" s="2">
        <v>1</v>
      </c>
      <c r="Z132" s="2">
        <v>0</v>
      </c>
      <c r="AA132" s="2">
        <v>1</v>
      </c>
      <c r="AB132" s="2">
        <v>0</v>
      </c>
      <c r="AC132" s="2">
        <v>0</v>
      </c>
    </row>
    <row r="133" spans="1:29">
      <c r="A133" s="2">
        <v>801</v>
      </c>
      <c r="B133" s="2">
        <v>252850546</v>
      </c>
      <c r="C133" s="2">
        <v>252850546</v>
      </c>
      <c r="D133" t="s">
        <v>1039</v>
      </c>
      <c r="E133" t="s">
        <v>1040</v>
      </c>
      <c r="F133" t="s">
        <v>288</v>
      </c>
      <c r="G133">
        <v>1.7</v>
      </c>
      <c r="H133" s="2">
        <v>0</v>
      </c>
      <c r="I133" s="2">
        <v>0</v>
      </c>
      <c r="J133" s="2">
        <v>0</v>
      </c>
      <c r="K133" s="6">
        <f t="shared" si="5"/>
        <v>1.7</v>
      </c>
      <c r="L133" s="7">
        <v>0.59</v>
      </c>
      <c r="M133" s="10">
        <f t="shared" si="6"/>
        <v>2.8813559322033897</v>
      </c>
      <c r="N133" t="s">
        <v>68</v>
      </c>
      <c r="O133" t="s">
        <v>71</v>
      </c>
      <c r="P133" t="s">
        <v>37</v>
      </c>
      <c r="Q133" t="s">
        <v>327</v>
      </c>
      <c r="T133" s="2">
        <v>1</v>
      </c>
      <c r="U133" s="2">
        <v>100</v>
      </c>
      <c r="V133" s="2">
        <v>1</v>
      </c>
      <c r="W133" s="2">
        <v>1</v>
      </c>
      <c r="X133" s="2">
        <v>1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</row>
    <row r="134" spans="1:29">
      <c r="A134" s="2">
        <v>793</v>
      </c>
      <c r="B134" s="2">
        <v>252800921</v>
      </c>
      <c r="C134" s="2">
        <v>252800921</v>
      </c>
      <c r="D134" t="s">
        <v>952</v>
      </c>
      <c r="E134" t="s">
        <v>953</v>
      </c>
      <c r="F134" t="s">
        <v>288</v>
      </c>
      <c r="G134" s="3">
        <v>1.74</v>
      </c>
      <c r="H134" s="2">
        <v>0</v>
      </c>
      <c r="I134" s="2">
        <v>0</v>
      </c>
      <c r="J134" s="2">
        <v>0</v>
      </c>
      <c r="K134" s="6">
        <f t="shared" si="5"/>
        <v>1.74</v>
      </c>
      <c r="L134" s="7">
        <v>0.59</v>
      </c>
      <c r="M134" s="10">
        <f t="shared" si="6"/>
        <v>2.9491525423728815</v>
      </c>
      <c r="N134" t="s">
        <v>51</v>
      </c>
      <c r="O134" t="s">
        <v>51</v>
      </c>
      <c r="P134" t="s">
        <v>164</v>
      </c>
      <c r="Q134" t="s">
        <v>327</v>
      </c>
      <c r="R134" t="s">
        <v>398</v>
      </c>
      <c r="T134" s="2">
        <v>1</v>
      </c>
      <c r="U134" s="2">
        <v>1</v>
      </c>
      <c r="V134" s="2">
        <v>1</v>
      </c>
      <c r="W134" s="2">
        <v>1</v>
      </c>
      <c r="X134" s="2">
        <v>0</v>
      </c>
      <c r="Y134" s="2">
        <v>1</v>
      </c>
      <c r="Z134" s="2">
        <v>0</v>
      </c>
      <c r="AA134" s="2">
        <v>1</v>
      </c>
      <c r="AB134" s="2">
        <v>0</v>
      </c>
      <c r="AC134" s="2">
        <v>0</v>
      </c>
    </row>
    <row r="135" spans="1:29">
      <c r="A135" s="2">
        <v>433</v>
      </c>
      <c r="B135" s="2">
        <v>242250103</v>
      </c>
      <c r="C135" s="2">
        <v>242250103</v>
      </c>
      <c r="D135" t="s">
        <v>502</v>
      </c>
      <c r="E135" t="s">
        <v>503</v>
      </c>
      <c r="F135" t="s">
        <v>501</v>
      </c>
      <c r="G135">
        <v>1.7524999999999999</v>
      </c>
      <c r="H135" s="2">
        <v>0</v>
      </c>
      <c r="I135" s="2">
        <v>0</v>
      </c>
      <c r="J135" s="2">
        <v>0</v>
      </c>
      <c r="K135" s="6">
        <f t="shared" si="5"/>
        <v>1.7524999999999999</v>
      </c>
      <c r="L135" s="7">
        <v>0.65</v>
      </c>
      <c r="M135" s="10">
        <f t="shared" si="6"/>
        <v>2.6961538461538459</v>
      </c>
      <c r="N135" t="s">
        <v>105</v>
      </c>
      <c r="O135" t="s">
        <v>30</v>
      </c>
      <c r="P135" t="s">
        <v>105</v>
      </c>
      <c r="Q135" t="s">
        <v>401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0</v>
      </c>
      <c r="AA135" s="2">
        <v>1</v>
      </c>
      <c r="AB135" s="2">
        <v>0</v>
      </c>
      <c r="AC135" s="2">
        <v>0</v>
      </c>
    </row>
    <row r="136" spans="1:29">
      <c r="A136" s="2">
        <v>889</v>
      </c>
      <c r="B136" s="2">
        <v>243200203</v>
      </c>
      <c r="C136" s="2">
        <v>243200203</v>
      </c>
      <c r="D136" t="s">
        <v>610</v>
      </c>
      <c r="E136" s="2">
        <v>11420002</v>
      </c>
      <c r="F136" t="s">
        <v>100</v>
      </c>
      <c r="G136" s="3">
        <v>1.79</v>
      </c>
      <c r="H136" s="2">
        <v>0</v>
      </c>
      <c r="I136" s="2">
        <v>0</v>
      </c>
      <c r="J136" s="2">
        <v>0</v>
      </c>
      <c r="K136" s="6">
        <f t="shared" si="5"/>
        <v>1.79</v>
      </c>
      <c r="L136" s="7">
        <v>0.55000000000000004</v>
      </c>
      <c r="M136" s="10">
        <f t="shared" si="6"/>
        <v>3.2545454545454544</v>
      </c>
      <c r="N136" t="s">
        <v>30</v>
      </c>
      <c r="O136" t="s">
        <v>30</v>
      </c>
      <c r="P136" t="s">
        <v>404</v>
      </c>
      <c r="Q136" t="s">
        <v>405</v>
      </c>
      <c r="R136" t="s">
        <v>37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0</v>
      </c>
      <c r="AA136" s="2">
        <v>1</v>
      </c>
      <c r="AB136" s="2">
        <v>0</v>
      </c>
      <c r="AC136" s="2">
        <v>0</v>
      </c>
    </row>
    <row r="137" spans="1:29">
      <c r="A137" s="2">
        <v>890</v>
      </c>
      <c r="B137" s="2">
        <v>243200204</v>
      </c>
      <c r="C137" s="2">
        <v>243200204</v>
      </c>
      <c r="D137" t="s">
        <v>611</v>
      </c>
      <c r="E137" s="2">
        <v>11420001</v>
      </c>
      <c r="F137" t="s">
        <v>100</v>
      </c>
      <c r="G137" s="3">
        <v>1.79</v>
      </c>
      <c r="H137" s="2">
        <v>0</v>
      </c>
      <c r="I137" s="2">
        <v>0</v>
      </c>
      <c r="J137" s="2">
        <v>0</v>
      </c>
      <c r="K137" s="6">
        <f t="shared" si="5"/>
        <v>1.79</v>
      </c>
      <c r="L137" s="7">
        <v>0.55000000000000004</v>
      </c>
      <c r="M137" s="10">
        <f t="shared" si="6"/>
        <v>3.2545454545454544</v>
      </c>
      <c r="N137" t="s">
        <v>30</v>
      </c>
      <c r="O137" t="s">
        <v>30</v>
      </c>
      <c r="P137" t="s">
        <v>404</v>
      </c>
      <c r="Q137" t="s">
        <v>405</v>
      </c>
      <c r="R137" t="s">
        <v>37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0</v>
      </c>
      <c r="AA137" s="2">
        <v>1</v>
      </c>
      <c r="AB137" s="2">
        <v>0</v>
      </c>
      <c r="AC137" s="2">
        <v>0</v>
      </c>
    </row>
    <row r="138" spans="1:29">
      <c r="A138" s="2">
        <v>708</v>
      </c>
      <c r="B138" s="2">
        <v>243201004</v>
      </c>
      <c r="C138" s="2">
        <v>243201004</v>
      </c>
      <c r="D138" t="s">
        <v>615</v>
      </c>
      <c r="F138" t="s">
        <v>89</v>
      </c>
      <c r="G138" s="3">
        <v>1.79</v>
      </c>
      <c r="H138" s="2">
        <v>0</v>
      </c>
      <c r="I138" s="2">
        <v>0</v>
      </c>
      <c r="J138" s="2">
        <v>0</v>
      </c>
      <c r="K138" s="6">
        <f t="shared" si="5"/>
        <v>1.79</v>
      </c>
      <c r="L138" s="7">
        <v>0.55000000000000004</v>
      </c>
      <c r="M138" s="10">
        <f t="shared" si="6"/>
        <v>3.2545454545454544</v>
      </c>
      <c r="N138" t="s">
        <v>30</v>
      </c>
      <c r="O138" t="s">
        <v>30</v>
      </c>
      <c r="P138" t="s">
        <v>404</v>
      </c>
      <c r="Q138" t="s">
        <v>405</v>
      </c>
      <c r="R138" t="s">
        <v>37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0</v>
      </c>
      <c r="AA138" s="2">
        <v>1</v>
      </c>
      <c r="AB138" s="2">
        <v>0</v>
      </c>
      <c r="AC138" s="2">
        <v>0</v>
      </c>
    </row>
    <row r="139" spans="1:29">
      <c r="A139" s="2">
        <v>263</v>
      </c>
      <c r="B139" s="2">
        <v>243201303</v>
      </c>
      <c r="C139" s="2">
        <v>243201303</v>
      </c>
      <c r="D139" t="s">
        <v>619</v>
      </c>
      <c r="F139" t="s">
        <v>89</v>
      </c>
      <c r="G139" s="3">
        <v>1.79</v>
      </c>
      <c r="H139" s="2">
        <v>0</v>
      </c>
      <c r="I139" s="2">
        <v>0</v>
      </c>
      <c r="J139" s="2">
        <v>0</v>
      </c>
      <c r="K139" s="6">
        <f t="shared" si="5"/>
        <v>1.79</v>
      </c>
      <c r="L139" s="7">
        <v>0.55000000000000004</v>
      </c>
      <c r="M139" s="10">
        <f t="shared" si="6"/>
        <v>3.2545454545454544</v>
      </c>
      <c r="N139" t="s">
        <v>30</v>
      </c>
      <c r="O139" t="s">
        <v>30</v>
      </c>
      <c r="P139" t="s">
        <v>404</v>
      </c>
      <c r="Q139" t="s">
        <v>405</v>
      </c>
      <c r="R139" t="s">
        <v>37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0</v>
      </c>
      <c r="AA139" s="2">
        <v>1</v>
      </c>
      <c r="AB139" s="2">
        <v>0</v>
      </c>
      <c r="AC139" s="2">
        <v>0</v>
      </c>
    </row>
    <row r="140" spans="1:29">
      <c r="A140" s="2">
        <v>265</v>
      </c>
      <c r="B140" s="2">
        <v>243201304</v>
      </c>
      <c r="C140" s="2">
        <v>243201304</v>
      </c>
      <c r="D140" t="s">
        <v>620</v>
      </c>
      <c r="E140" t="s">
        <v>621</v>
      </c>
      <c r="F140" t="s">
        <v>542</v>
      </c>
      <c r="G140" s="3">
        <v>1.79</v>
      </c>
      <c r="H140" s="2">
        <v>0</v>
      </c>
      <c r="I140" s="2">
        <v>0</v>
      </c>
      <c r="J140" s="2">
        <v>0</v>
      </c>
      <c r="K140" s="6">
        <f t="shared" si="5"/>
        <v>1.79</v>
      </c>
      <c r="L140" s="7">
        <v>0.6</v>
      </c>
      <c r="M140" s="10">
        <f t="shared" si="6"/>
        <v>2.9833333333333334</v>
      </c>
      <c r="N140" t="s">
        <v>30</v>
      </c>
      <c r="O140" t="s">
        <v>30</v>
      </c>
      <c r="P140" t="s">
        <v>404</v>
      </c>
      <c r="Q140" t="s">
        <v>405</v>
      </c>
      <c r="R140" t="s">
        <v>37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1</v>
      </c>
      <c r="Z140" s="2">
        <v>0</v>
      </c>
      <c r="AA140" s="2">
        <v>1</v>
      </c>
      <c r="AB140" s="2">
        <v>0</v>
      </c>
      <c r="AC140" s="2">
        <v>0</v>
      </c>
    </row>
    <row r="141" spans="1:29">
      <c r="A141" s="2">
        <v>898</v>
      </c>
      <c r="B141" s="2">
        <v>242300403</v>
      </c>
      <c r="C141" s="2">
        <v>242300403</v>
      </c>
      <c r="D141" t="s">
        <v>516</v>
      </c>
      <c r="F141" t="s">
        <v>517</v>
      </c>
      <c r="G141">
        <v>1.7968</v>
      </c>
      <c r="H141" s="2">
        <v>0</v>
      </c>
      <c r="I141" s="2">
        <v>0</v>
      </c>
      <c r="J141" s="2">
        <v>0</v>
      </c>
      <c r="K141" s="6">
        <f t="shared" si="5"/>
        <v>1.7968</v>
      </c>
      <c r="L141" s="7">
        <v>0.8</v>
      </c>
      <c r="M141" s="10">
        <f t="shared" si="6"/>
        <v>2.246</v>
      </c>
      <c r="N141" t="s">
        <v>30</v>
      </c>
      <c r="O141" t="s">
        <v>30</v>
      </c>
      <c r="P141" t="s">
        <v>404</v>
      </c>
      <c r="Q141" t="s">
        <v>405</v>
      </c>
      <c r="R141" t="s">
        <v>37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0</v>
      </c>
      <c r="AA141" s="2">
        <v>1</v>
      </c>
      <c r="AB141" s="2">
        <v>0</v>
      </c>
      <c r="AC141" s="2">
        <v>0</v>
      </c>
    </row>
    <row r="142" spans="1:29">
      <c r="A142" s="2">
        <v>251</v>
      </c>
      <c r="B142" s="2">
        <v>243050403</v>
      </c>
      <c r="C142" s="2">
        <v>243050403</v>
      </c>
      <c r="D142" t="s">
        <v>603</v>
      </c>
      <c r="E142" t="s">
        <v>604</v>
      </c>
      <c r="F142" t="s">
        <v>85</v>
      </c>
      <c r="G142">
        <v>1.9</v>
      </c>
      <c r="H142" s="2">
        <v>0</v>
      </c>
      <c r="I142" s="2">
        <v>0</v>
      </c>
      <c r="J142" s="2">
        <v>0</v>
      </c>
      <c r="K142" s="6">
        <f t="shared" si="5"/>
        <v>1.9</v>
      </c>
      <c r="L142" s="7">
        <v>0.6</v>
      </c>
      <c r="M142" s="10">
        <f t="shared" si="6"/>
        <v>3.1666666666666665</v>
      </c>
      <c r="N142" t="s">
        <v>30</v>
      </c>
      <c r="O142" t="s">
        <v>30</v>
      </c>
      <c r="P142" t="s">
        <v>404</v>
      </c>
      <c r="Q142" t="s">
        <v>405</v>
      </c>
      <c r="R142" t="s">
        <v>37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0</v>
      </c>
      <c r="AA142" s="2">
        <v>1</v>
      </c>
      <c r="AB142" s="2">
        <v>0</v>
      </c>
      <c r="AC142" s="2">
        <v>0</v>
      </c>
    </row>
    <row r="143" spans="1:29">
      <c r="A143" s="2">
        <v>619</v>
      </c>
      <c r="B143" s="2">
        <v>252800101</v>
      </c>
      <c r="C143" s="2">
        <v>252800101</v>
      </c>
      <c r="D143" t="s">
        <v>919</v>
      </c>
      <c r="E143" t="s">
        <v>920</v>
      </c>
      <c r="F143" t="s">
        <v>75</v>
      </c>
      <c r="G143" s="3">
        <v>1.91</v>
      </c>
      <c r="H143" s="2">
        <v>0</v>
      </c>
      <c r="I143" s="2">
        <v>0</v>
      </c>
      <c r="J143" s="2">
        <v>0</v>
      </c>
      <c r="K143" s="6">
        <f t="shared" si="5"/>
        <v>1.91</v>
      </c>
      <c r="L143" s="7">
        <v>0.55000000000000004</v>
      </c>
      <c r="M143" s="10">
        <f t="shared" si="6"/>
        <v>3.4727272727272722</v>
      </c>
      <c r="N143" t="s">
        <v>30</v>
      </c>
      <c r="O143" t="s">
        <v>30</v>
      </c>
      <c r="P143" t="s">
        <v>404</v>
      </c>
      <c r="Q143" t="s">
        <v>405</v>
      </c>
      <c r="R143" t="s">
        <v>37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</row>
    <row r="144" spans="1:29">
      <c r="A144" s="2">
        <v>197</v>
      </c>
      <c r="B144" s="2">
        <v>250100210</v>
      </c>
      <c r="C144" s="2">
        <v>250100210</v>
      </c>
      <c r="D144" t="s">
        <v>654</v>
      </c>
      <c r="E144" t="s">
        <v>655</v>
      </c>
      <c r="F144" t="s">
        <v>219</v>
      </c>
      <c r="G144">
        <v>1.925</v>
      </c>
      <c r="H144" s="2">
        <v>0</v>
      </c>
      <c r="I144" s="2">
        <v>0</v>
      </c>
      <c r="J144" s="2">
        <v>0</v>
      </c>
      <c r="K144" s="6">
        <f t="shared" si="5"/>
        <v>1.925</v>
      </c>
      <c r="L144" s="7">
        <v>0.5</v>
      </c>
      <c r="M144" s="10">
        <f t="shared" si="6"/>
        <v>3.85</v>
      </c>
      <c r="N144" t="s">
        <v>30</v>
      </c>
      <c r="O144" t="s">
        <v>30</v>
      </c>
      <c r="P144" t="s">
        <v>404</v>
      </c>
      <c r="Q144" t="s">
        <v>405</v>
      </c>
      <c r="R144" t="s">
        <v>37</v>
      </c>
      <c r="T144" s="2">
        <v>1</v>
      </c>
      <c r="U144" s="2">
        <v>1</v>
      </c>
      <c r="V144" s="2">
        <v>1</v>
      </c>
      <c r="W144" s="2">
        <v>1</v>
      </c>
      <c r="X144" s="2">
        <v>1</v>
      </c>
      <c r="Y144" s="2">
        <v>1</v>
      </c>
      <c r="Z144" s="2">
        <v>0</v>
      </c>
      <c r="AA144" s="2">
        <v>1</v>
      </c>
      <c r="AB144" s="2">
        <v>0</v>
      </c>
      <c r="AC144" s="2">
        <v>0</v>
      </c>
    </row>
    <row r="145" spans="1:29">
      <c r="A145" s="2">
        <v>250</v>
      </c>
      <c r="B145" s="2">
        <v>243050903</v>
      </c>
      <c r="C145" s="2">
        <v>243050903</v>
      </c>
      <c r="D145" t="s">
        <v>608</v>
      </c>
      <c r="E145" t="s">
        <v>609</v>
      </c>
      <c r="F145" t="s">
        <v>85</v>
      </c>
      <c r="G145" s="3">
        <v>1.97</v>
      </c>
      <c r="H145" s="2">
        <v>0</v>
      </c>
      <c r="I145" s="2">
        <v>0</v>
      </c>
      <c r="J145" s="2">
        <v>0</v>
      </c>
      <c r="K145" s="6">
        <f t="shared" si="5"/>
        <v>1.97</v>
      </c>
      <c r="L145" s="7">
        <v>0.55000000000000004</v>
      </c>
      <c r="M145" s="10">
        <f t="shared" si="6"/>
        <v>3.5818181818181816</v>
      </c>
      <c r="N145" t="s">
        <v>30</v>
      </c>
      <c r="O145" t="s">
        <v>30</v>
      </c>
      <c r="P145" t="s">
        <v>30</v>
      </c>
      <c r="Q145" t="s">
        <v>405</v>
      </c>
      <c r="R145" t="s">
        <v>416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1</v>
      </c>
      <c r="AB145" s="2">
        <v>0</v>
      </c>
      <c r="AC145" s="2">
        <v>0</v>
      </c>
    </row>
    <row r="146" spans="1:29">
      <c r="A146" s="2">
        <v>311</v>
      </c>
      <c r="B146" s="2">
        <v>242201468</v>
      </c>
      <c r="C146" s="2">
        <v>242201468</v>
      </c>
      <c r="D146" t="s">
        <v>459</v>
      </c>
      <c r="F146" t="s">
        <v>446</v>
      </c>
      <c r="G146" s="3">
        <f>+VLOOKUP(B146,'[1]master_prod_15todos(30-11-2 (2)'!$B$2:$AF$470,31,FALSE)</f>
        <v>2</v>
      </c>
      <c r="H146" s="2">
        <v>0</v>
      </c>
      <c r="I146" s="2">
        <v>0</v>
      </c>
      <c r="J146" s="2">
        <v>0</v>
      </c>
      <c r="K146" s="6">
        <f t="shared" si="5"/>
        <v>2</v>
      </c>
      <c r="L146" s="7">
        <f>+VLOOKUP(B146,'[1]master_prod_15todos(30-11-2 (2)'!$B$2:$AG$470,32,FALSE)</f>
        <v>0.45</v>
      </c>
      <c r="M146" s="10">
        <f t="shared" si="6"/>
        <v>4.4444444444444446</v>
      </c>
      <c r="N146" t="s">
        <v>30</v>
      </c>
      <c r="O146" t="s">
        <v>30</v>
      </c>
      <c r="P146" t="s">
        <v>30</v>
      </c>
      <c r="Q146" t="s">
        <v>405</v>
      </c>
      <c r="R146" t="s">
        <v>416</v>
      </c>
      <c r="T146" s="2">
        <v>1</v>
      </c>
      <c r="U146" s="2">
        <v>1</v>
      </c>
      <c r="V146" s="2">
        <v>1</v>
      </c>
      <c r="W146" s="2">
        <v>1</v>
      </c>
      <c r="X146" s="2">
        <v>1</v>
      </c>
      <c r="Y146" s="2">
        <v>0</v>
      </c>
      <c r="Z146" s="2">
        <v>0</v>
      </c>
      <c r="AA146" s="2">
        <v>1</v>
      </c>
      <c r="AB146" s="2">
        <v>0</v>
      </c>
      <c r="AC146" s="2">
        <v>0</v>
      </c>
    </row>
    <row r="147" spans="1:29">
      <c r="A147" s="2">
        <v>75</v>
      </c>
      <c r="B147" s="2">
        <v>250210127</v>
      </c>
      <c r="C147" s="2">
        <v>250210127</v>
      </c>
      <c r="D147" t="s">
        <v>696</v>
      </c>
      <c r="E147" t="s">
        <v>697</v>
      </c>
      <c r="F147" t="s">
        <v>698</v>
      </c>
      <c r="G147" s="2">
        <v>2</v>
      </c>
      <c r="H147" s="2">
        <v>0</v>
      </c>
      <c r="I147" s="2">
        <v>0</v>
      </c>
      <c r="J147" s="2">
        <v>0</v>
      </c>
      <c r="K147" s="6">
        <f t="shared" si="5"/>
        <v>2</v>
      </c>
      <c r="L147" s="7">
        <v>0.51</v>
      </c>
      <c r="M147" s="10">
        <f t="shared" si="6"/>
        <v>3.9215686274509802</v>
      </c>
      <c r="N147" t="s">
        <v>30</v>
      </c>
      <c r="O147" t="s">
        <v>30</v>
      </c>
      <c r="P147" t="s">
        <v>30</v>
      </c>
      <c r="Q147" t="s">
        <v>405</v>
      </c>
      <c r="R147" t="s">
        <v>416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0</v>
      </c>
      <c r="Z147" s="2">
        <v>0</v>
      </c>
      <c r="AA147" s="2">
        <v>1</v>
      </c>
      <c r="AB147" s="2">
        <v>0</v>
      </c>
      <c r="AC147" s="2">
        <v>0</v>
      </c>
    </row>
    <row r="148" spans="1:29">
      <c r="A148" s="2">
        <v>350</v>
      </c>
      <c r="B148" s="2">
        <v>240500403</v>
      </c>
      <c r="C148" s="2">
        <v>240500403</v>
      </c>
      <c r="D148" t="s">
        <v>115</v>
      </c>
      <c r="E148" t="s">
        <v>116</v>
      </c>
      <c r="F148" t="s">
        <v>85</v>
      </c>
      <c r="G148" s="3">
        <f>+VLOOKUP(B148,'[1]master_prod_15todos(30-11-2 (2)'!$B$2:$AF$470,31,FALSE)</f>
        <v>2.0099999999999998</v>
      </c>
      <c r="H148" s="2">
        <v>0</v>
      </c>
      <c r="I148" s="2">
        <v>0</v>
      </c>
      <c r="J148" s="2">
        <v>0</v>
      </c>
      <c r="K148" s="6">
        <f t="shared" si="5"/>
        <v>2.0099999999999998</v>
      </c>
      <c r="L148" s="7">
        <f>+VLOOKUP(B148,'[1]master_prod_15todos(30-11-2 (2)'!$B$2:$AG$470,32,FALSE)</f>
        <v>0.6</v>
      </c>
      <c r="M148" s="10">
        <f t="shared" si="6"/>
        <v>3.3499999999999996</v>
      </c>
      <c r="N148" t="s">
        <v>30</v>
      </c>
      <c r="O148" t="s">
        <v>30</v>
      </c>
      <c r="P148" t="s">
        <v>30</v>
      </c>
      <c r="Q148" t="s">
        <v>405</v>
      </c>
      <c r="R148" t="s">
        <v>420</v>
      </c>
      <c r="T148" s="2">
        <v>1</v>
      </c>
      <c r="U148" s="2">
        <v>1</v>
      </c>
      <c r="V148" s="2">
        <v>1</v>
      </c>
      <c r="W148" s="2">
        <v>1</v>
      </c>
      <c r="X148" s="2">
        <v>0</v>
      </c>
      <c r="Y148" s="2">
        <v>0</v>
      </c>
      <c r="Z148" s="2">
        <v>0</v>
      </c>
      <c r="AA148" s="2">
        <v>1</v>
      </c>
      <c r="AB148" s="2">
        <v>0</v>
      </c>
      <c r="AC148" s="2">
        <v>0</v>
      </c>
    </row>
    <row r="149" spans="1:29">
      <c r="A149" s="2">
        <v>695</v>
      </c>
      <c r="B149" s="2">
        <v>241500204</v>
      </c>
      <c r="C149" s="2">
        <v>241500204</v>
      </c>
      <c r="D149" t="s">
        <v>333</v>
      </c>
      <c r="E149" t="s">
        <v>334</v>
      </c>
      <c r="F149" t="s">
        <v>330</v>
      </c>
      <c r="G149" s="3">
        <f>+VLOOKUP(B149,'[1]master_prod_15todos(30-11-2 (2)'!$B$2:$AF$470,31,FALSE)</f>
        <v>2.0125000000000002</v>
      </c>
      <c r="H149" s="2">
        <v>0</v>
      </c>
      <c r="I149" s="2">
        <v>0</v>
      </c>
      <c r="J149" s="2">
        <v>0</v>
      </c>
      <c r="K149" s="6">
        <f t="shared" si="5"/>
        <v>2.0125000000000002</v>
      </c>
      <c r="L149" s="7">
        <f>+VLOOKUP(B149,'[1]master_prod_15todos(30-11-2 (2)'!$B$2:$AG$470,32,FALSE)</f>
        <v>0.7</v>
      </c>
      <c r="M149" s="10">
        <f t="shared" si="6"/>
        <v>2.8750000000000004</v>
      </c>
      <c r="N149" t="s">
        <v>30</v>
      </c>
      <c r="O149" t="s">
        <v>30</v>
      </c>
      <c r="P149" t="s">
        <v>404</v>
      </c>
      <c r="Q149" t="s">
        <v>405</v>
      </c>
      <c r="R149" t="s">
        <v>37</v>
      </c>
      <c r="T149" s="2">
        <v>1</v>
      </c>
      <c r="U149" s="2">
        <v>1</v>
      </c>
      <c r="V149" s="2">
        <v>1</v>
      </c>
      <c r="W149" s="2">
        <v>1</v>
      </c>
      <c r="X149" s="2">
        <v>1</v>
      </c>
      <c r="Y149" s="2">
        <v>0</v>
      </c>
      <c r="Z149" s="2">
        <v>0</v>
      </c>
      <c r="AA149" s="2">
        <v>1</v>
      </c>
      <c r="AB149" s="2">
        <v>0</v>
      </c>
      <c r="AC149" s="2">
        <v>0</v>
      </c>
    </row>
    <row r="150" spans="1:29">
      <c r="A150" s="2">
        <v>644</v>
      </c>
      <c r="B150" s="2">
        <v>250150306</v>
      </c>
      <c r="C150" s="2">
        <v>250150306</v>
      </c>
      <c r="D150" t="s">
        <v>676</v>
      </c>
      <c r="E150" s="2">
        <v>250150306</v>
      </c>
      <c r="F150" t="s">
        <v>39</v>
      </c>
      <c r="G150" s="3">
        <v>2.0299999999999998</v>
      </c>
      <c r="H150" s="2">
        <v>0</v>
      </c>
      <c r="I150" s="2">
        <v>0</v>
      </c>
      <c r="J150" s="2">
        <v>0</v>
      </c>
      <c r="K150" s="6">
        <f t="shared" si="5"/>
        <v>2.0299999999999998</v>
      </c>
      <c r="L150" s="7">
        <v>0.6</v>
      </c>
      <c r="M150" s="10">
        <f t="shared" si="6"/>
        <v>3.3833333333333333</v>
      </c>
      <c r="N150" t="s">
        <v>404</v>
      </c>
      <c r="O150" t="s">
        <v>30</v>
      </c>
      <c r="P150" t="s">
        <v>37</v>
      </c>
      <c r="Q150" t="s">
        <v>405</v>
      </c>
      <c r="R150" t="s">
        <v>423</v>
      </c>
      <c r="S150" t="s">
        <v>424</v>
      </c>
      <c r="T150" s="2">
        <v>1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0</v>
      </c>
      <c r="AA150" s="2">
        <v>1</v>
      </c>
      <c r="AB150" s="2">
        <v>1</v>
      </c>
      <c r="AC150" s="2">
        <v>1</v>
      </c>
    </row>
    <row r="151" spans="1:29">
      <c r="A151" s="2">
        <v>238</v>
      </c>
      <c r="B151" s="2">
        <v>242351202</v>
      </c>
      <c r="C151" s="2">
        <v>242351202</v>
      </c>
      <c r="D151" t="s">
        <v>555</v>
      </c>
      <c r="F151" t="s">
        <v>64</v>
      </c>
      <c r="G151" s="3">
        <v>2.14</v>
      </c>
      <c r="H151" s="2">
        <v>0</v>
      </c>
      <c r="I151" s="2">
        <v>0</v>
      </c>
      <c r="J151" s="2">
        <v>0</v>
      </c>
      <c r="K151" s="6">
        <f t="shared" si="5"/>
        <v>2.14</v>
      </c>
      <c r="L151" s="7">
        <v>0.65</v>
      </c>
      <c r="M151" s="10">
        <f t="shared" si="6"/>
        <v>3.2923076923076926</v>
      </c>
      <c r="N151" t="s">
        <v>404</v>
      </c>
      <c r="O151" t="s">
        <v>30</v>
      </c>
      <c r="P151" t="s">
        <v>37</v>
      </c>
      <c r="Q151" t="s">
        <v>230</v>
      </c>
      <c r="R151" t="s">
        <v>423</v>
      </c>
      <c r="S151" t="s">
        <v>424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0</v>
      </c>
      <c r="Z151" s="2">
        <v>0</v>
      </c>
      <c r="AA151" s="2">
        <v>1</v>
      </c>
      <c r="AB151" s="2">
        <v>1</v>
      </c>
      <c r="AC151" s="2">
        <v>1</v>
      </c>
    </row>
    <row r="152" spans="1:29">
      <c r="A152" s="2">
        <v>315</v>
      </c>
      <c r="B152" s="2">
        <v>242201364</v>
      </c>
      <c r="C152" s="2">
        <v>242201364</v>
      </c>
      <c r="D152" t="s">
        <v>450</v>
      </c>
      <c r="F152" t="s">
        <v>446</v>
      </c>
      <c r="G152" s="3">
        <f>+VLOOKUP(B152,'[1]master_prod_15todos(30-11-2 (2)'!$B$2:$AF$470,31,FALSE)</f>
        <v>2.25</v>
      </c>
      <c r="H152" s="2">
        <v>0</v>
      </c>
      <c r="I152" s="2">
        <v>0</v>
      </c>
      <c r="J152" s="2">
        <v>0</v>
      </c>
      <c r="K152" s="6">
        <f t="shared" si="5"/>
        <v>2.25</v>
      </c>
      <c r="L152" s="7">
        <f>+VLOOKUP(B152,'[1]master_prod_15todos(30-11-2 (2)'!$B$2:$AG$470,32,FALSE)</f>
        <v>0.7</v>
      </c>
      <c r="M152" s="10">
        <f t="shared" si="6"/>
        <v>3.2142857142857144</v>
      </c>
      <c r="N152" t="s">
        <v>404</v>
      </c>
      <c r="O152" t="s">
        <v>30</v>
      </c>
      <c r="P152" t="s">
        <v>37</v>
      </c>
      <c r="Q152" t="s">
        <v>405</v>
      </c>
      <c r="R152" t="s">
        <v>423</v>
      </c>
      <c r="S152" t="s">
        <v>427</v>
      </c>
      <c r="T152" s="2">
        <v>1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0</v>
      </c>
      <c r="AA152" s="2">
        <v>1</v>
      </c>
      <c r="AB152" s="2">
        <v>1</v>
      </c>
      <c r="AC152" s="2">
        <v>1</v>
      </c>
    </row>
    <row r="153" spans="1:29">
      <c r="A153" s="2">
        <v>600</v>
      </c>
      <c r="B153" s="2">
        <v>242300912</v>
      </c>
      <c r="C153" s="2">
        <v>242300912</v>
      </c>
      <c r="D153" t="s">
        <v>532</v>
      </c>
      <c r="E153" t="s">
        <v>533</v>
      </c>
      <c r="F153" t="s">
        <v>85</v>
      </c>
      <c r="G153">
        <v>2.2902</v>
      </c>
      <c r="H153" s="2">
        <v>0</v>
      </c>
      <c r="I153" s="2">
        <v>0</v>
      </c>
      <c r="J153" s="2">
        <v>0</v>
      </c>
      <c r="K153" s="6">
        <f t="shared" si="5"/>
        <v>2.2902</v>
      </c>
      <c r="L153" s="7">
        <v>0.6</v>
      </c>
      <c r="M153" s="10">
        <f t="shared" si="6"/>
        <v>3.8170000000000002</v>
      </c>
      <c r="N153" t="s">
        <v>30</v>
      </c>
      <c r="O153" t="s">
        <v>30</v>
      </c>
      <c r="P153" t="s">
        <v>30</v>
      </c>
      <c r="Q153" t="s">
        <v>405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</row>
    <row r="154" spans="1:29">
      <c r="A154" s="2">
        <v>550</v>
      </c>
      <c r="B154" t="s">
        <v>1132</v>
      </c>
      <c r="C154" t="s">
        <v>1132</v>
      </c>
      <c r="D154" t="s">
        <v>1175</v>
      </c>
      <c r="E154" t="s">
        <v>533</v>
      </c>
      <c r="F154" t="s">
        <v>85</v>
      </c>
      <c r="G154">
        <v>2.2902</v>
      </c>
      <c r="H154" s="2">
        <v>0</v>
      </c>
      <c r="I154" s="2">
        <v>0</v>
      </c>
      <c r="J154" s="2">
        <v>0</v>
      </c>
      <c r="K154" s="6">
        <f t="shared" si="5"/>
        <v>2.2902</v>
      </c>
      <c r="L154" s="7">
        <v>0.6</v>
      </c>
      <c r="M154" s="10">
        <f t="shared" si="6"/>
        <v>3.8170000000000002</v>
      </c>
      <c r="N154" t="s">
        <v>404</v>
      </c>
      <c r="O154" t="s">
        <v>30</v>
      </c>
      <c r="P154" t="s">
        <v>37</v>
      </c>
      <c r="Q154" t="s">
        <v>230</v>
      </c>
      <c r="R154" t="s">
        <v>423</v>
      </c>
      <c r="S154" t="s">
        <v>430</v>
      </c>
      <c r="T154" s="2">
        <v>1</v>
      </c>
      <c r="U154" s="2">
        <v>1</v>
      </c>
      <c r="V154" s="2">
        <v>1</v>
      </c>
      <c r="W154" s="2">
        <v>1</v>
      </c>
      <c r="X154" s="2">
        <v>1</v>
      </c>
      <c r="Y154" s="2">
        <v>0</v>
      </c>
      <c r="Z154" s="2">
        <v>0</v>
      </c>
      <c r="AA154" s="2">
        <v>1</v>
      </c>
      <c r="AB154" s="2">
        <v>1</v>
      </c>
      <c r="AC154" s="2">
        <v>1</v>
      </c>
    </row>
    <row r="155" spans="1:29">
      <c r="A155" s="2">
        <v>304</v>
      </c>
      <c r="B155" s="2">
        <v>240550706</v>
      </c>
      <c r="C155" s="2">
        <v>240550706</v>
      </c>
      <c r="D155" t="s">
        <v>138</v>
      </c>
      <c r="E155" s="2">
        <v>8888264960</v>
      </c>
      <c r="F155" t="s">
        <v>75</v>
      </c>
      <c r="G155" s="3">
        <f>+VLOOKUP(B155,'[1]master_prod_15todos(30-11-2 (2)'!$B$2:$AF$470,31,FALSE)</f>
        <v>2.33</v>
      </c>
      <c r="H155" s="2">
        <v>0</v>
      </c>
      <c r="I155" s="2">
        <v>0</v>
      </c>
      <c r="J155" s="2">
        <v>0</v>
      </c>
      <c r="K155" s="6">
        <f t="shared" si="5"/>
        <v>2.33</v>
      </c>
      <c r="L155" s="7">
        <f>+VLOOKUP(B155,'[1]master_prod_15todos(30-11-2 (2)'!$B$2:$AG$470,32,FALSE)</f>
        <v>0.7</v>
      </c>
      <c r="M155" s="10">
        <f t="shared" si="6"/>
        <v>3.3285714285714287</v>
      </c>
      <c r="N155" t="s">
        <v>404</v>
      </c>
      <c r="O155" t="s">
        <v>30</v>
      </c>
      <c r="P155" t="s">
        <v>37</v>
      </c>
      <c r="Q155" t="s">
        <v>405</v>
      </c>
      <c r="R155" t="s">
        <v>423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0</v>
      </c>
      <c r="AA155" s="2">
        <v>1</v>
      </c>
      <c r="AB155" s="2">
        <v>1</v>
      </c>
      <c r="AC155" s="2">
        <v>1</v>
      </c>
    </row>
    <row r="156" spans="1:29">
      <c r="A156" s="2">
        <v>908</v>
      </c>
      <c r="B156" s="2">
        <v>240550906</v>
      </c>
      <c r="C156" s="2">
        <v>240550906</v>
      </c>
      <c r="D156" t="s">
        <v>146</v>
      </c>
      <c r="E156" t="s">
        <v>147</v>
      </c>
      <c r="F156" t="s">
        <v>75</v>
      </c>
      <c r="G156" s="3">
        <f>+VLOOKUP(B156,'[1]master_prod_15todos(30-11-2 (2)'!$B$2:$AF$470,31,FALSE)</f>
        <v>2.33</v>
      </c>
      <c r="H156" s="2">
        <v>0</v>
      </c>
      <c r="I156" s="2">
        <v>0</v>
      </c>
      <c r="J156" s="2">
        <v>0</v>
      </c>
      <c r="K156" s="6">
        <f t="shared" si="5"/>
        <v>2.33</v>
      </c>
      <c r="L156" s="7">
        <f>+VLOOKUP(B156,'[1]master_prod_15todos(30-11-2 (2)'!$B$2:$AG$470,32,FALSE)</f>
        <v>0.7</v>
      </c>
      <c r="M156" s="10">
        <f t="shared" si="6"/>
        <v>3.3285714285714287</v>
      </c>
      <c r="N156" t="s">
        <v>105</v>
      </c>
      <c r="O156" t="s">
        <v>30</v>
      </c>
      <c r="P156" t="s">
        <v>30</v>
      </c>
      <c r="Q156" t="s">
        <v>230</v>
      </c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2">
        <v>0</v>
      </c>
      <c r="Z156" s="2">
        <v>0</v>
      </c>
      <c r="AA156" s="2">
        <v>1</v>
      </c>
      <c r="AB156" s="2">
        <v>0</v>
      </c>
      <c r="AC156" s="2">
        <v>0</v>
      </c>
    </row>
    <row r="157" spans="1:29">
      <c r="A157" s="2">
        <v>301</v>
      </c>
      <c r="B157" s="2">
        <v>240550511</v>
      </c>
      <c r="C157" s="2">
        <v>240550511</v>
      </c>
      <c r="D157" t="s">
        <v>121</v>
      </c>
      <c r="F157" t="s">
        <v>34</v>
      </c>
      <c r="G157" s="3">
        <f>+VLOOKUP(B157,'[1]master_prod_15todos(30-11-2 (2)'!$B$2:$AF$470,31,FALSE)</f>
        <v>2.39</v>
      </c>
      <c r="H157" s="2">
        <v>0</v>
      </c>
      <c r="I157" s="2">
        <v>0</v>
      </c>
      <c r="J157" s="2">
        <v>0</v>
      </c>
      <c r="K157" s="6">
        <f t="shared" si="5"/>
        <v>2.39</v>
      </c>
      <c r="L157" s="7">
        <f>+VLOOKUP(B157,'[1]master_prod_15todos(30-11-2 (2)'!$B$2:$AG$470,32,FALSE)</f>
        <v>0.7</v>
      </c>
      <c r="M157" s="10">
        <f t="shared" si="6"/>
        <v>3.4142857142857146</v>
      </c>
      <c r="N157" t="s">
        <v>404</v>
      </c>
      <c r="O157" t="s">
        <v>30</v>
      </c>
      <c r="P157" t="s">
        <v>37</v>
      </c>
      <c r="Q157" t="s">
        <v>230</v>
      </c>
      <c r="R157" t="s">
        <v>423</v>
      </c>
      <c r="T157" s="2">
        <v>1</v>
      </c>
      <c r="U157" s="2">
        <v>1</v>
      </c>
      <c r="V157" s="2">
        <v>1</v>
      </c>
      <c r="W157" s="2">
        <v>1</v>
      </c>
      <c r="X157" s="2">
        <v>1</v>
      </c>
      <c r="Y157" s="2">
        <v>0</v>
      </c>
      <c r="Z157" s="2">
        <v>0</v>
      </c>
      <c r="AA157" s="2">
        <v>1</v>
      </c>
      <c r="AB157" s="2">
        <v>1</v>
      </c>
      <c r="AC157" s="2">
        <v>1</v>
      </c>
    </row>
    <row r="158" spans="1:29">
      <c r="A158" s="2">
        <v>296</v>
      </c>
      <c r="B158" s="2">
        <v>240551406</v>
      </c>
      <c r="C158" s="2">
        <v>240551406</v>
      </c>
      <c r="D158" t="s">
        <v>148</v>
      </c>
      <c r="E158" t="s">
        <v>149</v>
      </c>
      <c r="F158" t="s">
        <v>34</v>
      </c>
      <c r="G158" s="3">
        <f>+VLOOKUP(B158,'[1]master_prod_15todos(30-11-2 (2)'!$B$2:$AF$470,31,FALSE)</f>
        <v>2.39</v>
      </c>
      <c r="H158" s="2">
        <v>0</v>
      </c>
      <c r="I158" s="2">
        <v>0</v>
      </c>
      <c r="J158" s="2">
        <v>0</v>
      </c>
      <c r="K158" s="6">
        <f t="shared" si="5"/>
        <v>2.39</v>
      </c>
      <c r="L158" s="7">
        <f>+VLOOKUP(B158,'[1]master_prod_15todos(30-11-2 (2)'!$B$2:$AG$470,32,FALSE)</f>
        <v>0.7</v>
      </c>
      <c r="M158" s="10">
        <f t="shared" si="6"/>
        <v>3.4142857142857146</v>
      </c>
      <c r="N158" t="s">
        <v>404</v>
      </c>
      <c r="O158" t="s">
        <v>30</v>
      </c>
      <c r="P158" t="s">
        <v>37</v>
      </c>
      <c r="Q158" t="s">
        <v>405</v>
      </c>
      <c r="R158" t="s">
        <v>423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2">
        <v>1</v>
      </c>
      <c r="Z158" s="2">
        <v>0</v>
      </c>
      <c r="AA158" s="2">
        <v>1</v>
      </c>
      <c r="AB158" s="2">
        <v>1</v>
      </c>
      <c r="AC158" s="2">
        <v>1</v>
      </c>
    </row>
    <row r="159" spans="1:29">
      <c r="A159" s="2">
        <v>299</v>
      </c>
      <c r="B159" s="2">
        <v>241270102</v>
      </c>
      <c r="C159" s="2">
        <v>241270102</v>
      </c>
      <c r="D159" t="s">
        <v>313</v>
      </c>
      <c r="E159" t="s">
        <v>314</v>
      </c>
      <c r="F159" t="s">
        <v>34</v>
      </c>
      <c r="G159" s="3">
        <f>+VLOOKUP(B159,'[1]master_prod_15todos(30-11-2 (2)'!$B$2:$AF$470,31,FALSE)</f>
        <v>2.39</v>
      </c>
      <c r="H159" s="2">
        <v>0</v>
      </c>
      <c r="I159" s="2">
        <v>0</v>
      </c>
      <c r="J159" s="2">
        <v>0</v>
      </c>
      <c r="K159" s="6">
        <f t="shared" si="5"/>
        <v>2.39</v>
      </c>
      <c r="L159" s="7">
        <f>+VLOOKUP(B159,'[1]master_prod_15todos(30-11-2 (2)'!$B$2:$AG$470,32,FALSE)</f>
        <v>0.7</v>
      </c>
      <c r="M159" s="10">
        <f t="shared" si="6"/>
        <v>3.4142857142857146</v>
      </c>
      <c r="N159" t="s">
        <v>30</v>
      </c>
      <c r="O159" t="s">
        <v>30</v>
      </c>
      <c r="P159" t="s">
        <v>404</v>
      </c>
      <c r="Q159" t="s">
        <v>405</v>
      </c>
      <c r="R159" t="s">
        <v>37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2">
        <v>0</v>
      </c>
      <c r="Z159" s="2">
        <v>0</v>
      </c>
      <c r="AA159" s="2">
        <v>1</v>
      </c>
      <c r="AB159" s="2">
        <v>0</v>
      </c>
      <c r="AC159" s="2">
        <v>0</v>
      </c>
    </row>
    <row r="160" spans="1:29">
      <c r="A160" s="2">
        <v>300</v>
      </c>
      <c r="B160" s="2">
        <v>242201690</v>
      </c>
      <c r="C160" s="2">
        <v>242201690</v>
      </c>
      <c r="D160" t="s">
        <v>476</v>
      </c>
      <c r="E160" t="s">
        <v>477</v>
      </c>
      <c r="F160" t="s">
        <v>34</v>
      </c>
      <c r="G160" s="3">
        <v>2.39</v>
      </c>
      <c r="H160" s="2">
        <v>0</v>
      </c>
      <c r="I160" s="2">
        <v>0</v>
      </c>
      <c r="J160" s="2">
        <v>0</v>
      </c>
      <c r="K160" s="6">
        <f t="shared" si="5"/>
        <v>2.39</v>
      </c>
      <c r="L160" s="7">
        <v>0.6</v>
      </c>
      <c r="M160" s="10">
        <f t="shared" si="6"/>
        <v>3.9833333333333338</v>
      </c>
      <c r="N160" t="s">
        <v>30</v>
      </c>
      <c r="O160" t="s">
        <v>30</v>
      </c>
      <c r="P160" t="s">
        <v>404</v>
      </c>
      <c r="Q160" t="s">
        <v>405</v>
      </c>
      <c r="R160" t="s">
        <v>37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0</v>
      </c>
      <c r="AA160" s="2">
        <v>1</v>
      </c>
      <c r="AB160" s="2">
        <v>0</v>
      </c>
      <c r="AC160" s="2">
        <v>0</v>
      </c>
    </row>
    <row r="161" spans="1:29">
      <c r="A161" s="2">
        <v>297</v>
      </c>
      <c r="B161" s="2">
        <v>242202546</v>
      </c>
      <c r="C161" s="2">
        <v>242202546</v>
      </c>
      <c r="D161" t="s">
        <v>493</v>
      </c>
      <c r="E161" t="s">
        <v>494</v>
      </c>
      <c r="F161" t="s">
        <v>34</v>
      </c>
      <c r="G161" s="3">
        <v>2.39</v>
      </c>
      <c r="H161" s="2">
        <v>0</v>
      </c>
      <c r="I161" s="2">
        <v>0</v>
      </c>
      <c r="J161" s="2">
        <v>0</v>
      </c>
      <c r="K161" s="6">
        <f t="shared" si="5"/>
        <v>2.39</v>
      </c>
      <c r="L161" s="7">
        <v>0.6</v>
      </c>
      <c r="M161" s="10">
        <f t="shared" si="6"/>
        <v>3.9833333333333338</v>
      </c>
      <c r="N161" t="s">
        <v>30</v>
      </c>
      <c r="O161" t="s">
        <v>30</v>
      </c>
      <c r="P161" t="s">
        <v>404</v>
      </c>
      <c r="Q161" t="s">
        <v>405</v>
      </c>
      <c r="R161" t="s">
        <v>37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0</v>
      </c>
      <c r="AA161" s="2">
        <v>1</v>
      </c>
      <c r="AB161" s="2">
        <v>0</v>
      </c>
      <c r="AC161" s="2">
        <v>0</v>
      </c>
    </row>
    <row r="162" spans="1:29">
      <c r="A162" s="2">
        <v>298</v>
      </c>
      <c r="B162" s="2">
        <v>242202790</v>
      </c>
      <c r="C162" s="2">
        <v>242202790</v>
      </c>
      <c r="D162" t="s">
        <v>496</v>
      </c>
      <c r="E162" t="s">
        <v>497</v>
      </c>
      <c r="F162" t="s">
        <v>34</v>
      </c>
      <c r="G162" s="3">
        <v>2.39</v>
      </c>
      <c r="H162" s="2">
        <v>0</v>
      </c>
      <c r="I162" s="2">
        <v>0</v>
      </c>
      <c r="J162" s="2">
        <v>0</v>
      </c>
      <c r="K162" s="6">
        <f t="shared" si="5"/>
        <v>2.39</v>
      </c>
      <c r="L162" s="7">
        <v>0.6</v>
      </c>
      <c r="M162" s="10">
        <f t="shared" si="6"/>
        <v>3.9833333333333338</v>
      </c>
      <c r="N162" t="s">
        <v>30</v>
      </c>
      <c r="O162" t="s">
        <v>30</v>
      </c>
      <c r="P162" t="s">
        <v>30</v>
      </c>
      <c r="Q162" t="s">
        <v>405</v>
      </c>
      <c r="R162" t="s">
        <v>416</v>
      </c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2">
        <v>0</v>
      </c>
      <c r="Z162" s="2">
        <v>0</v>
      </c>
      <c r="AA162" s="2">
        <v>1</v>
      </c>
      <c r="AB162" s="2">
        <v>0</v>
      </c>
      <c r="AC162" s="2">
        <v>0</v>
      </c>
    </row>
    <row r="163" spans="1:29">
      <c r="A163" s="2">
        <v>255</v>
      </c>
      <c r="B163" s="2">
        <v>243050210</v>
      </c>
      <c r="C163" s="2">
        <v>243050210</v>
      </c>
      <c r="D163" t="s">
        <v>591</v>
      </c>
      <c r="E163" s="2">
        <v>1240</v>
      </c>
      <c r="F163" t="s">
        <v>542</v>
      </c>
      <c r="G163">
        <v>2.4</v>
      </c>
      <c r="H163" s="2">
        <v>0</v>
      </c>
      <c r="I163" s="2">
        <v>0</v>
      </c>
      <c r="J163" s="2">
        <v>0</v>
      </c>
      <c r="K163" s="6">
        <f t="shared" si="5"/>
        <v>2.4</v>
      </c>
      <c r="L163" s="7">
        <v>0.6</v>
      </c>
      <c r="M163" s="10">
        <f t="shared" si="6"/>
        <v>4</v>
      </c>
      <c r="N163" t="s">
        <v>30</v>
      </c>
      <c r="O163" t="s">
        <v>30</v>
      </c>
      <c r="P163" t="s">
        <v>404</v>
      </c>
      <c r="Q163" t="s">
        <v>405</v>
      </c>
      <c r="R163" t="s">
        <v>440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0</v>
      </c>
      <c r="Z163" s="2">
        <v>0</v>
      </c>
      <c r="AA163" s="2">
        <v>1</v>
      </c>
      <c r="AB163" s="2">
        <v>0</v>
      </c>
      <c r="AC163" s="2">
        <v>0</v>
      </c>
    </row>
    <row r="164" spans="1:29">
      <c r="A164" s="2">
        <v>638</v>
      </c>
      <c r="B164" s="2">
        <v>243050410</v>
      </c>
      <c r="C164" s="2">
        <v>243050410</v>
      </c>
      <c r="D164" t="s">
        <v>605</v>
      </c>
      <c r="E164" t="s">
        <v>606</v>
      </c>
      <c r="F164" t="s">
        <v>85</v>
      </c>
      <c r="G164">
        <v>2.4</v>
      </c>
      <c r="H164" s="2">
        <v>0</v>
      </c>
      <c r="I164" s="2">
        <v>0</v>
      </c>
      <c r="J164" s="2">
        <v>0</v>
      </c>
      <c r="K164" s="6">
        <f t="shared" si="5"/>
        <v>2.4</v>
      </c>
      <c r="L164" s="7">
        <v>0.6</v>
      </c>
      <c r="M164" s="10">
        <f t="shared" si="6"/>
        <v>4</v>
      </c>
      <c r="N164" t="s">
        <v>30</v>
      </c>
      <c r="O164" t="s">
        <v>30</v>
      </c>
      <c r="P164" t="s">
        <v>404</v>
      </c>
      <c r="Q164" t="s">
        <v>405</v>
      </c>
      <c r="R164" t="s">
        <v>37</v>
      </c>
      <c r="T164" s="2">
        <v>1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  <c r="Z164" s="2">
        <v>0</v>
      </c>
      <c r="AA164" s="2">
        <v>1</v>
      </c>
      <c r="AB164" s="2">
        <v>0</v>
      </c>
      <c r="AC164" s="2">
        <v>0</v>
      </c>
    </row>
    <row r="165" spans="1:29">
      <c r="A165" s="2">
        <v>254</v>
      </c>
      <c r="B165" s="2">
        <v>263050210</v>
      </c>
      <c r="C165" s="2">
        <v>263050210</v>
      </c>
      <c r="D165" t="s">
        <v>1104</v>
      </c>
      <c r="E165" s="2">
        <v>263050210</v>
      </c>
      <c r="F165" t="s">
        <v>93</v>
      </c>
      <c r="G165">
        <v>2.4</v>
      </c>
      <c r="H165" s="2">
        <v>0</v>
      </c>
      <c r="I165" s="2">
        <v>0</v>
      </c>
      <c r="J165" s="2">
        <v>0</v>
      </c>
      <c r="K165" s="6">
        <f t="shared" si="5"/>
        <v>2.4</v>
      </c>
      <c r="L165" s="7">
        <v>0.6</v>
      </c>
      <c r="M165" s="10">
        <f t="shared" si="6"/>
        <v>4</v>
      </c>
      <c r="N165" t="s">
        <v>30</v>
      </c>
      <c r="O165" t="s">
        <v>30</v>
      </c>
      <c r="P165" t="s">
        <v>404</v>
      </c>
      <c r="Q165" t="s">
        <v>405</v>
      </c>
      <c r="R165" t="s">
        <v>37</v>
      </c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  <c r="Z165" s="2">
        <v>0</v>
      </c>
      <c r="AA165" s="2">
        <v>1</v>
      </c>
      <c r="AB165" s="2">
        <v>0</v>
      </c>
      <c r="AC165" s="2">
        <v>0</v>
      </c>
    </row>
    <row r="166" spans="1:29">
      <c r="A166" s="2">
        <v>783</v>
      </c>
      <c r="B166" t="s">
        <v>1132</v>
      </c>
      <c r="C166" t="s">
        <v>1132</v>
      </c>
      <c r="D166" t="s">
        <v>1191</v>
      </c>
      <c r="F166" t="s">
        <v>75</v>
      </c>
      <c r="G166">
        <v>2.4249999999999998</v>
      </c>
      <c r="H166" s="2">
        <v>0</v>
      </c>
      <c r="I166" s="2">
        <v>0</v>
      </c>
      <c r="J166" s="2">
        <v>0</v>
      </c>
      <c r="K166" s="6">
        <f t="shared" si="5"/>
        <v>2.4249999999999998</v>
      </c>
      <c r="L166" s="7">
        <v>0.31</v>
      </c>
      <c r="M166" s="10">
        <f t="shared" si="6"/>
        <v>7.82258064516129</v>
      </c>
      <c r="N166" t="s">
        <v>30</v>
      </c>
      <c r="O166" t="s">
        <v>30</v>
      </c>
      <c r="P166" t="s">
        <v>30</v>
      </c>
      <c r="Q166" t="s">
        <v>405</v>
      </c>
      <c r="R166" t="s">
        <v>416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0</v>
      </c>
      <c r="Z166" s="2">
        <v>0</v>
      </c>
      <c r="AA166" s="2">
        <v>1</v>
      </c>
      <c r="AB166" s="2">
        <v>0</v>
      </c>
      <c r="AC166" s="2">
        <v>0</v>
      </c>
    </row>
    <row r="167" spans="1:29">
      <c r="A167" s="2">
        <v>434</v>
      </c>
      <c r="B167" s="2">
        <v>242250104</v>
      </c>
      <c r="C167" s="2">
        <v>242250104</v>
      </c>
      <c r="D167" t="s">
        <v>504</v>
      </c>
      <c r="E167" t="s">
        <v>505</v>
      </c>
      <c r="F167" t="s">
        <v>501</v>
      </c>
      <c r="G167" s="3">
        <v>2.5299999999999998</v>
      </c>
      <c r="H167" s="2">
        <v>0</v>
      </c>
      <c r="I167" s="2">
        <v>0</v>
      </c>
      <c r="J167" s="2">
        <v>0</v>
      </c>
      <c r="K167" s="6">
        <f t="shared" si="5"/>
        <v>2.5299999999999998</v>
      </c>
      <c r="L167" s="7">
        <v>0.65</v>
      </c>
      <c r="M167" s="10">
        <f t="shared" si="6"/>
        <v>3.8923076923076918</v>
      </c>
      <c r="N167" t="s">
        <v>30</v>
      </c>
      <c r="O167" t="s">
        <v>30</v>
      </c>
      <c r="P167" t="s">
        <v>30</v>
      </c>
      <c r="Q167" t="s">
        <v>405</v>
      </c>
      <c r="R167" t="s">
        <v>416</v>
      </c>
      <c r="T167" s="2">
        <v>1</v>
      </c>
      <c r="U167" s="2">
        <v>1</v>
      </c>
      <c r="V167" s="2">
        <v>1</v>
      </c>
      <c r="W167" s="2">
        <v>1</v>
      </c>
      <c r="X167" s="2">
        <v>1</v>
      </c>
      <c r="Y167" s="2">
        <v>0</v>
      </c>
      <c r="Z167" s="2">
        <v>0</v>
      </c>
      <c r="AA167" s="2">
        <v>1</v>
      </c>
      <c r="AB167" s="2">
        <v>0</v>
      </c>
      <c r="AC167" s="2">
        <v>0</v>
      </c>
    </row>
    <row r="168" spans="1:29">
      <c r="A168" s="2">
        <v>900</v>
      </c>
      <c r="B168" s="2">
        <v>242300604</v>
      </c>
      <c r="C168" s="2">
        <v>242300604</v>
      </c>
      <c r="D168" t="s">
        <v>522</v>
      </c>
      <c r="F168" t="s">
        <v>517</v>
      </c>
      <c r="G168">
        <v>2.5455000000000001</v>
      </c>
      <c r="H168" s="2">
        <v>0</v>
      </c>
      <c r="I168" s="2">
        <v>0</v>
      </c>
      <c r="J168" s="2">
        <v>0</v>
      </c>
      <c r="K168" s="6">
        <f t="shared" si="5"/>
        <v>2.5455000000000001</v>
      </c>
      <c r="L168" s="7">
        <v>0.8</v>
      </c>
      <c r="M168" s="10">
        <f t="shared" si="6"/>
        <v>3.1818749999999998</v>
      </c>
      <c r="N168" t="s">
        <v>30</v>
      </c>
      <c r="O168" t="s">
        <v>30</v>
      </c>
      <c r="P168" t="s">
        <v>404</v>
      </c>
      <c r="Q168" t="s">
        <v>447</v>
      </c>
      <c r="R168" t="s">
        <v>37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0</v>
      </c>
      <c r="Z168" s="2">
        <v>0</v>
      </c>
      <c r="AA168" s="2">
        <v>1</v>
      </c>
      <c r="AB168" s="3">
        <v>0.24</v>
      </c>
      <c r="AC168">
        <v>3.3332999999999999</v>
      </c>
    </row>
    <row r="169" spans="1:29">
      <c r="A169" s="2">
        <v>95</v>
      </c>
      <c r="B169" s="2">
        <v>241261102</v>
      </c>
      <c r="C169" s="2">
        <v>241261102</v>
      </c>
      <c r="D169" t="s">
        <v>312</v>
      </c>
      <c r="F169" t="s">
        <v>199</v>
      </c>
      <c r="G169" s="3">
        <f>+VLOOKUP(B169,'[1]master_prod_15todos(30-11-2 (2)'!$B$2:$AF$470,31,FALSE)</f>
        <v>2.63</v>
      </c>
      <c r="H169" s="2">
        <v>0</v>
      </c>
      <c r="I169" s="2">
        <v>0</v>
      </c>
      <c r="J169" s="2">
        <v>0</v>
      </c>
      <c r="K169" s="6">
        <f t="shared" si="5"/>
        <v>2.63</v>
      </c>
      <c r="L169" s="7">
        <f>+VLOOKUP(B169,'[1]master_prod_15todos(30-11-2 (2)'!$B$2:$AG$470,32,FALSE)</f>
        <v>0.8</v>
      </c>
      <c r="M169" s="10">
        <f t="shared" si="6"/>
        <v>3.2874999999999996</v>
      </c>
      <c r="N169" t="s">
        <v>30</v>
      </c>
      <c r="O169" t="s">
        <v>30</v>
      </c>
      <c r="P169" t="s">
        <v>51</v>
      </c>
      <c r="Q169" t="s">
        <v>447</v>
      </c>
      <c r="T169" s="2">
        <v>1</v>
      </c>
      <c r="U169" s="2">
        <v>1</v>
      </c>
      <c r="V169" s="2">
        <v>1</v>
      </c>
      <c r="W169" s="2">
        <v>1</v>
      </c>
      <c r="X169" s="2">
        <v>0</v>
      </c>
      <c r="Y169" s="2">
        <v>1</v>
      </c>
      <c r="Z169" s="2">
        <v>0</v>
      </c>
      <c r="AA169" s="2">
        <v>1</v>
      </c>
      <c r="AB169" s="2">
        <v>0</v>
      </c>
      <c r="AC169" s="2">
        <v>0</v>
      </c>
    </row>
    <row r="170" spans="1:29">
      <c r="A170" s="2">
        <v>767</v>
      </c>
      <c r="B170" s="2">
        <v>250450810</v>
      </c>
      <c r="C170" s="2">
        <v>250450810</v>
      </c>
      <c r="D170" t="s">
        <v>742</v>
      </c>
      <c r="F170" t="s">
        <v>256</v>
      </c>
      <c r="G170" s="3">
        <v>2.83</v>
      </c>
      <c r="H170" s="2">
        <v>0</v>
      </c>
      <c r="I170" s="2">
        <v>0</v>
      </c>
      <c r="J170" s="2">
        <v>0</v>
      </c>
      <c r="K170" s="6">
        <f t="shared" si="5"/>
        <v>2.83</v>
      </c>
      <c r="L170" s="7">
        <v>0.94</v>
      </c>
      <c r="M170" s="10">
        <f t="shared" si="6"/>
        <v>3.0106382978723407</v>
      </c>
      <c r="N170" t="s">
        <v>30</v>
      </c>
      <c r="O170" t="s">
        <v>30</v>
      </c>
      <c r="P170" t="s">
        <v>404</v>
      </c>
      <c r="Q170" t="s">
        <v>447</v>
      </c>
      <c r="R170" t="s">
        <v>37</v>
      </c>
      <c r="T170" s="2">
        <v>1</v>
      </c>
      <c r="U170" s="2">
        <v>1</v>
      </c>
      <c r="V170" s="2">
        <v>1</v>
      </c>
      <c r="W170" s="2">
        <v>1</v>
      </c>
      <c r="X170" s="2">
        <v>1</v>
      </c>
      <c r="Y170" s="2">
        <v>1</v>
      </c>
      <c r="Z170" s="2">
        <v>0</v>
      </c>
      <c r="AA170" s="2">
        <v>1</v>
      </c>
      <c r="AB170" s="2">
        <v>0</v>
      </c>
      <c r="AC170" s="2">
        <v>0</v>
      </c>
    </row>
    <row r="171" spans="1:29">
      <c r="A171" s="2">
        <v>278</v>
      </c>
      <c r="B171" s="2">
        <v>241260902</v>
      </c>
      <c r="C171" s="2">
        <v>241260902</v>
      </c>
      <c r="D171" t="s">
        <v>307</v>
      </c>
      <c r="E171" t="s">
        <v>308</v>
      </c>
      <c r="F171" t="s">
        <v>85</v>
      </c>
      <c r="G171" s="3">
        <f>+VLOOKUP(B171,'[1]master_prod_15todos(30-11-2 (2)'!$B$2:$AF$470,31,FALSE)</f>
        <v>2.85</v>
      </c>
      <c r="H171" s="2">
        <v>0</v>
      </c>
      <c r="I171" s="2">
        <v>0</v>
      </c>
      <c r="J171" s="2">
        <v>0</v>
      </c>
      <c r="K171" s="6">
        <f t="shared" si="5"/>
        <v>2.85</v>
      </c>
      <c r="L171" s="7">
        <f>+VLOOKUP(B171,'[1]master_prod_15todos(30-11-2 (2)'!$B$2:$AG$470,32,FALSE)</f>
        <v>0.7</v>
      </c>
      <c r="M171" s="10">
        <f t="shared" si="6"/>
        <v>4.0714285714285721</v>
      </c>
      <c r="N171" t="s">
        <v>30</v>
      </c>
      <c r="O171" t="s">
        <v>30</v>
      </c>
      <c r="P171" t="s">
        <v>404</v>
      </c>
      <c r="Q171" t="s">
        <v>405</v>
      </c>
      <c r="R171" t="s">
        <v>452</v>
      </c>
      <c r="T171" s="2">
        <v>1</v>
      </c>
      <c r="U171" s="2">
        <v>1</v>
      </c>
      <c r="V171" s="2">
        <v>1</v>
      </c>
      <c r="W171" s="2">
        <v>1</v>
      </c>
      <c r="X171" s="2">
        <v>1</v>
      </c>
      <c r="Y171" s="2">
        <v>0</v>
      </c>
      <c r="Z171" s="2">
        <v>0</v>
      </c>
      <c r="AA171" s="2">
        <v>1</v>
      </c>
      <c r="AB171" s="2">
        <v>0</v>
      </c>
      <c r="AC171" s="2">
        <v>0</v>
      </c>
    </row>
    <row r="172" spans="1:29">
      <c r="A172" s="2">
        <v>756</v>
      </c>
      <c r="B172" s="2">
        <v>243050106</v>
      </c>
      <c r="C172" s="2">
        <v>243050106</v>
      </c>
      <c r="D172" t="s">
        <v>585</v>
      </c>
      <c r="E172" t="s">
        <v>586</v>
      </c>
      <c r="F172" t="s">
        <v>279</v>
      </c>
      <c r="G172">
        <v>2.9</v>
      </c>
      <c r="H172" s="2">
        <v>0</v>
      </c>
      <c r="I172" s="2">
        <v>0</v>
      </c>
      <c r="J172" s="2">
        <v>0</v>
      </c>
      <c r="K172" s="6">
        <f t="shared" si="5"/>
        <v>2.9</v>
      </c>
      <c r="L172" s="7">
        <v>0.55000000000000004</v>
      </c>
      <c r="M172" s="10">
        <f t="shared" si="6"/>
        <v>5.2727272727272725</v>
      </c>
      <c r="N172" t="s">
        <v>30</v>
      </c>
      <c r="O172" t="s">
        <v>30</v>
      </c>
      <c r="P172" t="s">
        <v>404</v>
      </c>
      <c r="Q172" t="s">
        <v>405</v>
      </c>
      <c r="R172" t="s">
        <v>37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1</v>
      </c>
      <c r="Z172" s="2">
        <v>0</v>
      </c>
      <c r="AA172" s="2">
        <v>1</v>
      </c>
      <c r="AB172" s="2">
        <v>0</v>
      </c>
      <c r="AC172" s="2">
        <v>0</v>
      </c>
    </row>
    <row r="173" spans="1:29">
      <c r="A173" s="2">
        <v>897</v>
      </c>
      <c r="B173" s="2">
        <v>250150307</v>
      </c>
      <c r="C173" s="2">
        <v>250150307</v>
      </c>
      <c r="D173" t="s">
        <v>678</v>
      </c>
      <c r="F173" t="s">
        <v>39</v>
      </c>
      <c r="G173">
        <v>2.9</v>
      </c>
      <c r="H173" s="2">
        <v>0</v>
      </c>
      <c r="I173" s="2">
        <v>0</v>
      </c>
      <c r="J173" s="2">
        <v>0</v>
      </c>
      <c r="K173" s="6">
        <f t="shared" si="5"/>
        <v>2.9</v>
      </c>
      <c r="L173" s="7">
        <v>0.6</v>
      </c>
      <c r="M173" s="10">
        <f t="shared" si="6"/>
        <v>4.833333333333333</v>
      </c>
      <c r="N173" t="s">
        <v>30</v>
      </c>
      <c r="O173" t="s">
        <v>30</v>
      </c>
      <c r="P173" t="s">
        <v>30</v>
      </c>
      <c r="Q173" t="s">
        <v>405</v>
      </c>
      <c r="R173" t="s">
        <v>416</v>
      </c>
      <c r="T173" s="2">
        <v>1</v>
      </c>
      <c r="U173" s="2">
        <v>1</v>
      </c>
      <c r="V173" s="2">
        <v>1</v>
      </c>
      <c r="W173" s="2">
        <v>1</v>
      </c>
      <c r="X173" s="2">
        <v>1</v>
      </c>
      <c r="Y173" s="2">
        <v>0</v>
      </c>
      <c r="Z173" s="2">
        <v>0</v>
      </c>
      <c r="AA173" s="2">
        <v>1</v>
      </c>
      <c r="AB173" s="2">
        <v>0</v>
      </c>
      <c r="AC173" s="2">
        <v>0</v>
      </c>
    </row>
    <row r="174" spans="1:29">
      <c r="A174" s="2">
        <v>633</v>
      </c>
      <c r="B174" s="2">
        <v>252100206</v>
      </c>
      <c r="C174" s="2">
        <v>252100206</v>
      </c>
      <c r="D174" t="s">
        <v>813</v>
      </c>
      <c r="E174" t="s">
        <v>814</v>
      </c>
      <c r="F174" t="s">
        <v>310</v>
      </c>
      <c r="G174" s="3">
        <v>2.97</v>
      </c>
      <c r="H174" s="2">
        <v>0</v>
      </c>
      <c r="I174" s="2">
        <v>0</v>
      </c>
      <c r="J174" s="2">
        <v>0</v>
      </c>
      <c r="K174" s="6">
        <f t="shared" si="5"/>
        <v>2.97</v>
      </c>
      <c r="L174" s="7">
        <v>0.33999977104392998</v>
      </c>
      <c r="M174" s="10">
        <f t="shared" si="6"/>
        <v>8.7352999999998779</v>
      </c>
      <c r="N174" t="s">
        <v>30</v>
      </c>
      <c r="O174" t="s">
        <v>30</v>
      </c>
      <c r="P174" t="s">
        <v>30</v>
      </c>
      <c r="Q174" t="s">
        <v>405</v>
      </c>
      <c r="R174" t="s">
        <v>416</v>
      </c>
      <c r="T174" s="2">
        <v>1</v>
      </c>
      <c r="U174" s="2">
        <v>1</v>
      </c>
      <c r="V174" s="2">
        <v>1</v>
      </c>
      <c r="W174" s="2">
        <v>1</v>
      </c>
      <c r="X174" s="2">
        <v>1</v>
      </c>
      <c r="Y174" s="2">
        <v>0</v>
      </c>
      <c r="Z174" s="2">
        <v>0</v>
      </c>
      <c r="AA174" s="2">
        <v>1</v>
      </c>
      <c r="AB174" s="2">
        <v>0</v>
      </c>
      <c r="AC174" s="2">
        <v>0</v>
      </c>
    </row>
    <row r="175" spans="1:29">
      <c r="A175" s="2">
        <v>338</v>
      </c>
      <c r="B175" s="2">
        <v>252850528</v>
      </c>
      <c r="C175" s="2">
        <v>252850528</v>
      </c>
      <c r="D175" t="s">
        <v>1036</v>
      </c>
      <c r="E175" t="s">
        <v>1037</v>
      </c>
      <c r="F175" t="s">
        <v>288</v>
      </c>
      <c r="G175" s="2">
        <v>3</v>
      </c>
      <c r="H175" s="2">
        <v>0</v>
      </c>
      <c r="I175" s="2">
        <v>0</v>
      </c>
      <c r="J175" s="2">
        <v>0</v>
      </c>
      <c r="K175" s="6">
        <f t="shared" si="5"/>
        <v>3</v>
      </c>
      <c r="L175" s="7">
        <v>0.45</v>
      </c>
      <c r="M175" s="10">
        <f t="shared" si="6"/>
        <v>6.6666666666666661</v>
      </c>
      <c r="N175" t="s">
        <v>30</v>
      </c>
      <c r="O175" t="s">
        <v>30</v>
      </c>
      <c r="P175" t="s">
        <v>51</v>
      </c>
      <c r="Q175" t="s">
        <v>447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2">
        <v>0</v>
      </c>
      <c r="AA175" s="2">
        <v>1</v>
      </c>
      <c r="AB175" s="2">
        <v>0</v>
      </c>
      <c r="AC175" s="2">
        <v>0</v>
      </c>
    </row>
    <row r="176" spans="1:29">
      <c r="A176" s="2">
        <v>475</v>
      </c>
      <c r="B176" t="s">
        <v>1132</v>
      </c>
      <c r="C176" t="s">
        <v>1132</v>
      </c>
      <c r="D176" t="s">
        <v>1130</v>
      </c>
      <c r="E176" s="2">
        <v>476701</v>
      </c>
      <c r="F176" t="s">
        <v>219</v>
      </c>
      <c r="G176" s="2">
        <v>3</v>
      </c>
      <c r="H176" s="2">
        <v>0</v>
      </c>
      <c r="I176" s="2">
        <v>0</v>
      </c>
      <c r="J176" s="2">
        <v>0</v>
      </c>
      <c r="K176" s="6">
        <f t="shared" si="5"/>
        <v>3</v>
      </c>
      <c r="L176" s="7">
        <v>0.6</v>
      </c>
      <c r="M176" s="10">
        <f t="shared" si="6"/>
        <v>5</v>
      </c>
      <c r="N176" t="s">
        <v>30</v>
      </c>
      <c r="O176" t="s">
        <v>30</v>
      </c>
      <c r="P176" t="s">
        <v>51</v>
      </c>
      <c r="Q176" t="s">
        <v>447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1</v>
      </c>
      <c r="Z176" s="2">
        <v>0</v>
      </c>
      <c r="AA176" s="2">
        <v>1</v>
      </c>
      <c r="AB176" s="2">
        <v>0</v>
      </c>
      <c r="AC176" s="2">
        <v>0</v>
      </c>
    </row>
    <row r="177" spans="1:29">
      <c r="A177" s="2">
        <v>147</v>
      </c>
      <c r="B177" t="s">
        <v>1132</v>
      </c>
      <c r="C177" t="s">
        <v>1132</v>
      </c>
      <c r="D177" t="s">
        <v>1140</v>
      </c>
      <c r="E177" t="s">
        <v>329</v>
      </c>
      <c r="F177" t="s">
        <v>1136</v>
      </c>
      <c r="G177" s="3">
        <v>3.02</v>
      </c>
      <c r="H177" s="2">
        <v>0</v>
      </c>
      <c r="I177" s="2">
        <v>0</v>
      </c>
      <c r="J177" s="2">
        <v>0</v>
      </c>
      <c r="K177" s="6">
        <f t="shared" si="5"/>
        <v>3.02</v>
      </c>
      <c r="L177" s="7">
        <v>0.38</v>
      </c>
      <c r="M177" s="10">
        <f t="shared" si="6"/>
        <v>7.9473684210526319</v>
      </c>
      <c r="N177" t="s">
        <v>30</v>
      </c>
      <c r="O177" t="s">
        <v>30</v>
      </c>
      <c r="P177" t="s">
        <v>404</v>
      </c>
      <c r="Q177" t="s">
        <v>447</v>
      </c>
      <c r="R177" t="s">
        <v>37</v>
      </c>
      <c r="T177" s="2">
        <v>1</v>
      </c>
      <c r="U177" s="2">
        <v>1</v>
      </c>
      <c r="V177" s="2">
        <v>1</v>
      </c>
      <c r="W177" s="2">
        <v>1</v>
      </c>
      <c r="X177" s="2">
        <v>1</v>
      </c>
      <c r="Y177" s="2">
        <v>0</v>
      </c>
      <c r="Z177" s="2">
        <v>0</v>
      </c>
      <c r="AA177" s="2">
        <v>1</v>
      </c>
      <c r="AB177">
        <v>0.5</v>
      </c>
      <c r="AC177" s="2">
        <v>3</v>
      </c>
    </row>
    <row r="178" spans="1:29">
      <c r="A178" s="2">
        <v>308</v>
      </c>
      <c r="B178" s="2">
        <v>242201463</v>
      </c>
      <c r="C178" s="2">
        <v>242201463</v>
      </c>
      <c r="D178" t="s">
        <v>456</v>
      </c>
      <c r="E178" s="2">
        <v>160</v>
      </c>
      <c r="F178" t="s">
        <v>449</v>
      </c>
      <c r="G178" s="3">
        <f>+VLOOKUP(B178,'[1]master_prod_15todos(30-11-2 (2)'!$B$2:$AF$470,31,FALSE)</f>
        <v>3.05</v>
      </c>
      <c r="H178" s="2">
        <v>0</v>
      </c>
      <c r="I178" s="2">
        <v>0</v>
      </c>
      <c r="J178" s="2">
        <v>0</v>
      </c>
      <c r="K178" s="6">
        <f t="shared" si="5"/>
        <v>3.05</v>
      </c>
      <c r="L178" s="7">
        <f>+VLOOKUP(B178,'[1]master_prod_15todos(30-11-2 (2)'!$B$2:$AG$470,32,FALSE)</f>
        <v>0.6</v>
      </c>
      <c r="M178" s="10">
        <f t="shared" si="6"/>
        <v>5.083333333333333</v>
      </c>
      <c r="N178" t="s">
        <v>30</v>
      </c>
      <c r="O178" t="s">
        <v>30</v>
      </c>
      <c r="P178" t="s">
        <v>404</v>
      </c>
      <c r="Q178" t="s">
        <v>447</v>
      </c>
      <c r="R178" t="s">
        <v>37</v>
      </c>
      <c r="T178" s="2">
        <v>1</v>
      </c>
      <c r="U178" s="2">
        <v>1</v>
      </c>
      <c r="V178" s="2">
        <v>1</v>
      </c>
      <c r="W178" s="2">
        <v>1</v>
      </c>
      <c r="X178" s="2">
        <v>1</v>
      </c>
      <c r="Y178" s="2">
        <v>1</v>
      </c>
      <c r="Z178" s="2">
        <v>0</v>
      </c>
      <c r="AA178" s="2">
        <v>1</v>
      </c>
      <c r="AB178">
        <v>0.5</v>
      </c>
      <c r="AC178" s="2">
        <v>5</v>
      </c>
    </row>
    <row r="179" spans="1:29">
      <c r="A179" s="2">
        <v>377</v>
      </c>
      <c r="B179" s="2">
        <v>240150116</v>
      </c>
      <c r="C179" s="2">
        <v>240150116</v>
      </c>
      <c r="D179" t="s">
        <v>43</v>
      </c>
      <c r="E179" t="s">
        <v>44</v>
      </c>
      <c r="F179" t="s">
        <v>45</v>
      </c>
      <c r="G179" s="3">
        <f>+VLOOKUP(B179,'[1]master_prod_15todos(30-11-2 (2)'!$B$2:$AF$470,31,FALSE)</f>
        <v>3.07</v>
      </c>
      <c r="H179" s="2">
        <v>0</v>
      </c>
      <c r="I179" s="2">
        <v>0</v>
      </c>
      <c r="J179" s="2">
        <v>0</v>
      </c>
      <c r="K179" s="6">
        <f t="shared" si="5"/>
        <v>3.07</v>
      </c>
      <c r="L179" s="7">
        <f>+VLOOKUP(B179,'[1]master_prod_15todos(30-11-2 (2)'!$B$2:$AG$470,32,FALSE)</f>
        <v>0.6</v>
      </c>
      <c r="M179" s="10">
        <f t="shared" si="6"/>
        <v>5.1166666666666663</v>
      </c>
      <c r="N179" t="s">
        <v>30</v>
      </c>
      <c r="O179" t="s">
        <v>30</v>
      </c>
      <c r="P179" t="s">
        <v>404</v>
      </c>
      <c r="Q179" t="s">
        <v>447</v>
      </c>
      <c r="R179" t="s">
        <v>37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0</v>
      </c>
      <c r="Z179" s="2">
        <v>0</v>
      </c>
      <c r="AA179" s="2">
        <v>1</v>
      </c>
      <c r="AB179" s="3">
        <v>0.17</v>
      </c>
      <c r="AC179">
        <v>6.4706000000000001</v>
      </c>
    </row>
    <row r="180" spans="1:29">
      <c r="A180" s="2">
        <v>390</v>
      </c>
      <c r="B180" s="2">
        <v>240600200</v>
      </c>
      <c r="C180" s="2">
        <v>240600200</v>
      </c>
      <c r="D180" t="s">
        <v>154</v>
      </c>
      <c r="E180" t="s">
        <v>155</v>
      </c>
      <c r="F180" t="s">
        <v>85</v>
      </c>
      <c r="G180" s="3">
        <f>+VLOOKUP(B180,'[1]master_prod_15todos(30-11-2 (2)'!$B$2:$AF$470,31,FALSE)</f>
        <v>3.07</v>
      </c>
      <c r="H180" s="2">
        <v>0</v>
      </c>
      <c r="I180" s="2">
        <v>0</v>
      </c>
      <c r="J180" s="2">
        <v>0</v>
      </c>
      <c r="K180" s="6">
        <f t="shared" si="5"/>
        <v>3.07</v>
      </c>
      <c r="L180" s="7">
        <f>+VLOOKUP(B180,'[1]master_prod_15todos(30-11-2 (2)'!$B$2:$AG$470,32,FALSE)</f>
        <v>0.85</v>
      </c>
      <c r="M180" s="10">
        <f t="shared" si="6"/>
        <v>3.611764705882353</v>
      </c>
      <c r="N180" t="s">
        <v>30</v>
      </c>
      <c r="O180" t="s">
        <v>30</v>
      </c>
      <c r="P180" t="s">
        <v>30</v>
      </c>
      <c r="Q180" t="s">
        <v>405</v>
      </c>
      <c r="R180" t="s">
        <v>416</v>
      </c>
      <c r="T180" s="2">
        <v>1</v>
      </c>
      <c r="U180" s="2">
        <v>1</v>
      </c>
      <c r="V180" s="2">
        <v>1</v>
      </c>
      <c r="W180" s="2">
        <v>1</v>
      </c>
      <c r="X180" s="2">
        <v>1</v>
      </c>
      <c r="Y180" s="2">
        <v>0</v>
      </c>
      <c r="Z180" s="2">
        <v>0</v>
      </c>
      <c r="AA180" s="2">
        <v>1</v>
      </c>
      <c r="AB180" s="2">
        <v>0</v>
      </c>
      <c r="AC180" s="2">
        <v>0</v>
      </c>
    </row>
    <row r="181" spans="1:29">
      <c r="A181" s="2">
        <v>406</v>
      </c>
      <c r="B181" s="2">
        <v>240600210</v>
      </c>
      <c r="C181" s="2">
        <v>240600210</v>
      </c>
      <c r="D181" t="s">
        <v>158</v>
      </c>
      <c r="E181" t="s">
        <v>159</v>
      </c>
      <c r="F181" t="s">
        <v>85</v>
      </c>
      <c r="G181" s="3">
        <f>+VLOOKUP(B181,'[1]master_prod_15todos(30-11-2 (2)'!$B$2:$AF$470,31,FALSE)</f>
        <v>3.07</v>
      </c>
      <c r="H181" s="2">
        <v>0</v>
      </c>
      <c r="I181" s="2">
        <v>0</v>
      </c>
      <c r="J181" s="2">
        <v>0</v>
      </c>
      <c r="K181" s="6">
        <f t="shared" si="5"/>
        <v>3.07</v>
      </c>
      <c r="L181" s="7">
        <f>+VLOOKUP(B181,'[1]master_prod_15todos(30-11-2 (2)'!$B$2:$AG$470,32,FALSE)</f>
        <v>0.85</v>
      </c>
      <c r="M181" s="10">
        <f t="shared" si="6"/>
        <v>3.611764705882353</v>
      </c>
      <c r="N181" t="s">
        <v>30</v>
      </c>
      <c r="O181" t="s">
        <v>30</v>
      </c>
      <c r="P181" t="s">
        <v>30</v>
      </c>
      <c r="Q181" t="s">
        <v>405</v>
      </c>
      <c r="R181" t="s">
        <v>416</v>
      </c>
      <c r="T181" s="2">
        <v>1</v>
      </c>
      <c r="U181" s="2">
        <v>1</v>
      </c>
      <c r="V181" s="2">
        <v>1</v>
      </c>
      <c r="W181" s="2">
        <v>1</v>
      </c>
      <c r="X181" s="2">
        <v>1</v>
      </c>
      <c r="Y181" s="2">
        <v>0</v>
      </c>
      <c r="Z181" s="2">
        <v>0</v>
      </c>
      <c r="AA181" s="2">
        <v>1</v>
      </c>
      <c r="AB181" s="2">
        <v>0</v>
      </c>
      <c r="AC181" s="2">
        <v>0</v>
      </c>
    </row>
    <row r="182" spans="1:29">
      <c r="A182" s="2">
        <v>410</v>
      </c>
      <c r="B182" s="2">
        <v>240600213</v>
      </c>
      <c r="C182" s="2">
        <v>240600213</v>
      </c>
      <c r="D182" t="s">
        <v>160</v>
      </c>
      <c r="E182" t="s">
        <v>161</v>
      </c>
      <c r="F182" t="s">
        <v>85</v>
      </c>
      <c r="G182" s="3">
        <f>+VLOOKUP(B182,'[1]master_prod_15todos(30-11-2 (2)'!$B$2:$AF$470,31,FALSE)</f>
        <v>3.07</v>
      </c>
      <c r="H182" s="2">
        <v>0</v>
      </c>
      <c r="I182" s="2">
        <v>0</v>
      </c>
      <c r="J182" s="2">
        <v>0</v>
      </c>
      <c r="K182" s="6">
        <f t="shared" si="5"/>
        <v>3.07</v>
      </c>
      <c r="L182" s="7">
        <f>+VLOOKUP(B182,'[1]master_prod_15todos(30-11-2 (2)'!$B$2:$AG$470,32,FALSE)</f>
        <v>0.85</v>
      </c>
      <c r="M182" s="10">
        <f t="shared" si="6"/>
        <v>3.611764705882353</v>
      </c>
      <c r="N182" t="s">
        <v>30</v>
      </c>
      <c r="O182" t="s">
        <v>30</v>
      </c>
      <c r="P182" t="s">
        <v>30</v>
      </c>
      <c r="Q182" t="s">
        <v>405</v>
      </c>
      <c r="R182" t="s">
        <v>420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0</v>
      </c>
      <c r="Z182" s="2">
        <v>0</v>
      </c>
      <c r="AA182" s="2">
        <v>1</v>
      </c>
      <c r="AB182" s="2">
        <v>0</v>
      </c>
      <c r="AC182" s="2">
        <v>0</v>
      </c>
    </row>
    <row r="183" spans="1:29">
      <c r="A183" s="2">
        <v>381</v>
      </c>
      <c r="B183" s="2">
        <v>240600234</v>
      </c>
      <c r="C183" s="2">
        <v>240600234</v>
      </c>
      <c r="D183" t="s">
        <v>177</v>
      </c>
      <c r="E183" s="2">
        <v>112082060</v>
      </c>
      <c r="F183" t="s">
        <v>118</v>
      </c>
      <c r="G183" s="3">
        <f>+VLOOKUP(B183,'[1]master_prod_15todos(30-11-2 (2)'!$B$2:$AF$470,31,FALSE)</f>
        <v>3.07</v>
      </c>
      <c r="H183" s="2">
        <v>0</v>
      </c>
      <c r="I183" s="2">
        <v>0</v>
      </c>
      <c r="J183" s="2">
        <v>0</v>
      </c>
      <c r="K183" s="6">
        <f t="shared" si="5"/>
        <v>3.07</v>
      </c>
      <c r="L183" s="7">
        <f>+VLOOKUP(B183,'[1]master_prod_15todos(30-11-2 (2)'!$B$2:$AG$470,32,FALSE)</f>
        <v>0.85</v>
      </c>
      <c r="M183" s="10">
        <f t="shared" si="6"/>
        <v>3.611764705882353</v>
      </c>
      <c r="N183" t="s">
        <v>30</v>
      </c>
      <c r="O183" t="s">
        <v>30</v>
      </c>
      <c r="P183" t="s">
        <v>30</v>
      </c>
      <c r="Q183" t="s">
        <v>405</v>
      </c>
      <c r="R183" t="s">
        <v>420</v>
      </c>
      <c r="T183" s="2">
        <v>1</v>
      </c>
      <c r="U183" s="2">
        <v>1</v>
      </c>
      <c r="V183" s="2">
        <v>1</v>
      </c>
      <c r="W183" s="2">
        <v>1</v>
      </c>
      <c r="X183" s="2">
        <v>1</v>
      </c>
      <c r="Y183" s="2">
        <v>0</v>
      </c>
      <c r="Z183" s="2">
        <v>0</v>
      </c>
      <c r="AA183" s="2">
        <v>1</v>
      </c>
      <c r="AB183" s="2">
        <v>0</v>
      </c>
      <c r="AC183" s="2">
        <v>0</v>
      </c>
    </row>
    <row r="184" spans="1:29">
      <c r="A184" s="2">
        <v>382</v>
      </c>
      <c r="B184" s="2">
        <v>240600236</v>
      </c>
      <c r="C184" s="2">
        <v>240600236</v>
      </c>
      <c r="D184" t="s">
        <v>179</v>
      </c>
      <c r="E184" t="s">
        <v>180</v>
      </c>
      <c r="F184" t="s">
        <v>85</v>
      </c>
      <c r="G184" s="3">
        <f>+VLOOKUP(B184,'[1]master_prod_15todos(30-11-2 (2)'!$B$2:$AF$470,31,FALSE)</f>
        <v>3.07</v>
      </c>
      <c r="H184" s="2">
        <v>0</v>
      </c>
      <c r="I184" s="2">
        <v>0</v>
      </c>
      <c r="J184" s="2">
        <v>0</v>
      </c>
      <c r="K184" s="6">
        <f t="shared" si="5"/>
        <v>3.07</v>
      </c>
      <c r="L184" s="7">
        <f>+VLOOKUP(B184,'[1]master_prod_15todos(30-11-2 (2)'!$B$2:$AG$470,32,FALSE)</f>
        <v>0.85</v>
      </c>
      <c r="M184" s="10">
        <f t="shared" si="6"/>
        <v>3.611764705882353</v>
      </c>
      <c r="N184" t="s">
        <v>30</v>
      </c>
      <c r="O184" t="s">
        <v>30</v>
      </c>
      <c r="P184" t="s">
        <v>30</v>
      </c>
      <c r="Q184" t="s">
        <v>405</v>
      </c>
      <c r="R184" t="s">
        <v>465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0</v>
      </c>
      <c r="Z184" s="2">
        <v>0</v>
      </c>
      <c r="AA184" s="2">
        <v>1</v>
      </c>
      <c r="AB184" s="2">
        <v>0</v>
      </c>
      <c r="AC184" s="2">
        <v>0</v>
      </c>
    </row>
    <row r="185" spans="1:29">
      <c r="A185" s="2">
        <v>385</v>
      </c>
      <c r="B185" s="2">
        <v>240600239</v>
      </c>
      <c r="C185" s="2">
        <v>240600239</v>
      </c>
      <c r="D185" t="s">
        <v>183</v>
      </c>
      <c r="E185" t="s">
        <v>184</v>
      </c>
      <c r="F185" t="s">
        <v>85</v>
      </c>
      <c r="G185" s="3">
        <f>+VLOOKUP(B185,'[1]master_prod_15todos(30-11-2 (2)'!$B$2:$AF$470,31,FALSE)</f>
        <v>3.07</v>
      </c>
      <c r="H185" s="2">
        <v>0</v>
      </c>
      <c r="I185" s="2">
        <v>0</v>
      </c>
      <c r="J185" s="2">
        <v>0</v>
      </c>
      <c r="K185" s="6">
        <f t="shared" si="5"/>
        <v>3.07</v>
      </c>
      <c r="L185" s="7">
        <f>+VLOOKUP(B185,'[1]master_prod_15todos(30-11-2 (2)'!$B$2:$AG$470,32,FALSE)</f>
        <v>0.85</v>
      </c>
      <c r="M185" s="10">
        <f t="shared" si="6"/>
        <v>3.611764705882353</v>
      </c>
      <c r="N185" t="s">
        <v>30</v>
      </c>
      <c r="O185" t="s">
        <v>30</v>
      </c>
      <c r="P185" t="s">
        <v>30</v>
      </c>
      <c r="Q185" t="s">
        <v>405</v>
      </c>
      <c r="R185" t="s">
        <v>416</v>
      </c>
      <c r="T185" s="2">
        <v>1</v>
      </c>
      <c r="U185" s="2">
        <v>1</v>
      </c>
      <c r="V185" s="2">
        <v>1</v>
      </c>
      <c r="W185" s="2">
        <v>1</v>
      </c>
      <c r="X185" s="2">
        <v>1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</row>
    <row r="186" spans="1:29">
      <c r="A186" s="2">
        <v>384</v>
      </c>
      <c r="B186" s="2">
        <v>240600299</v>
      </c>
      <c r="C186" s="2">
        <v>240600299</v>
      </c>
      <c r="D186" t="s">
        <v>186</v>
      </c>
      <c r="E186" t="s">
        <v>187</v>
      </c>
      <c r="F186" t="s">
        <v>85</v>
      </c>
      <c r="G186" s="3">
        <f>+VLOOKUP(B186,'[1]master_prod_15todos(30-11-2 (2)'!$B$2:$AF$470,31,FALSE)</f>
        <v>3.07</v>
      </c>
      <c r="H186" s="2">
        <v>0</v>
      </c>
      <c r="I186" s="2">
        <v>0</v>
      </c>
      <c r="J186" s="2">
        <v>0</v>
      </c>
      <c r="K186" s="6">
        <f t="shared" si="5"/>
        <v>3.07</v>
      </c>
      <c r="L186" s="7">
        <f>+VLOOKUP(B186,'[1]master_prod_15todos(30-11-2 (2)'!$B$2:$AG$470,32,FALSE)</f>
        <v>0.85</v>
      </c>
      <c r="M186" s="10">
        <f t="shared" si="6"/>
        <v>3.611764705882353</v>
      </c>
      <c r="N186" t="s">
        <v>30</v>
      </c>
      <c r="O186" t="s">
        <v>30</v>
      </c>
      <c r="P186" t="s">
        <v>30</v>
      </c>
      <c r="Q186" t="s">
        <v>119</v>
      </c>
      <c r="T186" s="2">
        <v>1</v>
      </c>
      <c r="U186" s="2">
        <v>1</v>
      </c>
      <c r="V186" s="2">
        <v>1</v>
      </c>
      <c r="W186" s="2">
        <v>1</v>
      </c>
      <c r="X186" s="2">
        <v>0</v>
      </c>
      <c r="Y186" s="2">
        <v>1</v>
      </c>
      <c r="Z186" s="2">
        <v>0</v>
      </c>
      <c r="AA186" s="2">
        <v>1</v>
      </c>
      <c r="AB186" s="2">
        <v>0</v>
      </c>
      <c r="AC186" s="2">
        <v>0</v>
      </c>
    </row>
    <row r="187" spans="1:29">
      <c r="A187" s="2">
        <v>637</v>
      </c>
      <c r="B187" s="2">
        <v>240600300</v>
      </c>
      <c r="C187" s="2">
        <v>240600300</v>
      </c>
      <c r="D187" t="s">
        <v>188</v>
      </c>
      <c r="E187" s="2">
        <v>240600300</v>
      </c>
      <c r="F187" t="s">
        <v>85</v>
      </c>
      <c r="G187" s="3">
        <f>+VLOOKUP(B187,'[1]master_prod_15todos(30-11-2 (2)'!$B$2:$AF$470,31,FALSE)</f>
        <v>3.07</v>
      </c>
      <c r="H187" s="2">
        <v>0</v>
      </c>
      <c r="I187" s="2">
        <v>0</v>
      </c>
      <c r="J187" s="2">
        <v>0</v>
      </c>
      <c r="K187" s="6">
        <f t="shared" si="5"/>
        <v>3.07</v>
      </c>
      <c r="L187" s="7">
        <f>+VLOOKUP(B187,'[1]master_prod_15todos(30-11-2 (2)'!$B$2:$AG$470,32,FALSE)</f>
        <v>0.85</v>
      </c>
      <c r="M187" s="10">
        <f t="shared" si="6"/>
        <v>3.611764705882353</v>
      </c>
      <c r="N187" t="s">
        <v>30</v>
      </c>
      <c r="O187" t="s">
        <v>30</v>
      </c>
      <c r="P187" t="s">
        <v>30</v>
      </c>
      <c r="Q187" t="s">
        <v>405</v>
      </c>
      <c r="R187" t="s">
        <v>468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0</v>
      </c>
      <c r="Z187" s="2">
        <v>0</v>
      </c>
      <c r="AA187" s="2">
        <v>1</v>
      </c>
    </row>
    <row r="188" spans="1:29">
      <c r="A188" s="2">
        <v>393</v>
      </c>
      <c r="B188" s="2">
        <v>240600901</v>
      </c>
      <c r="C188" s="2">
        <v>240600901</v>
      </c>
      <c r="D188" t="s">
        <v>208</v>
      </c>
      <c r="E188" t="s">
        <v>209</v>
      </c>
      <c r="F188" t="s">
        <v>85</v>
      </c>
      <c r="G188" s="3">
        <f>+VLOOKUP(B188,'[1]master_prod_15todos(30-11-2 (2)'!$B$2:$AF$470,31,FALSE)</f>
        <v>3.07</v>
      </c>
      <c r="H188" s="2">
        <v>0</v>
      </c>
      <c r="I188" s="2">
        <v>0</v>
      </c>
      <c r="J188" s="2">
        <v>0</v>
      </c>
      <c r="K188" s="6">
        <f t="shared" si="5"/>
        <v>3.07</v>
      </c>
      <c r="L188" s="7">
        <f>+VLOOKUP(B188,'[1]master_prod_15todos(30-11-2 (2)'!$B$2:$AG$470,32,FALSE)</f>
        <v>0.85</v>
      </c>
      <c r="M188" s="10">
        <f t="shared" si="6"/>
        <v>3.611764705882353</v>
      </c>
      <c r="N188" t="s">
        <v>30</v>
      </c>
      <c r="O188" t="s">
        <v>30</v>
      </c>
      <c r="P188" t="s">
        <v>30</v>
      </c>
      <c r="Q188" t="s">
        <v>405</v>
      </c>
      <c r="R188" t="s">
        <v>420</v>
      </c>
      <c r="T188" s="2">
        <v>1</v>
      </c>
      <c r="U188" s="2">
        <v>1</v>
      </c>
      <c r="V188" s="2">
        <v>1</v>
      </c>
      <c r="W188" s="2">
        <v>1</v>
      </c>
      <c r="X188" s="2">
        <v>1</v>
      </c>
      <c r="Y188" s="2">
        <v>0</v>
      </c>
      <c r="Z188" s="2">
        <v>0</v>
      </c>
      <c r="AA188" s="2">
        <v>1</v>
      </c>
      <c r="AB188" s="2">
        <v>0</v>
      </c>
      <c r="AC188" s="2">
        <v>0</v>
      </c>
    </row>
    <row r="189" spans="1:29">
      <c r="A189" s="2">
        <v>408</v>
      </c>
      <c r="B189" s="2">
        <v>243450206</v>
      </c>
      <c r="C189" s="2">
        <v>243450206</v>
      </c>
      <c r="D189" t="s">
        <v>641</v>
      </c>
      <c r="E189" t="s">
        <v>642</v>
      </c>
      <c r="F189" t="s">
        <v>85</v>
      </c>
      <c r="G189" s="3">
        <v>3.07</v>
      </c>
      <c r="H189" s="2">
        <v>0</v>
      </c>
      <c r="I189" s="2">
        <v>0</v>
      </c>
      <c r="J189" s="2">
        <v>0</v>
      </c>
      <c r="K189" s="6">
        <f t="shared" si="5"/>
        <v>3.07</v>
      </c>
      <c r="L189" s="7">
        <v>0.6</v>
      </c>
      <c r="M189" s="10">
        <f t="shared" si="6"/>
        <v>5.1166666666666663</v>
      </c>
      <c r="N189" t="s">
        <v>30</v>
      </c>
      <c r="O189" t="s">
        <v>30</v>
      </c>
      <c r="P189" t="s">
        <v>404</v>
      </c>
      <c r="Q189" t="s">
        <v>405</v>
      </c>
      <c r="R189" t="s">
        <v>37</v>
      </c>
      <c r="T189" s="2">
        <v>1</v>
      </c>
      <c r="U189" s="2">
        <v>1</v>
      </c>
      <c r="V189" s="2">
        <v>1</v>
      </c>
      <c r="W189" s="2">
        <v>1</v>
      </c>
      <c r="X189" s="2">
        <v>1</v>
      </c>
      <c r="Y189" s="2">
        <v>1</v>
      </c>
      <c r="Z189" s="2">
        <v>0</v>
      </c>
      <c r="AA189" s="2">
        <v>1</v>
      </c>
      <c r="AB189" s="2">
        <v>0</v>
      </c>
      <c r="AC189" s="2">
        <v>0</v>
      </c>
    </row>
    <row r="190" spans="1:29">
      <c r="A190" s="2">
        <v>413</v>
      </c>
      <c r="B190" s="2">
        <v>243450207</v>
      </c>
      <c r="C190" s="2">
        <v>243450207</v>
      </c>
      <c r="D190" t="s">
        <v>643</v>
      </c>
      <c r="E190" t="s">
        <v>644</v>
      </c>
      <c r="F190" t="s">
        <v>85</v>
      </c>
      <c r="G190" s="3">
        <v>3.07</v>
      </c>
      <c r="H190" s="2">
        <v>0</v>
      </c>
      <c r="I190" s="2">
        <v>0</v>
      </c>
      <c r="J190" s="2">
        <v>0</v>
      </c>
      <c r="K190" s="6">
        <f t="shared" si="5"/>
        <v>3.07</v>
      </c>
      <c r="L190" s="7">
        <v>0.6</v>
      </c>
      <c r="M190" s="10">
        <f t="shared" si="6"/>
        <v>5.1166666666666663</v>
      </c>
      <c r="N190" t="s">
        <v>266</v>
      </c>
      <c r="O190" t="s">
        <v>30</v>
      </c>
      <c r="P190" t="s">
        <v>37</v>
      </c>
      <c r="Q190" t="s">
        <v>405</v>
      </c>
      <c r="R190" t="s">
        <v>37</v>
      </c>
      <c r="S190" t="s">
        <v>472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0</v>
      </c>
      <c r="AA190" s="2">
        <v>1</v>
      </c>
      <c r="AB190" s="2">
        <v>1</v>
      </c>
      <c r="AC190" s="2">
        <v>1</v>
      </c>
    </row>
    <row r="191" spans="1:29">
      <c r="A191" s="2">
        <v>403</v>
      </c>
      <c r="B191" s="2">
        <v>243450306</v>
      </c>
      <c r="C191" s="2">
        <v>243450306</v>
      </c>
      <c r="D191" t="s">
        <v>645</v>
      </c>
      <c r="E191" t="s">
        <v>180</v>
      </c>
      <c r="F191" t="s">
        <v>85</v>
      </c>
      <c r="G191" s="3">
        <v>3.07</v>
      </c>
      <c r="H191" s="2">
        <v>0</v>
      </c>
      <c r="I191" s="2">
        <v>0</v>
      </c>
      <c r="J191" s="2">
        <v>0</v>
      </c>
      <c r="K191" s="6">
        <f t="shared" si="5"/>
        <v>3.07</v>
      </c>
      <c r="L191" s="7">
        <v>0.6</v>
      </c>
      <c r="M191" s="10">
        <f t="shared" si="6"/>
        <v>5.1166666666666663</v>
      </c>
      <c r="N191" t="s">
        <v>266</v>
      </c>
      <c r="O191" t="s">
        <v>30</v>
      </c>
      <c r="P191" t="s">
        <v>37</v>
      </c>
      <c r="Q191" t="s">
        <v>405</v>
      </c>
      <c r="R191" t="s">
        <v>37</v>
      </c>
      <c r="S191" t="s">
        <v>472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0</v>
      </c>
      <c r="AA191" s="2">
        <v>1</v>
      </c>
      <c r="AB191" s="2">
        <v>1</v>
      </c>
      <c r="AC191" s="2">
        <v>1</v>
      </c>
    </row>
    <row r="192" spans="1:29">
      <c r="A192" s="2">
        <v>397</v>
      </c>
      <c r="B192" s="2">
        <v>243450307</v>
      </c>
      <c r="C192" s="2">
        <v>243450307</v>
      </c>
      <c r="D192" t="s">
        <v>646</v>
      </c>
      <c r="E192" t="s">
        <v>644</v>
      </c>
      <c r="F192" t="s">
        <v>85</v>
      </c>
      <c r="G192" s="3">
        <v>3.07</v>
      </c>
      <c r="H192" s="2">
        <v>0</v>
      </c>
      <c r="I192" s="2">
        <v>0</v>
      </c>
      <c r="J192" s="2">
        <v>0</v>
      </c>
      <c r="K192" s="6">
        <f t="shared" si="5"/>
        <v>3.07</v>
      </c>
      <c r="L192" s="7">
        <v>0.6</v>
      </c>
      <c r="M192" s="10">
        <f t="shared" si="6"/>
        <v>5.1166666666666663</v>
      </c>
      <c r="N192" t="s">
        <v>30</v>
      </c>
      <c r="O192" t="s">
        <v>30</v>
      </c>
      <c r="P192" t="s">
        <v>404</v>
      </c>
      <c r="Q192" t="s">
        <v>405</v>
      </c>
      <c r="R192" t="s">
        <v>37</v>
      </c>
      <c r="T192" s="2">
        <v>1</v>
      </c>
      <c r="U192" s="2">
        <v>1</v>
      </c>
      <c r="V192" s="2">
        <v>1</v>
      </c>
      <c r="W192" s="2">
        <v>1</v>
      </c>
      <c r="X192" s="2">
        <v>1</v>
      </c>
      <c r="Y192" s="2">
        <v>1</v>
      </c>
      <c r="Z192" s="2">
        <v>0</v>
      </c>
      <c r="AA192" s="2">
        <v>1</v>
      </c>
      <c r="AB192" s="2">
        <v>0</v>
      </c>
      <c r="AC192" s="2">
        <v>0</v>
      </c>
    </row>
    <row r="193" spans="1:29">
      <c r="A193" s="2">
        <v>869</v>
      </c>
      <c r="B193" s="2">
        <v>250100212</v>
      </c>
      <c r="C193" s="2">
        <v>250100212</v>
      </c>
      <c r="D193" t="s">
        <v>657</v>
      </c>
      <c r="F193" t="s">
        <v>100</v>
      </c>
      <c r="G193" s="3">
        <v>3.07</v>
      </c>
      <c r="H193" s="2">
        <v>0</v>
      </c>
      <c r="I193" s="2">
        <v>0</v>
      </c>
      <c r="J193" s="2">
        <v>0</v>
      </c>
      <c r="K193" s="6">
        <f t="shared" si="5"/>
        <v>3.07</v>
      </c>
      <c r="L193" s="7">
        <v>0.55000000000000004</v>
      </c>
      <c r="M193" s="10">
        <f t="shared" si="6"/>
        <v>5.5818181818181811</v>
      </c>
      <c r="N193" t="s">
        <v>35</v>
      </c>
      <c r="O193" t="s">
        <v>30</v>
      </c>
      <c r="P193" t="s">
        <v>122</v>
      </c>
      <c r="Q193" t="s">
        <v>119</v>
      </c>
      <c r="R193" t="s">
        <v>478</v>
      </c>
      <c r="T193" s="2">
        <v>1</v>
      </c>
      <c r="U193" s="2">
        <v>1</v>
      </c>
      <c r="V193" s="2">
        <v>1</v>
      </c>
      <c r="W193" s="2">
        <v>1</v>
      </c>
      <c r="X193" s="2">
        <v>0</v>
      </c>
      <c r="Y193" s="2">
        <v>1</v>
      </c>
      <c r="Z193" s="2">
        <v>0</v>
      </c>
      <c r="AA193" s="2">
        <v>1</v>
      </c>
      <c r="AB193">
        <v>0.6</v>
      </c>
      <c r="AC193">
        <v>3.2995000000000001</v>
      </c>
    </row>
    <row r="194" spans="1:29">
      <c r="A194" s="2">
        <v>396</v>
      </c>
      <c r="B194" s="2">
        <v>250150202</v>
      </c>
      <c r="C194" s="2">
        <v>250150202</v>
      </c>
      <c r="D194" t="s">
        <v>668</v>
      </c>
      <c r="E194" t="s">
        <v>669</v>
      </c>
      <c r="F194" t="s">
        <v>85</v>
      </c>
      <c r="G194" s="3">
        <v>3.07</v>
      </c>
      <c r="H194" s="2">
        <v>0</v>
      </c>
      <c r="I194" s="2">
        <v>0</v>
      </c>
      <c r="J194" s="2">
        <v>0</v>
      </c>
      <c r="K194" s="6">
        <f t="shared" si="5"/>
        <v>3.07</v>
      </c>
      <c r="L194" s="7">
        <v>0.6</v>
      </c>
      <c r="M194" s="10">
        <f t="shared" si="6"/>
        <v>5.1166666666666663</v>
      </c>
      <c r="N194" t="s">
        <v>30</v>
      </c>
      <c r="O194" t="s">
        <v>30</v>
      </c>
      <c r="P194" t="s">
        <v>404</v>
      </c>
      <c r="Q194" t="s">
        <v>405</v>
      </c>
      <c r="R194" t="s">
        <v>37</v>
      </c>
      <c r="T194" s="2">
        <v>1</v>
      </c>
      <c r="U194" s="2">
        <v>1</v>
      </c>
      <c r="V194" s="2">
        <v>1</v>
      </c>
      <c r="W194" s="2">
        <v>1</v>
      </c>
      <c r="X194" s="2">
        <v>1</v>
      </c>
      <c r="Y194" s="2">
        <v>1</v>
      </c>
      <c r="Z194" s="2">
        <v>0</v>
      </c>
      <c r="AA194" s="2">
        <v>1</v>
      </c>
      <c r="AB194" s="2">
        <v>0</v>
      </c>
      <c r="AC194" s="2">
        <v>0</v>
      </c>
    </row>
    <row r="195" spans="1:29">
      <c r="A195" s="2">
        <v>805</v>
      </c>
      <c r="B195" s="2">
        <v>250150302</v>
      </c>
      <c r="C195" s="2">
        <v>250150302</v>
      </c>
      <c r="D195" t="s">
        <v>670</v>
      </c>
      <c r="E195" t="s">
        <v>671</v>
      </c>
      <c r="F195" t="s">
        <v>85</v>
      </c>
      <c r="G195" s="3">
        <v>3.07</v>
      </c>
      <c r="H195" s="2">
        <v>0</v>
      </c>
      <c r="I195" s="2">
        <v>0</v>
      </c>
      <c r="J195" s="2">
        <v>0</v>
      </c>
      <c r="K195" s="6">
        <f t="shared" ref="K195:K258" si="7">SUM(G195:J195)</f>
        <v>3.07</v>
      </c>
      <c r="L195" s="7">
        <v>0.55000000000000004</v>
      </c>
      <c r="M195" s="10">
        <f t="shared" si="6"/>
        <v>5.5818181818181811</v>
      </c>
      <c r="N195" t="s">
        <v>30</v>
      </c>
      <c r="O195" t="s">
        <v>30</v>
      </c>
      <c r="P195" t="s">
        <v>30</v>
      </c>
      <c r="Q195" t="s">
        <v>405</v>
      </c>
      <c r="R195" t="s">
        <v>416</v>
      </c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2">
        <v>0</v>
      </c>
      <c r="Z195" s="2">
        <v>0</v>
      </c>
      <c r="AA195" s="2">
        <v>1</v>
      </c>
      <c r="AB195" s="2">
        <v>0</v>
      </c>
      <c r="AC195" s="2">
        <v>0</v>
      </c>
    </row>
    <row r="196" spans="1:29">
      <c r="A196" s="2">
        <v>399</v>
      </c>
      <c r="B196" s="2">
        <v>250150402</v>
      </c>
      <c r="C196" s="2">
        <v>250150402</v>
      </c>
      <c r="D196" t="s">
        <v>680</v>
      </c>
      <c r="E196" t="s">
        <v>681</v>
      </c>
      <c r="F196" t="s">
        <v>85</v>
      </c>
      <c r="G196" s="3">
        <v>3.07</v>
      </c>
      <c r="H196" s="2">
        <v>0</v>
      </c>
      <c r="I196" s="2">
        <v>0</v>
      </c>
      <c r="J196" s="2">
        <v>0</v>
      </c>
      <c r="K196" s="6">
        <f t="shared" si="7"/>
        <v>3.07</v>
      </c>
      <c r="L196" s="7">
        <v>0.6</v>
      </c>
      <c r="M196" s="10">
        <f t="shared" ref="M196:M259" si="8">+K196/L196</f>
        <v>5.1166666666666663</v>
      </c>
      <c r="N196" t="s">
        <v>30</v>
      </c>
      <c r="O196" t="s">
        <v>30</v>
      </c>
      <c r="P196" t="s">
        <v>30</v>
      </c>
      <c r="Q196" t="s">
        <v>405</v>
      </c>
      <c r="R196" t="s">
        <v>416</v>
      </c>
      <c r="T196" s="2">
        <v>1</v>
      </c>
      <c r="U196" s="2">
        <v>1</v>
      </c>
      <c r="V196" s="2">
        <v>1</v>
      </c>
      <c r="W196" s="2">
        <v>1</v>
      </c>
      <c r="X196" s="2">
        <v>1</v>
      </c>
      <c r="Y196" s="2">
        <v>0</v>
      </c>
      <c r="Z196" s="2">
        <v>0</v>
      </c>
      <c r="AA196" s="2">
        <v>1</v>
      </c>
      <c r="AB196" s="2">
        <v>0</v>
      </c>
      <c r="AC196" s="2">
        <v>0</v>
      </c>
    </row>
    <row r="197" spans="1:29">
      <c r="A197" s="2">
        <v>400</v>
      </c>
      <c r="B197" s="2">
        <v>250150502</v>
      </c>
      <c r="C197" s="2">
        <v>250150502</v>
      </c>
      <c r="D197" t="s">
        <v>682</v>
      </c>
      <c r="E197" t="s">
        <v>683</v>
      </c>
      <c r="F197" t="s">
        <v>85</v>
      </c>
      <c r="G197" s="3">
        <v>3.07</v>
      </c>
      <c r="H197" s="2">
        <v>0</v>
      </c>
      <c r="I197" s="2">
        <v>0</v>
      </c>
      <c r="J197" s="2">
        <v>0</v>
      </c>
      <c r="K197" s="6">
        <f t="shared" si="7"/>
        <v>3.07</v>
      </c>
      <c r="L197" s="7">
        <v>0.6</v>
      </c>
      <c r="M197" s="10">
        <f t="shared" si="8"/>
        <v>5.1166666666666663</v>
      </c>
      <c r="N197" t="s">
        <v>374</v>
      </c>
      <c r="O197" t="s">
        <v>30</v>
      </c>
      <c r="P197" t="s">
        <v>374</v>
      </c>
      <c r="Q197" t="s">
        <v>447</v>
      </c>
      <c r="T197" s="2">
        <v>1</v>
      </c>
      <c r="U197" s="2">
        <v>1</v>
      </c>
      <c r="V197" s="2">
        <v>1</v>
      </c>
      <c r="W197" s="2">
        <v>1</v>
      </c>
      <c r="X197" s="2">
        <v>1</v>
      </c>
      <c r="Y197" s="2">
        <v>1</v>
      </c>
      <c r="Z197" s="2">
        <v>0</v>
      </c>
      <c r="AA197" s="2">
        <v>1</v>
      </c>
      <c r="AB197" s="2">
        <v>0</v>
      </c>
      <c r="AC197" s="2">
        <v>0</v>
      </c>
    </row>
    <row r="198" spans="1:29">
      <c r="A198" s="2">
        <v>639</v>
      </c>
      <c r="B198" s="2">
        <v>250150902</v>
      </c>
      <c r="C198" s="2">
        <v>250150902</v>
      </c>
      <c r="D198" t="s">
        <v>686</v>
      </c>
      <c r="F198" t="s">
        <v>85</v>
      </c>
      <c r="G198" s="3">
        <v>3.07</v>
      </c>
      <c r="H198" s="2">
        <v>0</v>
      </c>
      <c r="I198" s="2">
        <v>0</v>
      </c>
      <c r="J198" s="2">
        <v>0</v>
      </c>
      <c r="K198" s="6">
        <f t="shared" si="7"/>
        <v>3.07</v>
      </c>
      <c r="L198" s="7">
        <v>0.6</v>
      </c>
      <c r="M198" s="10">
        <f t="shared" si="8"/>
        <v>5.1166666666666663</v>
      </c>
      <c r="N198" t="s">
        <v>30</v>
      </c>
      <c r="O198" t="s">
        <v>30</v>
      </c>
      <c r="P198" t="s">
        <v>404</v>
      </c>
      <c r="Q198" t="s">
        <v>405</v>
      </c>
      <c r="R198" t="s">
        <v>37</v>
      </c>
      <c r="T198" s="2">
        <v>1</v>
      </c>
      <c r="U198" s="2">
        <v>1</v>
      </c>
      <c r="V198" s="2">
        <v>1</v>
      </c>
      <c r="W198" s="2">
        <v>1</v>
      </c>
      <c r="X198" s="2">
        <v>1</v>
      </c>
      <c r="Y198" s="2">
        <v>1</v>
      </c>
      <c r="Z198" s="2">
        <v>0</v>
      </c>
      <c r="AA198" s="2">
        <v>1</v>
      </c>
      <c r="AB198" s="2">
        <v>0</v>
      </c>
      <c r="AC198" s="2">
        <v>0</v>
      </c>
    </row>
    <row r="199" spans="1:29">
      <c r="A199" s="2">
        <v>376</v>
      </c>
      <c r="B199" s="2">
        <v>250450199</v>
      </c>
      <c r="C199" s="2">
        <v>250450199</v>
      </c>
      <c r="D199" t="s">
        <v>711</v>
      </c>
      <c r="E199" t="s">
        <v>712</v>
      </c>
      <c r="F199" t="s">
        <v>45</v>
      </c>
      <c r="G199" s="3">
        <v>3.07</v>
      </c>
      <c r="H199" s="2">
        <v>0</v>
      </c>
      <c r="I199" s="2">
        <v>0</v>
      </c>
      <c r="J199" s="2">
        <v>0</v>
      </c>
      <c r="K199" s="6">
        <f t="shared" si="7"/>
        <v>3.07</v>
      </c>
      <c r="L199" s="7">
        <v>0.6</v>
      </c>
      <c r="M199" s="10">
        <f t="shared" si="8"/>
        <v>5.1166666666666663</v>
      </c>
      <c r="N199" t="s">
        <v>30</v>
      </c>
      <c r="O199" t="s">
        <v>30</v>
      </c>
      <c r="P199" t="s">
        <v>30</v>
      </c>
      <c r="Q199" t="s">
        <v>405</v>
      </c>
      <c r="R199" t="s">
        <v>416</v>
      </c>
      <c r="T199" s="2">
        <v>1</v>
      </c>
      <c r="U199" s="2">
        <v>1</v>
      </c>
      <c r="V199" s="2">
        <v>1</v>
      </c>
      <c r="W199" s="2">
        <v>1</v>
      </c>
      <c r="X199" s="2">
        <v>1</v>
      </c>
      <c r="Y199" s="2">
        <v>0</v>
      </c>
      <c r="Z199" s="2">
        <v>0</v>
      </c>
      <c r="AA199" s="2">
        <v>1</v>
      </c>
      <c r="AB199" s="2">
        <v>0</v>
      </c>
      <c r="AC199" s="2">
        <v>0</v>
      </c>
    </row>
    <row r="200" spans="1:29">
      <c r="A200" s="2">
        <v>625</v>
      </c>
      <c r="B200" s="2">
        <v>250450200</v>
      </c>
      <c r="C200" s="2">
        <v>250450200</v>
      </c>
      <c r="D200" t="s">
        <v>713</v>
      </c>
      <c r="E200" t="s">
        <v>712</v>
      </c>
      <c r="F200" t="s">
        <v>45</v>
      </c>
      <c r="G200" s="3">
        <v>3.07</v>
      </c>
      <c r="H200" s="2">
        <v>0</v>
      </c>
      <c r="I200" s="2">
        <v>0</v>
      </c>
      <c r="J200" s="2">
        <v>0</v>
      </c>
      <c r="K200" s="6">
        <f t="shared" si="7"/>
        <v>3.07</v>
      </c>
      <c r="L200" s="7">
        <v>0.6</v>
      </c>
      <c r="M200" s="10">
        <f t="shared" si="8"/>
        <v>5.1166666666666663</v>
      </c>
      <c r="N200" t="s">
        <v>30</v>
      </c>
      <c r="O200" t="s">
        <v>30</v>
      </c>
      <c r="P200" t="s">
        <v>404</v>
      </c>
      <c r="Q200" t="s">
        <v>405</v>
      </c>
      <c r="R200" t="s">
        <v>37</v>
      </c>
      <c r="T200" s="2">
        <v>1</v>
      </c>
      <c r="U200" s="2">
        <v>1</v>
      </c>
      <c r="V200" s="2">
        <v>1</v>
      </c>
      <c r="W200" s="2">
        <v>1</v>
      </c>
      <c r="X200" s="2">
        <v>1</v>
      </c>
      <c r="Y200" s="2">
        <v>1</v>
      </c>
      <c r="Z200" s="2">
        <v>0</v>
      </c>
      <c r="AA200" s="2">
        <v>1</v>
      </c>
      <c r="AB200" s="2">
        <v>0</v>
      </c>
      <c r="AC200" s="2">
        <v>0</v>
      </c>
    </row>
    <row r="201" spans="1:29">
      <c r="A201" s="2">
        <v>368</v>
      </c>
      <c r="B201" s="2">
        <v>250450201</v>
      </c>
      <c r="C201" s="2">
        <v>250450201</v>
      </c>
      <c r="D201" t="s">
        <v>714</v>
      </c>
      <c r="E201" t="s">
        <v>715</v>
      </c>
      <c r="F201" t="s">
        <v>89</v>
      </c>
      <c r="G201" s="3">
        <v>3.07</v>
      </c>
      <c r="H201" s="2">
        <v>0</v>
      </c>
      <c r="I201" s="2">
        <v>0</v>
      </c>
      <c r="J201" s="2">
        <v>0</v>
      </c>
      <c r="K201" s="6">
        <f t="shared" si="7"/>
        <v>3.07</v>
      </c>
      <c r="L201" s="7">
        <v>0.6</v>
      </c>
      <c r="M201" s="10">
        <f t="shared" si="8"/>
        <v>5.1166666666666663</v>
      </c>
      <c r="N201" t="s">
        <v>30</v>
      </c>
      <c r="O201" t="s">
        <v>30</v>
      </c>
      <c r="P201" t="s">
        <v>404</v>
      </c>
      <c r="Q201" t="s">
        <v>405</v>
      </c>
      <c r="R201" t="s">
        <v>37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0</v>
      </c>
      <c r="Z201" s="2">
        <v>0</v>
      </c>
      <c r="AA201" s="2">
        <v>1</v>
      </c>
      <c r="AB201" s="2">
        <v>0</v>
      </c>
      <c r="AC201" s="2">
        <v>0</v>
      </c>
    </row>
    <row r="202" spans="1:29">
      <c r="A202" s="2">
        <v>636</v>
      </c>
      <c r="B202" s="2">
        <v>250450202</v>
      </c>
      <c r="C202" s="2">
        <v>250450202</v>
      </c>
      <c r="D202" t="s">
        <v>716</v>
      </c>
      <c r="E202" s="2">
        <v>250450202</v>
      </c>
      <c r="F202" t="s">
        <v>45</v>
      </c>
      <c r="G202" s="3">
        <v>3.07</v>
      </c>
      <c r="H202" s="2">
        <v>0</v>
      </c>
      <c r="I202" s="2">
        <v>0</v>
      </c>
      <c r="J202" s="2">
        <v>0</v>
      </c>
      <c r="K202" s="6">
        <f t="shared" si="7"/>
        <v>3.07</v>
      </c>
      <c r="L202" s="7">
        <v>0.6</v>
      </c>
      <c r="M202" s="10">
        <f t="shared" si="8"/>
        <v>5.1166666666666663</v>
      </c>
      <c r="N202" t="s">
        <v>30</v>
      </c>
      <c r="O202" t="s">
        <v>30</v>
      </c>
      <c r="P202" t="s">
        <v>71</v>
      </c>
      <c r="Q202" t="s">
        <v>66</v>
      </c>
      <c r="R202" t="s">
        <v>81</v>
      </c>
      <c r="T202" s="2">
        <v>1</v>
      </c>
      <c r="U202" s="2">
        <v>1</v>
      </c>
      <c r="V202" s="2">
        <v>1</v>
      </c>
      <c r="W202" s="2">
        <v>1</v>
      </c>
      <c r="X202" s="2">
        <v>1</v>
      </c>
      <c r="Y202" s="2">
        <v>0</v>
      </c>
      <c r="Z202" s="2">
        <v>0</v>
      </c>
      <c r="AA202" s="2">
        <v>1</v>
      </c>
      <c r="AB202" s="2">
        <v>0</v>
      </c>
      <c r="AC202" s="2">
        <v>0</v>
      </c>
    </row>
    <row r="203" spans="1:29">
      <c r="A203" s="2">
        <v>626</v>
      </c>
      <c r="B203" s="2">
        <v>250450203</v>
      </c>
      <c r="C203" s="2">
        <v>250450203</v>
      </c>
      <c r="D203" t="s">
        <v>718</v>
      </c>
      <c r="E203" t="s">
        <v>719</v>
      </c>
      <c r="F203" t="s">
        <v>45</v>
      </c>
      <c r="G203" s="3">
        <v>3.07</v>
      </c>
      <c r="H203" s="2">
        <v>0</v>
      </c>
      <c r="I203" s="2">
        <v>0</v>
      </c>
      <c r="J203" s="2">
        <v>0</v>
      </c>
      <c r="K203" s="6">
        <f t="shared" si="7"/>
        <v>3.07</v>
      </c>
      <c r="L203" s="7">
        <v>0.55000179153677997</v>
      </c>
      <c r="M203" s="10">
        <f t="shared" si="8"/>
        <v>5.581800000000003</v>
      </c>
      <c r="N203" t="s">
        <v>30</v>
      </c>
      <c r="O203" t="s">
        <v>30</v>
      </c>
      <c r="P203" t="s">
        <v>404</v>
      </c>
      <c r="Q203" t="s">
        <v>447</v>
      </c>
      <c r="R203" t="s">
        <v>37</v>
      </c>
      <c r="T203" s="2">
        <v>1</v>
      </c>
      <c r="U203" s="2">
        <v>1</v>
      </c>
      <c r="V203" s="2">
        <v>1</v>
      </c>
      <c r="W203" s="2">
        <v>1</v>
      </c>
      <c r="X203" s="2">
        <v>1</v>
      </c>
      <c r="Y203" s="2">
        <v>1</v>
      </c>
      <c r="Z203" s="2">
        <v>0</v>
      </c>
      <c r="AA203" s="2">
        <v>1</v>
      </c>
      <c r="AB203">
        <v>0.5</v>
      </c>
      <c r="AC203" s="2">
        <v>10</v>
      </c>
    </row>
    <row r="204" spans="1:29">
      <c r="A204" s="2">
        <v>624</v>
      </c>
      <c r="B204" s="2">
        <v>250450223</v>
      </c>
      <c r="C204" s="2">
        <v>250450223</v>
      </c>
      <c r="D204" t="s">
        <v>730</v>
      </c>
      <c r="E204" t="s">
        <v>731</v>
      </c>
      <c r="F204" t="s">
        <v>45</v>
      </c>
      <c r="G204" s="3">
        <v>3.07</v>
      </c>
      <c r="H204" s="2">
        <v>0</v>
      </c>
      <c r="I204" s="2">
        <v>0</v>
      </c>
      <c r="J204" s="2">
        <v>0</v>
      </c>
      <c r="K204" s="6">
        <f t="shared" si="7"/>
        <v>3.07</v>
      </c>
      <c r="L204" s="7">
        <v>0.6</v>
      </c>
      <c r="M204" s="10">
        <f t="shared" si="8"/>
        <v>5.1166666666666663</v>
      </c>
      <c r="N204" t="s">
        <v>30</v>
      </c>
      <c r="O204" t="s">
        <v>30</v>
      </c>
      <c r="P204" t="s">
        <v>30</v>
      </c>
      <c r="Q204" t="s">
        <v>405</v>
      </c>
      <c r="R204" t="s">
        <v>416</v>
      </c>
      <c r="T204" s="2">
        <v>1</v>
      </c>
      <c r="U204" s="2">
        <v>1</v>
      </c>
      <c r="V204" s="2">
        <v>1</v>
      </c>
      <c r="W204" s="2">
        <v>1</v>
      </c>
      <c r="X204" s="2">
        <v>1</v>
      </c>
      <c r="Y204" s="2">
        <v>0</v>
      </c>
      <c r="Z204" s="2">
        <v>0</v>
      </c>
      <c r="AA204" s="2">
        <v>1</v>
      </c>
      <c r="AB204" s="2">
        <v>0</v>
      </c>
      <c r="AC204" s="2">
        <v>0</v>
      </c>
    </row>
    <row r="205" spans="1:29">
      <c r="A205" s="2">
        <v>383</v>
      </c>
      <c r="B205" s="2">
        <v>250450298</v>
      </c>
      <c r="C205" s="2">
        <v>250450298</v>
      </c>
      <c r="D205" t="s">
        <v>733</v>
      </c>
      <c r="E205" t="s">
        <v>734</v>
      </c>
      <c r="F205" t="s">
        <v>45</v>
      </c>
      <c r="G205" s="3">
        <v>3.07</v>
      </c>
      <c r="H205" s="2">
        <v>0</v>
      </c>
      <c r="I205" s="2">
        <v>0</v>
      </c>
      <c r="J205" s="2">
        <v>0</v>
      </c>
      <c r="K205" s="6">
        <f t="shared" si="7"/>
        <v>3.07</v>
      </c>
      <c r="L205" s="7">
        <v>0.6</v>
      </c>
      <c r="M205" s="10">
        <f t="shared" si="8"/>
        <v>5.1166666666666663</v>
      </c>
      <c r="N205" t="s">
        <v>35</v>
      </c>
      <c r="O205" t="s">
        <v>30</v>
      </c>
      <c r="P205" t="s">
        <v>122</v>
      </c>
      <c r="Q205" t="s">
        <v>119</v>
      </c>
      <c r="R205" t="s">
        <v>495</v>
      </c>
      <c r="T205" s="2">
        <v>1</v>
      </c>
      <c r="U205" s="2">
        <v>1</v>
      </c>
      <c r="V205" s="2">
        <v>1</v>
      </c>
      <c r="W205" s="2">
        <v>1</v>
      </c>
      <c r="X205" s="2">
        <v>0</v>
      </c>
      <c r="Y205" s="2">
        <v>1</v>
      </c>
      <c r="Z205" s="2">
        <v>0</v>
      </c>
      <c r="AA205" s="2">
        <v>1</v>
      </c>
      <c r="AB205">
        <v>0.6</v>
      </c>
      <c r="AC205">
        <v>3.5661999999999998</v>
      </c>
    </row>
    <row r="206" spans="1:29">
      <c r="A206" s="2">
        <v>628</v>
      </c>
      <c r="B206" s="2">
        <v>250450301</v>
      </c>
      <c r="C206" s="2">
        <v>250450301</v>
      </c>
      <c r="D206" t="s">
        <v>735</v>
      </c>
      <c r="E206" t="s">
        <v>736</v>
      </c>
      <c r="F206" t="s">
        <v>578</v>
      </c>
      <c r="G206" s="3">
        <v>3.07</v>
      </c>
      <c r="H206" s="2">
        <v>0</v>
      </c>
      <c r="I206" s="2">
        <v>0</v>
      </c>
      <c r="J206" s="2">
        <v>0</v>
      </c>
      <c r="K206" s="6">
        <f t="shared" si="7"/>
        <v>3.07</v>
      </c>
      <c r="L206" s="7">
        <v>0.55000179153677997</v>
      </c>
      <c r="M206" s="10">
        <f t="shared" si="8"/>
        <v>5.581800000000003</v>
      </c>
      <c r="N206" t="s">
        <v>35</v>
      </c>
      <c r="O206" t="s">
        <v>30</v>
      </c>
      <c r="P206" t="s">
        <v>122</v>
      </c>
      <c r="Q206" t="s">
        <v>119</v>
      </c>
      <c r="R206" t="s">
        <v>498</v>
      </c>
      <c r="T206" s="2">
        <v>1</v>
      </c>
      <c r="U206" s="2">
        <v>1</v>
      </c>
      <c r="V206" s="2">
        <v>1</v>
      </c>
      <c r="W206" s="2">
        <v>1</v>
      </c>
      <c r="X206" s="2">
        <v>0</v>
      </c>
      <c r="Y206" s="2">
        <v>1</v>
      </c>
      <c r="Z206" s="2">
        <v>0</v>
      </c>
      <c r="AA206" s="2">
        <v>1</v>
      </c>
      <c r="AB206">
        <v>0.6</v>
      </c>
      <c r="AC206">
        <v>3.5661999999999998</v>
      </c>
    </row>
    <row r="207" spans="1:29">
      <c r="A207" s="2">
        <v>870</v>
      </c>
      <c r="B207" s="2">
        <v>250450305</v>
      </c>
      <c r="C207" s="2">
        <v>250450305</v>
      </c>
      <c r="D207" t="s">
        <v>737</v>
      </c>
      <c r="E207" t="s">
        <v>738</v>
      </c>
      <c r="F207" t="s">
        <v>85</v>
      </c>
      <c r="G207" s="3">
        <v>3.07</v>
      </c>
      <c r="H207" s="2">
        <v>0</v>
      </c>
      <c r="I207" s="2">
        <v>0</v>
      </c>
      <c r="J207" s="2">
        <v>0</v>
      </c>
      <c r="K207" s="6">
        <f t="shared" si="7"/>
        <v>3.07</v>
      </c>
      <c r="L207" s="7">
        <v>0.55000000000000004</v>
      </c>
      <c r="M207" s="10">
        <f t="shared" si="8"/>
        <v>5.5818181818181811</v>
      </c>
      <c r="N207" t="s">
        <v>30</v>
      </c>
      <c r="O207" t="s">
        <v>30</v>
      </c>
      <c r="P207" t="s">
        <v>40</v>
      </c>
      <c r="Q207" t="s">
        <v>41</v>
      </c>
      <c r="R207" t="s">
        <v>37</v>
      </c>
      <c r="T207" s="2">
        <v>1</v>
      </c>
      <c r="U207" s="2">
        <v>1</v>
      </c>
      <c r="V207" s="2">
        <v>1</v>
      </c>
      <c r="W207" s="2">
        <v>1</v>
      </c>
      <c r="X207" s="2">
        <v>1</v>
      </c>
      <c r="Y207" s="2">
        <v>1</v>
      </c>
      <c r="Z207" s="2">
        <v>0</v>
      </c>
      <c r="AA207" s="2">
        <v>1</v>
      </c>
      <c r="AB207" s="2">
        <v>0</v>
      </c>
      <c r="AC207" s="2">
        <v>0</v>
      </c>
    </row>
    <row r="208" spans="1:29">
      <c r="A208" s="2">
        <v>379</v>
      </c>
      <c r="B208" s="2">
        <v>250450323</v>
      </c>
      <c r="C208" s="2">
        <v>250450323</v>
      </c>
      <c r="D208" t="s">
        <v>739</v>
      </c>
      <c r="E208" t="s">
        <v>731</v>
      </c>
      <c r="F208" t="s">
        <v>141</v>
      </c>
      <c r="G208" s="3">
        <v>3.07</v>
      </c>
      <c r="H208" s="2">
        <v>0</v>
      </c>
      <c r="I208" s="2">
        <v>0</v>
      </c>
      <c r="J208" s="2">
        <v>0</v>
      </c>
      <c r="K208" s="6">
        <f t="shared" si="7"/>
        <v>3.07</v>
      </c>
      <c r="L208" s="7">
        <v>0.6</v>
      </c>
      <c r="M208" s="10">
        <f t="shared" si="8"/>
        <v>5.1166666666666663</v>
      </c>
      <c r="N208" t="s">
        <v>30</v>
      </c>
      <c r="O208" t="s">
        <v>30</v>
      </c>
      <c r="P208" t="s">
        <v>40</v>
      </c>
      <c r="Q208" t="s">
        <v>41</v>
      </c>
      <c r="R208" t="s">
        <v>37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0</v>
      </c>
      <c r="AA208" s="2">
        <v>1</v>
      </c>
      <c r="AB208" s="2">
        <v>0</v>
      </c>
      <c r="AC208" s="2">
        <v>0</v>
      </c>
    </row>
    <row r="209" spans="1:29">
      <c r="A209" s="2">
        <v>629</v>
      </c>
      <c r="B209" s="2">
        <v>250450498</v>
      </c>
      <c r="C209" s="2">
        <v>250450498</v>
      </c>
      <c r="D209" t="s">
        <v>740</v>
      </c>
      <c r="F209" t="s">
        <v>45</v>
      </c>
      <c r="G209" s="3">
        <v>3.07</v>
      </c>
      <c r="H209" s="2">
        <v>0</v>
      </c>
      <c r="I209" s="2">
        <v>0</v>
      </c>
      <c r="J209" s="2">
        <v>0</v>
      </c>
      <c r="K209" s="6">
        <f t="shared" si="7"/>
        <v>3.07</v>
      </c>
      <c r="L209" s="7">
        <v>0.6</v>
      </c>
      <c r="M209" s="10">
        <f t="shared" si="8"/>
        <v>5.1166666666666663</v>
      </c>
      <c r="N209" t="s">
        <v>30</v>
      </c>
      <c r="O209" t="s">
        <v>30</v>
      </c>
      <c r="P209" t="s">
        <v>40</v>
      </c>
      <c r="Q209" t="s">
        <v>41</v>
      </c>
      <c r="R209" t="s">
        <v>37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2">
        <v>1</v>
      </c>
      <c r="Z209" s="2">
        <v>0</v>
      </c>
      <c r="AA209" s="2">
        <v>1</v>
      </c>
      <c r="AB209" s="2">
        <v>0</v>
      </c>
      <c r="AC209" s="2">
        <v>0</v>
      </c>
    </row>
    <row r="210" spans="1:29">
      <c r="A210" s="2">
        <v>808</v>
      </c>
      <c r="B210" s="2">
        <v>250450823</v>
      </c>
      <c r="C210" s="2">
        <v>250450823</v>
      </c>
      <c r="D210" t="s">
        <v>744</v>
      </c>
      <c r="E210" s="2">
        <v>86235</v>
      </c>
      <c r="F210" t="s">
        <v>75</v>
      </c>
      <c r="G210" s="3">
        <v>3.07</v>
      </c>
      <c r="H210" s="2">
        <v>0</v>
      </c>
      <c r="I210" s="2">
        <v>0</v>
      </c>
      <c r="J210" s="2">
        <v>0</v>
      </c>
      <c r="K210" s="6">
        <f t="shared" si="7"/>
        <v>3.07</v>
      </c>
      <c r="L210" s="7">
        <v>0.55000000000000004</v>
      </c>
      <c r="M210" s="10">
        <f t="shared" si="8"/>
        <v>5.5818181818181811</v>
      </c>
      <c r="N210" t="s">
        <v>30</v>
      </c>
      <c r="O210" t="s">
        <v>30</v>
      </c>
      <c r="P210" t="s">
        <v>508</v>
      </c>
      <c r="Q210" t="s">
        <v>41</v>
      </c>
      <c r="R210" t="s">
        <v>37</v>
      </c>
      <c r="T210" s="2">
        <v>1</v>
      </c>
      <c r="U210" s="2">
        <v>1</v>
      </c>
      <c r="V210" s="2">
        <v>1</v>
      </c>
      <c r="W210" s="2">
        <v>1</v>
      </c>
      <c r="X210" s="2">
        <v>1</v>
      </c>
      <c r="Y210" s="2">
        <v>1</v>
      </c>
      <c r="Z210" s="2">
        <v>0</v>
      </c>
      <c r="AA210" s="2">
        <v>1</v>
      </c>
      <c r="AB210" s="2">
        <v>0</v>
      </c>
      <c r="AC210" s="2">
        <v>0</v>
      </c>
    </row>
    <row r="211" spans="1:29">
      <c r="A211" s="2">
        <v>374</v>
      </c>
      <c r="B211" s="2">
        <v>250450923</v>
      </c>
      <c r="C211" s="2">
        <v>250450923</v>
      </c>
      <c r="D211" t="s">
        <v>746</v>
      </c>
      <c r="E211" t="s">
        <v>747</v>
      </c>
      <c r="F211" t="s">
        <v>45</v>
      </c>
      <c r="G211" s="3">
        <v>3.07</v>
      </c>
      <c r="H211" s="2">
        <v>0</v>
      </c>
      <c r="I211" s="2">
        <v>0</v>
      </c>
      <c r="J211" s="2">
        <v>0</v>
      </c>
      <c r="K211" s="6">
        <f t="shared" si="7"/>
        <v>3.07</v>
      </c>
      <c r="L211" s="7">
        <v>0.6</v>
      </c>
      <c r="M211" s="10">
        <f t="shared" si="8"/>
        <v>5.1166666666666663</v>
      </c>
      <c r="N211" t="s">
        <v>510</v>
      </c>
      <c r="O211" t="s">
        <v>30</v>
      </c>
      <c r="P211" t="s">
        <v>510</v>
      </c>
      <c r="Q211" t="s">
        <v>511</v>
      </c>
      <c r="R211" t="s">
        <v>512</v>
      </c>
      <c r="S211" t="s">
        <v>513</v>
      </c>
      <c r="T211" s="2">
        <v>1</v>
      </c>
      <c r="U211" s="2">
        <v>1</v>
      </c>
      <c r="V211" s="2">
        <v>1</v>
      </c>
      <c r="W211" s="2">
        <v>1</v>
      </c>
      <c r="X211" s="2">
        <v>1</v>
      </c>
      <c r="Y211" s="2">
        <v>1</v>
      </c>
      <c r="Z211" s="2">
        <v>0</v>
      </c>
      <c r="AA211" s="2">
        <v>1</v>
      </c>
      <c r="AB211" s="2">
        <v>0</v>
      </c>
      <c r="AC211" s="2">
        <v>0</v>
      </c>
    </row>
    <row r="212" spans="1:29">
      <c r="A212" s="2">
        <v>398</v>
      </c>
      <c r="B212" t="s">
        <v>1132</v>
      </c>
      <c r="C212" t="s">
        <v>1132</v>
      </c>
      <c r="D212" t="s">
        <v>1172</v>
      </c>
      <c r="E212" t="s">
        <v>671</v>
      </c>
      <c r="F212" t="s">
        <v>85</v>
      </c>
      <c r="G212" s="3">
        <v>3.07</v>
      </c>
      <c r="H212" s="2">
        <v>0</v>
      </c>
      <c r="I212" s="2">
        <v>0</v>
      </c>
      <c r="J212" s="2">
        <v>0</v>
      </c>
      <c r="K212" s="6">
        <f t="shared" si="7"/>
        <v>3.07</v>
      </c>
      <c r="L212" s="7">
        <v>0.55000000000000004</v>
      </c>
      <c r="M212" s="10">
        <f t="shared" si="8"/>
        <v>5.5818181818181811</v>
      </c>
      <c r="N212" t="s">
        <v>30</v>
      </c>
      <c r="O212" t="s">
        <v>30</v>
      </c>
      <c r="P212" t="s">
        <v>30</v>
      </c>
      <c r="Q212" t="s">
        <v>66</v>
      </c>
      <c r="R212" t="s">
        <v>66</v>
      </c>
      <c r="T212" s="2">
        <v>1</v>
      </c>
      <c r="U212" s="2">
        <v>1</v>
      </c>
      <c r="V212" s="2">
        <v>1</v>
      </c>
      <c r="W212" s="2">
        <v>1</v>
      </c>
      <c r="X212" s="2">
        <v>1</v>
      </c>
      <c r="Y212" s="2">
        <v>0</v>
      </c>
      <c r="Z212" s="2">
        <v>0</v>
      </c>
      <c r="AA212" s="2">
        <v>1</v>
      </c>
      <c r="AB212" s="2">
        <v>0</v>
      </c>
      <c r="AC212" s="2">
        <v>0</v>
      </c>
    </row>
    <row r="213" spans="1:29">
      <c r="A213" s="2">
        <v>589</v>
      </c>
      <c r="B213" s="2">
        <v>251850204</v>
      </c>
      <c r="C213" s="2">
        <v>251850204</v>
      </c>
      <c r="D213" t="s">
        <v>776</v>
      </c>
      <c r="F213" t="s">
        <v>777</v>
      </c>
      <c r="G213">
        <v>3.0708000000000002</v>
      </c>
      <c r="H213" s="2">
        <v>0</v>
      </c>
      <c r="I213" s="2">
        <v>0</v>
      </c>
      <c r="J213" s="2">
        <v>0</v>
      </c>
      <c r="K213" s="6">
        <f t="shared" si="7"/>
        <v>3.0708000000000002</v>
      </c>
      <c r="L213" s="7">
        <v>0.46</v>
      </c>
      <c r="M213" s="10">
        <f t="shared" si="8"/>
        <v>6.6756521739130434</v>
      </c>
      <c r="N213" t="s">
        <v>510</v>
      </c>
      <c r="O213" t="s">
        <v>518</v>
      </c>
      <c r="P213" t="s">
        <v>510</v>
      </c>
      <c r="Q213" t="s">
        <v>53</v>
      </c>
      <c r="T213" s="2">
        <v>1</v>
      </c>
      <c r="U213" s="2">
        <v>1</v>
      </c>
      <c r="V213" s="2">
        <v>1</v>
      </c>
      <c r="W213" s="2">
        <v>1</v>
      </c>
      <c r="X213" s="2">
        <v>1</v>
      </c>
      <c r="Y213" s="2">
        <v>0</v>
      </c>
      <c r="Z213" s="2">
        <v>0</v>
      </c>
      <c r="AA213" s="2">
        <v>1</v>
      </c>
      <c r="AB213" s="2">
        <v>0</v>
      </c>
      <c r="AC213" s="2">
        <v>0</v>
      </c>
    </row>
    <row r="214" spans="1:29">
      <c r="A214" s="2">
        <v>240</v>
      </c>
      <c r="B214" s="2">
        <v>242001308</v>
      </c>
      <c r="C214" s="2">
        <v>242001308</v>
      </c>
      <c r="D214" t="s">
        <v>389</v>
      </c>
      <c r="E214" t="s">
        <v>390</v>
      </c>
      <c r="F214" t="s">
        <v>85</v>
      </c>
      <c r="G214" s="3">
        <f>+VLOOKUP(B214,'[1]master_prod_15todos(30-11-2 (2)'!$B$2:$AF$470,31,FALSE)</f>
        <v>3.0874999999999999</v>
      </c>
      <c r="H214" s="2">
        <v>0</v>
      </c>
      <c r="I214" s="2">
        <v>0</v>
      </c>
      <c r="J214" s="2">
        <v>0</v>
      </c>
      <c r="K214" s="6">
        <f t="shared" si="7"/>
        <v>3.0874999999999999</v>
      </c>
      <c r="L214" s="7">
        <f>+VLOOKUP(B214,'[1]master_prod_15todos(30-11-2 (2)'!$B$2:$AG$470,32,FALSE)</f>
        <v>0.8</v>
      </c>
      <c r="M214" s="10">
        <f t="shared" si="8"/>
        <v>3.8593749999999996</v>
      </c>
      <c r="N214" t="s">
        <v>164</v>
      </c>
      <c r="O214" t="s">
        <v>30</v>
      </c>
      <c r="P214" t="s">
        <v>71</v>
      </c>
      <c r="Q214" t="s">
        <v>521</v>
      </c>
      <c r="R214" t="s">
        <v>81</v>
      </c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  <c r="Z214" s="2">
        <v>0</v>
      </c>
      <c r="AA214" s="2">
        <v>1</v>
      </c>
      <c r="AB214" s="2">
        <v>0</v>
      </c>
      <c r="AC214" s="2">
        <v>0</v>
      </c>
    </row>
    <row r="215" spans="1:29">
      <c r="A215" s="2">
        <v>747</v>
      </c>
      <c r="B215" s="2">
        <v>250600304</v>
      </c>
      <c r="C215" s="2">
        <v>250600304</v>
      </c>
      <c r="D215" t="s">
        <v>765</v>
      </c>
      <c r="F215" t="s">
        <v>219</v>
      </c>
      <c r="G215">
        <v>3.1274999999999999</v>
      </c>
      <c r="H215" s="2">
        <v>0</v>
      </c>
      <c r="I215" s="2">
        <v>0</v>
      </c>
      <c r="J215" s="2">
        <v>0</v>
      </c>
      <c r="K215" s="6">
        <f t="shared" si="7"/>
        <v>3.1274999999999999</v>
      </c>
      <c r="L215" s="7">
        <v>0.45</v>
      </c>
      <c r="M215" s="10">
        <f t="shared" si="8"/>
        <v>6.9499999999999993</v>
      </c>
      <c r="N215" t="s">
        <v>523</v>
      </c>
      <c r="O215" t="s">
        <v>523</v>
      </c>
      <c r="P215" t="s">
        <v>510</v>
      </c>
      <c r="Q215" t="s">
        <v>53</v>
      </c>
      <c r="T215" s="2">
        <v>1</v>
      </c>
      <c r="U215" s="2">
        <v>1</v>
      </c>
      <c r="V215" s="2">
        <v>1</v>
      </c>
      <c r="W215" s="2">
        <v>1</v>
      </c>
      <c r="X215" s="2">
        <v>1</v>
      </c>
      <c r="Y215" s="2">
        <v>1</v>
      </c>
      <c r="Z215" s="2">
        <v>0</v>
      </c>
      <c r="AA215" s="2">
        <v>1</v>
      </c>
      <c r="AB215" s="2">
        <v>0</v>
      </c>
      <c r="AC215" s="2">
        <v>0</v>
      </c>
    </row>
    <row r="216" spans="1:29">
      <c r="A216" s="2">
        <v>677</v>
      </c>
      <c r="B216" s="2">
        <v>242300101</v>
      </c>
      <c r="C216" s="2">
        <v>242300101</v>
      </c>
      <c r="D216" t="s">
        <v>509</v>
      </c>
      <c r="F216" t="s">
        <v>166</v>
      </c>
      <c r="G216" s="3">
        <v>3.25</v>
      </c>
      <c r="H216" s="2">
        <v>0</v>
      </c>
      <c r="I216" s="2">
        <v>0</v>
      </c>
      <c r="J216" s="2">
        <v>0</v>
      </c>
      <c r="K216" s="6">
        <f t="shared" si="7"/>
        <v>3.25</v>
      </c>
      <c r="L216" s="7">
        <v>0.6</v>
      </c>
      <c r="M216" s="10">
        <f t="shared" si="8"/>
        <v>5.416666666666667</v>
      </c>
      <c r="N216" t="s">
        <v>374</v>
      </c>
      <c r="O216" t="s">
        <v>374</v>
      </c>
      <c r="P216" t="s">
        <v>526</v>
      </c>
      <c r="Q216" t="s">
        <v>53</v>
      </c>
      <c r="T216" s="2">
        <v>1</v>
      </c>
      <c r="U216" s="2">
        <v>1</v>
      </c>
      <c r="V216" s="2">
        <v>1</v>
      </c>
      <c r="W216" s="2">
        <v>1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0</v>
      </c>
    </row>
    <row r="217" spans="1:29">
      <c r="A217" s="2">
        <v>682</v>
      </c>
      <c r="B217" s="2">
        <v>241250115</v>
      </c>
      <c r="C217" s="2">
        <v>241250115</v>
      </c>
      <c r="D217" t="s">
        <v>284</v>
      </c>
      <c r="F217" t="s">
        <v>282</v>
      </c>
      <c r="G217" s="3">
        <f>+VLOOKUP(B217,'[1]master_prod_15todos(30-11-2 (2)'!$B$2:$AF$470,31,FALSE)</f>
        <v>3.26</v>
      </c>
      <c r="H217" s="2">
        <v>0</v>
      </c>
      <c r="I217" s="2">
        <v>0</v>
      </c>
      <c r="J217" s="2">
        <v>0</v>
      </c>
      <c r="K217" s="6">
        <f t="shared" si="7"/>
        <v>3.26</v>
      </c>
      <c r="L217" s="7">
        <f>+VLOOKUP(B217,'[1]master_prod_15todos(30-11-2 (2)'!$B$2:$AG$470,32,FALSE)</f>
        <v>0.6</v>
      </c>
      <c r="M217" s="10">
        <f t="shared" si="8"/>
        <v>5.4333333333333336</v>
      </c>
      <c r="N217" t="s">
        <v>71</v>
      </c>
      <c r="O217" t="s">
        <v>30</v>
      </c>
      <c r="P217" t="s">
        <v>164</v>
      </c>
      <c r="Q217" t="s">
        <v>529</v>
      </c>
      <c r="R217" t="s">
        <v>81</v>
      </c>
      <c r="T217" s="2">
        <v>1</v>
      </c>
      <c r="U217" s="2">
        <v>1</v>
      </c>
      <c r="V217" s="2">
        <v>1</v>
      </c>
      <c r="W217" s="2">
        <v>1</v>
      </c>
      <c r="X217" s="2">
        <v>1</v>
      </c>
      <c r="Y217" s="2">
        <v>1</v>
      </c>
      <c r="Z217" s="2">
        <v>0</v>
      </c>
      <c r="AA217" s="2">
        <v>1</v>
      </c>
      <c r="AB217" s="2">
        <v>0</v>
      </c>
      <c r="AC217" s="2">
        <v>0</v>
      </c>
    </row>
    <row r="218" spans="1:29">
      <c r="A218" s="2">
        <v>269</v>
      </c>
      <c r="B218" s="2">
        <v>243050102</v>
      </c>
      <c r="C218" s="2">
        <v>243050102</v>
      </c>
      <c r="D218" t="s">
        <v>583</v>
      </c>
      <c r="E218" t="s">
        <v>584</v>
      </c>
      <c r="F218" t="s">
        <v>578</v>
      </c>
      <c r="G218">
        <v>3.2875000000000001</v>
      </c>
      <c r="H218" s="2">
        <v>0</v>
      </c>
      <c r="I218" s="2">
        <v>0</v>
      </c>
      <c r="J218" s="2">
        <v>0</v>
      </c>
      <c r="K218" s="6">
        <f t="shared" si="7"/>
        <v>3.2875000000000001</v>
      </c>
      <c r="L218" s="7">
        <v>0.6</v>
      </c>
      <c r="M218" s="10">
        <f t="shared" si="8"/>
        <v>5.479166666666667</v>
      </c>
      <c r="N218" t="s">
        <v>35</v>
      </c>
      <c r="O218" t="s">
        <v>35</v>
      </c>
      <c r="P218" t="s">
        <v>35</v>
      </c>
      <c r="Q218" t="s">
        <v>529</v>
      </c>
      <c r="R218" t="s">
        <v>529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2">
        <v>0</v>
      </c>
      <c r="Z218" s="2">
        <v>0</v>
      </c>
      <c r="AA218" s="2">
        <v>1</v>
      </c>
      <c r="AB218" s="2">
        <v>0</v>
      </c>
      <c r="AC218" s="2">
        <v>0</v>
      </c>
    </row>
    <row r="219" spans="1:29">
      <c r="A219" s="2">
        <v>431</v>
      </c>
      <c r="B219" s="2">
        <v>250150517</v>
      </c>
      <c r="C219" s="2">
        <v>250150517</v>
      </c>
      <c r="D219" t="s">
        <v>684</v>
      </c>
      <c r="F219" t="s">
        <v>219</v>
      </c>
      <c r="G219" s="3">
        <v>3.29</v>
      </c>
      <c r="H219" s="2">
        <v>0</v>
      </c>
      <c r="I219" s="2">
        <v>0</v>
      </c>
      <c r="J219" s="2">
        <v>0</v>
      </c>
      <c r="K219" s="6">
        <f t="shared" si="7"/>
        <v>3.29</v>
      </c>
      <c r="L219" s="7">
        <v>0.09</v>
      </c>
      <c r="M219" s="10">
        <f t="shared" si="8"/>
        <v>36.555555555555557</v>
      </c>
      <c r="N219" t="s">
        <v>374</v>
      </c>
      <c r="O219" t="s">
        <v>374</v>
      </c>
      <c r="P219" t="s">
        <v>526</v>
      </c>
      <c r="Q219" t="s">
        <v>529</v>
      </c>
      <c r="R219" t="s">
        <v>529</v>
      </c>
      <c r="T219" s="2">
        <v>1</v>
      </c>
      <c r="U219" s="2">
        <v>25</v>
      </c>
      <c r="V219" s="2">
        <v>1</v>
      </c>
      <c r="W219" s="2">
        <v>1</v>
      </c>
      <c r="X219" s="2">
        <v>1</v>
      </c>
      <c r="Y219" s="2">
        <v>1</v>
      </c>
      <c r="Z219" s="2">
        <v>0</v>
      </c>
      <c r="AA219" s="2">
        <v>1</v>
      </c>
      <c r="AB219" s="2">
        <v>0</v>
      </c>
      <c r="AC219" s="2">
        <v>0</v>
      </c>
    </row>
    <row r="220" spans="1:29">
      <c r="A220" s="2">
        <v>346</v>
      </c>
      <c r="B220" t="s">
        <v>1132</v>
      </c>
      <c r="C220" t="s">
        <v>1163</v>
      </c>
      <c r="D220" t="s">
        <v>1164</v>
      </c>
      <c r="E220" t="s">
        <v>897</v>
      </c>
      <c r="F220" t="s">
        <v>288</v>
      </c>
      <c r="G220" s="3">
        <v>3.35</v>
      </c>
      <c r="H220" s="2">
        <v>0</v>
      </c>
      <c r="I220" s="2">
        <v>0</v>
      </c>
      <c r="J220" s="2">
        <v>0</v>
      </c>
      <c r="K220" s="6">
        <f t="shared" si="7"/>
        <v>3.35</v>
      </c>
      <c r="L220" s="7">
        <v>0.55000000000000004</v>
      </c>
      <c r="M220" s="10">
        <f t="shared" si="8"/>
        <v>6.0909090909090908</v>
      </c>
      <c r="N220" t="s">
        <v>35</v>
      </c>
      <c r="O220" t="s">
        <v>30</v>
      </c>
      <c r="P220" t="s">
        <v>35</v>
      </c>
      <c r="Q220" t="s">
        <v>529</v>
      </c>
      <c r="T220" s="2">
        <v>1</v>
      </c>
      <c r="U220" s="2">
        <v>1</v>
      </c>
      <c r="V220" s="2">
        <v>1</v>
      </c>
      <c r="W220" s="2">
        <v>1</v>
      </c>
      <c r="X220" s="2">
        <v>1</v>
      </c>
      <c r="Y220" s="2">
        <v>0</v>
      </c>
      <c r="Z220" s="2">
        <v>0</v>
      </c>
      <c r="AA220" s="2">
        <v>1</v>
      </c>
      <c r="AB220" s="2">
        <v>0</v>
      </c>
      <c r="AC220" s="2">
        <v>0</v>
      </c>
    </row>
    <row r="221" spans="1:29">
      <c r="A221" s="2">
        <v>285</v>
      </c>
      <c r="B221" s="2">
        <v>252600268</v>
      </c>
      <c r="C221" s="2">
        <v>252600268</v>
      </c>
      <c r="D221" t="s">
        <v>867</v>
      </c>
      <c r="F221" t="s">
        <v>835</v>
      </c>
      <c r="G221">
        <v>3.3683999999999998</v>
      </c>
      <c r="H221" s="2">
        <v>0</v>
      </c>
      <c r="I221" s="2">
        <v>0</v>
      </c>
      <c r="J221" s="2">
        <v>0</v>
      </c>
      <c r="K221" s="6">
        <f t="shared" si="7"/>
        <v>3.3683999999999998</v>
      </c>
      <c r="L221" s="7">
        <v>0.5</v>
      </c>
      <c r="M221" s="10">
        <f t="shared" si="8"/>
        <v>6.7367999999999997</v>
      </c>
      <c r="N221" t="s">
        <v>71</v>
      </c>
      <c r="O221" t="s">
        <v>30</v>
      </c>
      <c r="P221" t="s">
        <v>37</v>
      </c>
      <c r="Q221" t="s">
        <v>536</v>
      </c>
      <c r="T221" s="2">
        <v>1</v>
      </c>
      <c r="U221" s="2">
        <v>1</v>
      </c>
      <c r="V221" s="2">
        <v>1</v>
      </c>
      <c r="W221" s="2">
        <v>1</v>
      </c>
      <c r="X221" s="2">
        <v>0</v>
      </c>
      <c r="Y221" s="2">
        <v>1</v>
      </c>
      <c r="Z221" s="2">
        <v>0</v>
      </c>
      <c r="AA221" s="2">
        <v>1</v>
      </c>
      <c r="AB221" s="2">
        <v>0</v>
      </c>
      <c r="AC221" s="2">
        <v>0</v>
      </c>
    </row>
    <row r="222" spans="1:29">
      <c r="A222" s="2">
        <v>435</v>
      </c>
      <c r="B222" s="2">
        <v>242250105</v>
      </c>
      <c r="C222" s="2">
        <v>242250105</v>
      </c>
      <c r="D222" t="s">
        <v>506</v>
      </c>
      <c r="E222" t="s">
        <v>507</v>
      </c>
      <c r="F222" t="s">
        <v>501</v>
      </c>
      <c r="G222" s="3">
        <v>3.38</v>
      </c>
      <c r="H222" s="2">
        <v>0</v>
      </c>
      <c r="I222" s="2">
        <v>0</v>
      </c>
      <c r="J222" s="2">
        <v>0</v>
      </c>
      <c r="K222" s="6">
        <f t="shared" si="7"/>
        <v>3.38</v>
      </c>
      <c r="L222" s="7">
        <v>0.65</v>
      </c>
      <c r="M222" s="10">
        <f t="shared" si="8"/>
        <v>5.1999999999999993</v>
      </c>
      <c r="N222" t="s">
        <v>518</v>
      </c>
      <c r="O222" t="s">
        <v>518</v>
      </c>
      <c r="P222" t="s">
        <v>37</v>
      </c>
      <c r="Q222" t="s">
        <v>536</v>
      </c>
      <c r="T222" s="2">
        <v>1</v>
      </c>
      <c r="U222" s="2">
        <v>5</v>
      </c>
      <c r="V222" s="2">
        <v>1</v>
      </c>
      <c r="W222" s="2">
        <v>1</v>
      </c>
      <c r="X222" s="2">
        <v>0</v>
      </c>
      <c r="Y222" s="2">
        <v>1</v>
      </c>
      <c r="Z222" s="2">
        <v>0</v>
      </c>
      <c r="AA222" s="2">
        <v>1</v>
      </c>
      <c r="AB222" s="2">
        <v>0</v>
      </c>
      <c r="AC222" s="2">
        <v>0</v>
      </c>
    </row>
    <row r="223" spans="1:29">
      <c r="A223" s="2">
        <v>348</v>
      </c>
      <c r="B223" s="2">
        <v>252650421</v>
      </c>
      <c r="C223" s="2">
        <v>252650421</v>
      </c>
      <c r="D223" t="s">
        <v>894</v>
      </c>
      <c r="E223" t="s">
        <v>895</v>
      </c>
      <c r="F223" t="s">
        <v>56</v>
      </c>
      <c r="G223" s="3">
        <v>3.39</v>
      </c>
      <c r="H223" s="2">
        <v>0</v>
      </c>
      <c r="I223" s="2">
        <v>0</v>
      </c>
      <c r="J223" s="2">
        <v>0</v>
      </c>
      <c r="K223" s="6">
        <f t="shared" si="7"/>
        <v>3.39</v>
      </c>
      <c r="L223" s="7">
        <v>0.55000000000000004</v>
      </c>
      <c r="M223" s="10">
        <f t="shared" si="8"/>
        <v>6.1636363636363631</v>
      </c>
      <c r="N223" t="s">
        <v>518</v>
      </c>
      <c r="O223" t="s">
        <v>518</v>
      </c>
      <c r="P223" t="s">
        <v>37</v>
      </c>
      <c r="Q223" t="s">
        <v>536</v>
      </c>
      <c r="R223" t="s">
        <v>540</v>
      </c>
      <c r="T223" s="2">
        <v>1</v>
      </c>
      <c r="U223" s="2">
        <v>5</v>
      </c>
      <c r="V223" s="2">
        <v>1</v>
      </c>
      <c r="W223" s="2">
        <v>1</v>
      </c>
      <c r="X223" s="2">
        <v>0</v>
      </c>
      <c r="Y223" s="2">
        <v>1</v>
      </c>
      <c r="Z223" s="2">
        <v>0</v>
      </c>
      <c r="AA223" s="2">
        <v>1</v>
      </c>
      <c r="AB223" s="2">
        <v>0</v>
      </c>
      <c r="AC223" s="2">
        <v>0</v>
      </c>
    </row>
    <row r="224" spans="1:29">
      <c r="A224" s="2">
        <v>345</v>
      </c>
      <c r="B224" s="2">
        <v>252600369</v>
      </c>
      <c r="C224" s="2">
        <v>252600369</v>
      </c>
      <c r="D224" t="s">
        <v>870</v>
      </c>
      <c r="E224" t="s">
        <v>871</v>
      </c>
      <c r="F224" t="s">
        <v>75</v>
      </c>
      <c r="G224" s="3">
        <v>3.44</v>
      </c>
      <c r="H224" s="2">
        <v>0</v>
      </c>
      <c r="I224" s="2">
        <v>0</v>
      </c>
      <c r="J224" s="2">
        <v>0</v>
      </c>
      <c r="K224" s="6">
        <f t="shared" si="7"/>
        <v>3.44</v>
      </c>
      <c r="L224" s="7">
        <v>0.55000000000000004</v>
      </c>
      <c r="M224" s="10">
        <f t="shared" si="8"/>
        <v>6.254545454545454</v>
      </c>
      <c r="N224" t="s">
        <v>30</v>
      </c>
      <c r="O224" t="s">
        <v>30</v>
      </c>
      <c r="P224" t="s">
        <v>65</v>
      </c>
      <c r="Q224" t="s">
        <v>81</v>
      </c>
      <c r="R224" t="s">
        <v>543</v>
      </c>
      <c r="T224" s="2">
        <v>1</v>
      </c>
      <c r="U224" s="2">
        <v>1</v>
      </c>
      <c r="V224" s="2">
        <v>1</v>
      </c>
      <c r="W224" s="2">
        <v>1</v>
      </c>
      <c r="X224" s="2">
        <v>0</v>
      </c>
      <c r="Y224" s="2">
        <v>1</v>
      </c>
      <c r="Z224" s="2">
        <v>0</v>
      </c>
      <c r="AA224" s="2">
        <v>1</v>
      </c>
      <c r="AB224" s="2">
        <v>0</v>
      </c>
      <c r="AC224" s="2">
        <v>0</v>
      </c>
    </row>
    <row r="225" spans="1:29">
      <c r="A225" s="2">
        <v>846</v>
      </c>
      <c r="B225" s="2">
        <v>252800417</v>
      </c>
      <c r="C225" s="2">
        <v>252800417</v>
      </c>
      <c r="D225" t="s">
        <v>931</v>
      </c>
      <c r="E225" t="s">
        <v>932</v>
      </c>
      <c r="F225" t="s">
        <v>75</v>
      </c>
      <c r="G225" s="3">
        <v>3.44</v>
      </c>
      <c r="H225" s="2">
        <v>0</v>
      </c>
      <c r="I225" s="2">
        <v>0</v>
      </c>
      <c r="J225" s="2">
        <v>0</v>
      </c>
      <c r="K225" s="6">
        <f t="shared" si="7"/>
        <v>3.44</v>
      </c>
      <c r="L225" s="7">
        <v>0.55000000000000004</v>
      </c>
      <c r="M225" s="10">
        <f t="shared" si="8"/>
        <v>6.254545454545454</v>
      </c>
      <c r="N225" t="s">
        <v>142</v>
      </c>
      <c r="O225" t="s">
        <v>30</v>
      </c>
      <c r="P225" t="s">
        <v>545</v>
      </c>
      <c r="Q225" t="s">
        <v>66</v>
      </c>
      <c r="R225" t="s">
        <v>37</v>
      </c>
      <c r="T225" s="2">
        <v>1</v>
      </c>
      <c r="U225" s="2">
        <v>1</v>
      </c>
      <c r="V225" s="2">
        <v>1</v>
      </c>
      <c r="W225" s="2">
        <v>1</v>
      </c>
      <c r="X225" s="2">
        <v>1</v>
      </c>
      <c r="Y225" s="2">
        <v>0</v>
      </c>
      <c r="Z225" s="2">
        <v>0</v>
      </c>
      <c r="AA225" s="2">
        <v>1</v>
      </c>
      <c r="AB225" s="3">
        <v>0.45</v>
      </c>
      <c r="AC225">
        <v>1.5556000000000001</v>
      </c>
    </row>
    <row r="226" spans="1:29">
      <c r="A226" s="2">
        <v>849</v>
      </c>
      <c r="B226" s="2">
        <v>243050206</v>
      </c>
      <c r="C226" s="2">
        <v>243050206</v>
      </c>
      <c r="D226" t="s">
        <v>588</v>
      </c>
      <c r="E226" t="s">
        <v>589</v>
      </c>
      <c r="F226" t="s">
        <v>288</v>
      </c>
      <c r="G226">
        <v>3.5</v>
      </c>
      <c r="H226" s="2">
        <v>0</v>
      </c>
      <c r="I226" s="2">
        <v>0</v>
      </c>
      <c r="J226" s="2">
        <v>0</v>
      </c>
      <c r="K226" s="6">
        <f t="shared" si="7"/>
        <v>3.5</v>
      </c>
      <c r="L226" s="7">
        <v>0.94</v>
      </c>
      <c r="M226" s="10">
        <f t="shared" si="8"/>
        <v>3.7234042553191493</v>
      </c>
      <c r="N226" t="s">
        <v>86</v>
      </c>
      <c r="O226" t="s">
        <v>30</v>
      </c>
      <c r="P226" t="s">
        <v>86</v>
      </c>
      <c r="Q226" t="s">
        <v>81</v>
      </c>
      <c r="T226" s="2">
        <v>1</v>
      </c>
      <c r="U226" s="2">
        <v>1</v>
      </c>
      <c r="V226" s="2">
        <v>1</v>
      </c>
      <c r="W226" s="2">
        <v>1</v>
      </c>
      <c r="X226" s="2">
        <v>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</row>
    <row r="227" spans="1:29">
      <c r="A227" s="2">
        <v>694</v>
      </c>
      <c r="B227" s="2">
        <v>241500203</v>
      </c>
      <c r="C227" s="2">
        <v>241500203</v>
      </c>
      <c r="D227" t="s">
        <v>328</v>
      </c>
      <c r="E227" t="s">
        <v>329</v>
      </c>
      <c r="F227" t="s">
        <v>330</v>
      </c>
      <c r="G227" s="3">
        <f>+VLOOKUP(B227,'[1]master_prod_15todos(30-11-2 (2)'!$B$2:$AF$470,31,FALSE)</f>
        <v>3.6</v>
      </c>
      <c r="H227" s="2">
        <v>0</v>
      </c>
      <c r="I227" s="2">
        <v>0</v>
      </c>
      <c r="J227" s="2">
        <v>0</v>
      </c>
      <c r="K227" s="6">
        <f t="shared" si="7"/>
        <v>3.6</v>
      </c>
      <c r="L227" s="7">
        <f>+VLOOKUP(B227,'[1]master_prod_15todos(30-11-2 (2)'!$B$2:$AG$470,32,FALSE)</f>
        <v>0.7</v>
      </c>
      <c r="M227" s="10">
        <f t="shared" si="8"/>
        <v>5.1428571428571432</v>
      </c>
      <c r="N227" t="s">
        <v>30</v>
      </c>
      <c r="O227" t="s">
        <v>30</v>
      </c>
      <c r="P227" t="s">
        <v>30</v>
      </c>
      <c r="Q227" t="s">
        <v>237</v>
      </c>
      <c r="R227" t="s">
        <v>548</v>
      </c>
      <c r="T227" s="2">
        <v>1</v>
      </c>
      <c r="U227" s="2">
        <v>1</v>
      </c>
      <c r="V227" s="2">
        <v>1</v>
      </c>
      <c r="W227" s="2">
        <v>1</v>
      </c>
      <c r="X227" s="2">
        <v>0</v>
      </c>
      <c r="Y227" s="2">
        <v>1</v>
      </c>
      <c r="Z227" s="2">
        <v>0</v>
      </c>
      <c r="AA227" s="2">
        <v>1</v>
      </c>
      <c r="AB227" s="2">
        <v>0</v>
      </c>
      <c r="AC227" s="2">
        <v>0</v>
      </c>
    </row>
    <row r="228" spans="1:29">
      <c r="A228" s="2">
        <v>713</v>
      </c>
      <c r="B228" s="2">
        <v>243200303</v>
      </c>
      <c r="C228" s="2">
        <v>243200303</v>
      </c>
      <c r="D228" t="s">
        <v>612</v>
      </c>
      <c r="E228" t="s">
        <v>613</v>
      </c>
      <c r="F228" t="s">
        <v>542</v>
      </c>
      <c r="G228">
        <v>3.7</v>
      </c>
      <c r="H228" s="2">
        <v>0</v>
      </c>
      <c r="I228" s="2">
        <v>0</v>
      </c>
      <c r="J228" s="2">
        <v>0</v>
      </c>
      <c r="K228" s="6">
        <f t="shared" si="7"/>
        <v>3.7</v>
      </c>
      <c r="L228" s="7">
        <v>0.6</v>
      </c>
      <c r="M228" s="10">
        <f t="shared" si="8"/>
        <v>6.166666666666667</v>
      </c>
      <c r="N228" t="s">
        <v>157</v>
      </c>
      <c r="O228" t="s">
        <v>30</v>
      </c>
      <c r="P228" t="s">
        <v>157</v>
      </c>
      <c r="Q228" t="s">
        <v>230</v>
      </c>
      <c r="T228" s="2">
        <v>1</v>
      </c>
      <c r="U228" s="2">
        <v>1</v>
      </c>
      <c r="V228" s="2">
        <v>1</v>
      </c>
      <c r="W228" s="2">
        <v>1</v>
      </c>
      <c r="X228" s="2">
        <v>0</v>
      </c>
      <c r="Y228" s="2">
        <v>1</v>
      </c>
      <c r="Z228" s="2">
        <v>0</v>
      </c>
      <c r="AA228" s="2">
        <v>1</v>
      </c>
      <c r="AB228">
        <v>0.6</v>
      </c>
      <c r="AC228" s="2">
        <v>0</v>
      </c>
    </row>
    <row r="229" spans="1:29">
      <c r="A229" s="2">
        <v>149</v>
      </c>
      <c r="B229" s="2">
        <v>252300501</v>
      </c>
      <c r="C229" s="2">
        <v>252300501</v>
      </c>
      <c r="D229" t="s">
        <v>832</v>
      </c>
      <c r="E229" t="s">
        <v>833</v>
      </c>
      <c r="F229" t="s">
        <v>85</v>
      </c>
      <c r="G229" s="3">
        <v>3.71</v>
      </c>
      <c r="H229" s="2">
        <v>0</v>
      </c>
      <c r="I229" s="2">
        <v>0</v>
      </c>
      <c r="J229" s="2">
        <v>0</v>
      </c>
      <c r="K229" s="6">
        <f t="shared" si="7"/>
        <v>3.71</v>
      </c>
      <c r="L229" s="7">
        <v>0.8</v>
      </c>
      <c r="M229" s="10">
        <f t="shared" si="8"/>
        <v>4.6374999999999993</v>
      </c>
      <c r="N229" t="s">
        <v>30</v>
      </c>
      <c r="O229" t="s">
        <v>30</v>
      </c>
      <c r="P229" t="s">
        <v>30</v>
      </c>
      <c r="Q229" t="s">
        <v>81</v>
      </c>
      <c r="R229" t="s">
        <v>554</v>
      </c>
      <c r="T229" s="2">
        <v>1</v>
      </c>
      <c r="U229" s="2">
        <v>1</v>
      </c>
      <c r="V229" s="2">
        <v>1</v>
      </c>
      <c r="W229" s="2">
        <v>1</v>
      </c>
      <c r="X229" s="2">
        <v>0</v>
      </c>
      <c r="Y229" s="2">
        <v>1</v>
      </c>
      <c r="Z229" s="2">
        <v>0</v>
      </c>
      <c r="AA229" s="2">
        <v>1</v>
      </c>
      <c r="AB229" s="2">
        <v>0</v>
      </c>
      <c r="AC229" s="2">
        <v>0</v>
      </c>
    </row>
    <row r="230" spans="1:29">
      <c r="A230" s="2">
        <v>30</v>
      </c>
      <c r="B230" s="2">
        <v>250210128</v>
      </c>
      <c r="C230" s="2">
        <v>250210128</v>
      </c>
      <c r="D230" t="s">
        <v>699</v>
      </c>
      <c r="E230" t="s">
        <v>700</v>
      </c>
      <c r="F230" t="s">
        <v>701</v>
      </c>
      <c r="G230" s="3">
        <v>3.75</v>
      </c>
      <c r="H230" s="2">
        <v>0</v>
      </c>
      <c r="I230" s="2">
        <v>0</v>
      </c>
      <c r="J230" s="2">
        <v>0</v>
      </c>
      <c r="K230" s="6">
        <f t="shared" si="7"/>
        <v>3.75</v>
      </c>
      <c r="L230" s="7">
        <v>0.55000000000000004</v>
      </c>
      <c r="M230" s="10">
        <f t="shared" si="8"/>
        <v>6.8181818181818175</v>
      </c>
      <c r="N230" t="s">
        <v>86</v>
      </c>
      <c r="O230" t="s">
        <v>30</v>
      </c>
      <c r="P230" t="s">
        <v>86</v>
      </c>
      <c r="Q230" t="s">
        <v>66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0</v>
      </c>
      <c r="Z230" s="2">
        <v>0</v>
      </c>
      <c r="AA230" s="2">
        <v>1</v>
      </c>
      <c r="AB230" s="2">
        <v>0</v>
      </c>
      <c r="AC230" s="2">
        <v>0</v>
      </c>
    </row>
    <row r="231" spans="1:29">
      <c r="A231" s="2">
        <v>700</v>
      </c>
      <c r="B231" s="2">
        <v>242300612</v>
      </c>
      <c r="C231" s="2">
        <v>242300612</v>
      </c>
      <c r="D231" t="s">
        <v>530</v>
      </c>
      <c r="F231" t="s">
        <v>219</v>
      </c>
      <c r="G231">
        <v>3.8571</v>
      </c>
      <c r="H231" s="2">
        <v>0</v>
      </c>
      <c r="I231" s="2">
        <v>0</v>
      </c>
      <c r="J231" s="2">
        <v>0</v>
      </c>
      <c r="K231" s="6">
        <f t="shared" si="7"/>
        <v>3.8571</v>
      </c>
      <c r="L231" s="7">
        <v>0.6</v>
      </c>
      <c r="M231" s="10">
        <f t="shared" si="8"/>
        <v>6.4285000000000005</v>
      </c>
      <c r="N231" t="s">
        <v>30</v>
      </c>
      <c r="O231" t="s">
        <v>30</v>
      </c>
      <c r="P231" t="s">
        <v>276</v>
      </c>
      <c r="Q231" t="s">
        <v>66</v>
      </c>
      <c r="R231" t="s">
        <v>37</v>
      </c>
      <c r="T231" s="2">
        <v>1</v>
      </c>
      <c r="U231" s="2">
        <v>1</v>
      </c>
      <c r="V231" s="2">
        <v>1</v>
      </c>
      <c r="W231" s="2">
        <v>1</v>
      </c>
      <c r="X231" s="2">
        <v>1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</row>
    <row r="232" spans="1:29">
      <c r="A232" s="2">
        <v>871</v>
      </c>
      <c r="B232" s="2">
        <v>253400103</v>
      </c>
      <c r="C232" s="2">
        <v>253400103</v>
      </c>
      <c r="D232" t="s">
        <v>1051</v>
      </c>
      <c r="F232" t="s">
        <v>166</v>
      </c>
      <c r="G232" s="3">
        <v>3.87</v>
      </c>
      <c r="H232" s="2">
        <v>0</v>
      </c>
      <c r="I232" s="2">
        <v>0</v>
      </c>
      <c r="J232" s="2">
        <v>0</v>
      </c>
      <c r="K232" s="6">
        <f t="shared" si="7"/>
        <v>3.87</v>
      </c>
      <c r="L232" s="7">
        <v>0.6</v>
      </c>
      <c r="M232" s="10">
        <f t="shared" si="8"/>
        <v>6.45</v>
      </c>
      <c r="N232" t="s">
        <v>30</v>
      </c>
      <c r="O232" t="s">
        <v>30</v>
      </c>
      <c r="P232" t="s">
        <v>37</v>
      </c>
      <c r="Q232" t="s">
        <v>53</v>
      </c>
      <c r="R232" t="s">
        <v>560</v>
      </c>
      <c r="T232" s="2">
        <v>1</v>
      </c>
      <c r="U232" s="2">
        <v>1</v>
      </c>
      <c r="V232" s="2">
        <v>1</v>
      </c>
      <c r="W232" s="2">
        <v>1</v>
      </c>
      <c r="X232" s="2">
        <v>0</v>
      </c>
      <c r="Y232" s="2">
        <v>1</v>
      </c>
      <c r="Z232" s="2">
        <v>0</v>
      </c>
      <c r="AA232" s="2">
        <v>1</v>
      </c>
      <c r="AB232" s="3">
        <v>0.47</v>
      </c>
      <c r="AC232">
        <v>51.6755</v>
      </c>
    </row>
    <row r="233" spans="1:29">
      <c r="A233" s="2">
        <v>204</v>
      </c>
      <c r="B233" s="2">
        <v>253400307</v>
      </c>
      <c r="C233" s="2">
        <v>253400307</v>
      </c>
      <c r="D233" t="s">
        <v>1073</v>
      </c>
      <c r="E233" t="s">
        <v>1074</v>
      </c>
      <c r="F233" t="s">
        <v>310</v>
      </c>
      <c r="G233" s="3">
        <v>3.87</v>
      </c>
      <c r="H233" s="2">
        <v>0</v>
      </c>
      <c r="I233" s="2">
        <v>0</v>
      </c>
      <c r="J233" s="2">
        <v>0</v>
      </c>
      <c r="K233" s="6">
        <f t="shared" si="7"/>
        <v>3.87</v>
      </c>
      <c r="L233" s="7">
        <v>0.65</v>
      </c>
      <c r="M233" s="10">
        <f t="shared" si="8"/>
        <v>5.953846153846154</v>
      </c>
      <c r="N233" t="s">
        <v>30</v>
      </c>
      <c r="O233" t="s">
        <v>30</v>
      </c>
      <c r="P233" t="s">
        <v>37</v>
      </c>
      <c r="Q233" t="s">
        <v>81</v>
      </c>
      <c r="R233" t="s">
        <v>563</v>
      </c>
      <c r="T233" s="2">
        <v>1</v>
      </c>
      <c r="U233" s="2">
        <v>1</v>
      </c>
      <c r="V233" s="2">
        <v>1</v>
      </c>
      <c r="W233" s="2">
        <v>1</v>
      </c>
      <c r="X233" s="2">
        <v>0</v>
      </c>
      <c r="Y233" s="2">
        <v>1</v>
      </c>
      <c r="Z233" s="2">
        <v>0</v>
      </c>
      <c r="AA233" s="2">
        <v>1</v>
      </c>
      <c r="AB233" s="3">
        <v>0.47</v>
      </c>
      <c r="AC233">
        <v>51.6755</v>
      </c>
    </row>
    <row r="234" spans="1:29">
      <c r="A234" s="2">
        <v>872</v>
      </c>
      <c r="B234" s="2">
        <v>253401106</v>
      </c>
      <c r="C234" s="2">
        <v>253401106</v>
      </c>
      <c r="D234" t="s">
        <v>1095</v>
      </c>
      <c r="F234" t="s">
        <v>166</v>
      </c>
      <c r="G234" s="3">
        <v>3.87</v>
      </c>
      <c r="H234" s="2">
        <v>0</v>
      </c>
      <c r="I234" s="2">
        <v>0</v>
      </c>
      <c r="J234" s="2">
        <v>0</v>
      </c>
      <c r="K234" s="6">
        <f t="shared" si="7"/>
        <v>3.87</v>
      </c>
      <c r="L234" s="7">
        <v>0.6</v>
      </c>
      <c r="M234" s="10">
        <f t="shared" si="8"/>
        <v>6.45</v>
      </c>
      <c r="N234" t="s">
        <v>30</v>
      </c>
      <c r="O234" t="s">
        <v>30</v>
      </c>
      <c r="P234" t="s">
        <v>30</v>
      </c>
      <c r="Q234" t="s">
        <v>66</v>
      </c>
      <c r="R234" t="s">
        <v>566</v>
      </c>
      <c r="T234" s="2">
        <v>1</v>
      </c>
      <c r="U234" s="2">
        <v>1</v>
      </c>
      <c r="V234" s="2">
        <v>1</v>
      </c>
      <c r="W234" s="2">
        <v>1</v>
      </c>
      <c r="X234" s="2">
        <v>1</v>
      </c>
      <c r="Y234" s="2">
        <v>1</v>
      </c>
      <c r="Z234" s="2">
        <v>0</v>
      </c>
      <c r="AA234" s="2">
        <v>1</v>
      </c>
      <c r="AB234" s="2">
        <v>0</v>
      </c>
      <c r="AC234" s="2">
        <v>0</v>
      </c>
    </row>
    <row r="235" spans="1:29">
      <c r="A235" s="2">
        <v>701</v>
      </c>
      <c r="B235" s="2">
        <v>253402108</v>
      </c>
      <c r="C235" s="2">
        <v>253402108</v>
      </c>
      <c r="D235" t="s">
        <v>1102</v>
      </c>
      <c r="F235" t="s">
        <v>166</v>
      </c>
      <c r="G235" s="3">
        <v>3.87</v>
      </c>
      <c r="H235" s="2">
        <v>0</v>
      </c>
      <c r="I235" s="2">
        <v>0</v>
      </c>
      <c r="J235" s="2">
        <v>0</v>
      </c>
      <c r="K235" s="6">
        <f t="shared" si="7"/>
        <v>3.87</v>
      </c>
      <c r="L235" s="7">
        <v>0.6</v>
      </c>
      <c r="M235" s="10">
        <f t="shared" si="8"/>
        <v>6.45</v>
      </c>
      <c r="N235" t="s">
        <v>30</v>
      </c>
      <c r="O235" t="s">
        <v>30</v>
      </c>
      <c r="P235" t="s">
        <v>37</v>
      </c>
      <c r="Q235" t="s">
        <v>66</v>
      </c>
      <c r="T235" s="2">
        <v>1</v>
      </c>
      <c r="U235" s="2">
        <v>1</v>
      </c>
      <c r="V235" s="2">
        <v>1</v>
      </c>
      <c r="W235" s="2">
        <v>1</v>
      </c>
      <c r="X235" s="2">
        <v>1</v>
      </c>
      <c r="Y235" s="2">
        <v>0</v>
      </c>
      <c r="Z235" s="2">
        <v>0</v>
      </c>
      <c r="AA235" s="2">
        <v>1</v>
      </c>
      <c r="AB235" s="2">
        <v>0</v>
      </c>
      <c r="AC235" s="2">
        <v>0</v>
      </c>
    </row>
    <row r="236" spans="1:29">
      <c r="A236" s="2">
        <v>202</v>
      </c>
      <c r="B236" t="s">
        <v>1132</v>
      </c>
      <c r="C236" t="s">
        <v>1132</v>
      </c>
      <c r="D236" t="s">
        <v>1151</v>
      </c>
      <c r="F236" t="s">
        <v>1152</v>
      </c>
      <c r="G236" s="3">
        <v>3.87</v>
      </c>
      <c r="H236" s="2">
        <v>0</v>
      </c>
      <c r="I236" s="2">
        <v>0</v>
      </c>
      <c r="J236" s="2">
        <v>0</v>
      </c>
      <c r="K236" s="6">
        <f t="shared" si="7"/>
        <v>3.87</v>
      </c>
      <c r="L236" s="7">
        <v>0.6</v>
      </c>
      <c r="M236" s="10">
        <f t="shared" si="8"/>
        <v>6.45</v>
      </c>
      <c r="N236" t="s">
        <v>30</v>
      </c>
      <c r="O236" t="s">
        <v>30</v>
      </c>
      <c r="P236" t="s">
        <v>30</v>
      </c>
      <c r="Q236" t="s">
        <v>405</v>
      </c>
      <c r="R236" t="s">
        <v>416</v>
      </c>
      <c r="T236" s="2">
        <v>1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0</v>
      </c>
      <c r="AA236" s="2">
        <v>1</v>
      </c>
      <c r="AB236" s="2">
        <v>0</v>
      </c>
      <c r="AC236" s="2">
        <v>0</v>
      </c>
    </row>
    <row r="237" spans="1:29">
      <c r="A237" s="2">
        <v>203</v>
      </c>
      <c r="B237" t="s">
        <v>1132</v>
      </c>
      <c r="C237" t="s">
        <v>1132</v>
      </c>
      <c r="D237" t="s">
        <v>1153</v>
      </c>
      <c r="E237" t="s">
        <v>1074</v>
      </c>
      <c r="F237" t="s">
        <v>1154</v>
      </c>
      <c r="G237" s="3">
        <v>3.87</v>
      </c>
      <c r="H237" s="2">
        <v>0</v>
      </c>
      <c r="I237" s="2">
        <v>0</v>
      </c>
      <c r="J237" s="2">
        <v>0</v>
      </c>
      <c r="K237" s="6">
        <f t="shared" si="7"/>
        <v>3.87</v>
      </c>
      <c r="L237" s="7">
        <v>0.6</v>
      </c>
      <c r="M237" s="10">
        <f t="shared" si="8"/>
        <v>6.45</v>
      </c>
      <c r="N237" t="s">
        <v>30</v>
      </c>
      <c r="O237" t="s">
        <v>30</v>
      </c>
      <c r="P237" t="s">
        <v>30</v>
      </c>
      <c r="Q237" t="s">
        <v>571</v>
      </c>
      <c r="R237" t="s">
        <v>572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>
        <v>0</v>
      </c>
      <c r="AA237" s="2">
        <v>1</v>
      </c>
      <c r="AB237" s="2">
        <v>0</v>
      </c>
      <c r="AC237" s="2">
        <v>0</v>
      </c>
    </row>
    <row r="238" spans="1:29">
      <c r="A238" s="2">
        <v>316</v>
      </c>
      <c r="B238" s="2">
        <v>242201464</v>
      </c>
      <c r="C238" s="2">
        <v>242201464</v>
      </c>
      <c r="D238" t="s">
        <v>450</v>
      </c>
      <c r="E238" s="2">
        <v>240</v>
      </c>
      <c r="F238" t="s">
        <v>449</v>
      </c>
      <c r="G238" s="3">
        <f>+VLOOKUP(B238,'[1]master_prod_15todos(30-11-2 (2)'!$B$2:$AF$470,31,FALSE)</f>
        <v>3.9</v>
      </c>
      <c r="H238" s="2">
        <v>0</v>
      </c>
      <c r="I238" s="2">
        <v>0</v>
      </c>
      <c r="J238" s="2">
        <v>0</v>
      </c>
      <c r="K238" s="6">
        <f t="shared" si="7"/>
        <v>3.9</v>
      </c>
      <c r="L238" s="7">
        <f>+VLOOKUP(B238,'[1]master_prod_15todos(30-11-2 (2)'!$B$2:$AG$470,32,FALSE)</f>
        <v>0.8</v>
      </c>
      <c r="M238" s="10">
        <f t="shared" si="8"/>
        <v>4.875</v>
      </c>
      <c r="N238" t="s">
        <v>30</v>
      </c>
      <c r="O238" t="s">
        <v>30</v>
      </c>
      <c r="P238" t="s">
        <v>30</v>
      </c>
      <c r="Q238" t="s">
        <v>571</v>
      </c>
      <c r="R238" t="s">
        <v>572</v>
      </c>
      <c r="T238" s="2">
        <v>1</v>
      </c>
      <c r="U238" s="2">
        <v>1</v>
      </c>
      <c r="V238" s="2">
        <v>1</v>
      </c>
      <c r="W238" s="2">
        <v>1</v>
      </c>
      <c r="X238" s="2">
        <v>1</v>
      </c>
      <c r="Y238" s="2">
        <v>1</v>
      </c>
      <c r="Z238" s="2">
        <v>0</v>
      </c>
      <c r="AA238" s="2">
        <v>1</v>
      </c>
      <c r="AB238" s="2">
        <v>0</v>
      </c>
      <c r="AC238" s="2">
        <v>0</v>
      </c>
    </row>
    <row r="239" spans="1:29">
      <c r="A239" s="2">
        <v>601</v>
      </c>
      <c r="B239" s="2">
        <v>253401107</v>
      </c>
      <c r="C239" s="2">
        <v>253401107</v>
      </c>
      <c r="D239" t="s">
        <v>1096</v>
      </c>
      <c r="E239" t="s">
        <v>1097</v>
      </c>
      <c r="F239" t="s">
        <v>310</v>
      </c>
      <c r="G239">
        <v>3.9</v>
      </c>
      <c r="H239" s="2">
        <v>0</v>
      </c>
      <c r="I239" s="2">
        <v>0</v>
      </c>
      <c r="J239" s="2">
        <v>0</v>
      </c>
      <c r="K239" s="6">
        <f t="shared" si="7"/>
        <v>3.9</v>
      </c>
      <c r="L239" s="7">
        <v>0.65</v>
      </c>
      <c r="M239" s="10">
        <f t="shared" si="8"/>
        <v>6</v>
      </c>
      <c r="N239" t="s">
        <v>30</v>
      </c>
      <c r="O239" t="s">
        <v>30</v>
      </c>
      <c r="P239" t="s">
        <v>276</v>
      </c>
      <c r="Q239" t="s">
        <v>66</v>
      </c>
      <c r="R239" t="s">
        <v>37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0</v>
      </c>
      <c r="Z239" s="2">
        <v>0</v>
      </c>
      <c r="AA239" s="2">
        <v>1</v>
      </c>
      <c r="AB239" s="2">
        <v>0</v>
      </c>
      <c r="AC239" s="2">
        <v>0</v>
      </c>
    </row>
    <row r="240" spans="1:29">
      <c r="A240" s="2">
        <v>556</v>
      </c>
      <c r="B240" s="2">
        <v>253400308</v>
      </c>
      <c r="C240" s="2">
        <v>253400308</v>
      </c>
      <c r="D240" t="s">
        <v>1075</v>
      </c>
      <c r="E240" s="2">
        <v>30475</v>
      </c>
      <c r="F240" t="s">
        <v>1076</v>
      </c>
      <c r="G240" s="3">
        <v>3.92</v>
      </c>
      <c r="H240" s="2">
        <v>0</v>
      </c>
      <c r="I240" s="2">
        <v>0</v>
      </c>
      <c r="J240" s="2">
        <v>0</v>
      </c>
      <c r="K240" s="6">
        <f t="shared" si="7"/>
        <v>3.92</v>
      </c>
      <c r="L240" s="7">
        <v>0.65</v>
      </c>
      <c r="M240" s="10">
        <f t="shared" si="8"/>
        <v>6.0307692307692307</v>
      </c>
      <c r="N240" t="s">
        <v>30</v>
      </c>
      <c r="O240" t="s">
        <v>30</v>
      </c>
      <c r="P240" t="s">
        <v>30</v>
      </c>
      <c r="Q240" t="s">
        <v>66</v>
      </c>
      <c r="T240" s="2">
        <v>1</v>
      </c>
      <c r="U240" s="2">
        <v>1</v>
      </c>
      <c r="V240" s="2">
        <v>1</v>
      </c>
      <c r="W240" s="2">
        <v>1</v>
      </c>
      <c r="X240" s="2">
        <v>1</v>
      </c>
      <c r="Y240" s="2">
        <v>0</v>
      </c>
      <c r="Z240" s="2">
        <v>0</v>
      </c>
      <c r="AA240" s="2">
        <v>1</v>
      </c>
      <c r="AB240" s="2">
        <v>0</v>
      </c>
      <c r="AC240" s="2">
        <v>0</v>
      </c>
    </row>
    <row r="241" spans="1:29">
      <c r="A241" s="2">
        <v>206</v>
      </c>
      <c r="B241" s="2">
        <v>253400408</v>
      </c>
      <c r="C241" s="2">
        <v>253400408</v>
      </c>
      <c r="D241" t="s">
        <v>1080</v>
      </c>
      <c r="E241" s="2">
        <v>30465</v>
      </c>
      <c r="F241" t="s">
        <v>1076</v>
      </c>
      <c r="G241" s="3">
        <v>3.92</v>
      </c>
      <c r="H241" s="2">
        <v>0</v>
      </c>
      <c r="I241" s="2">
        <v>0</v>
      </c>
      <c r="J241" s="2">
        <v>0</v>
      </c>
      <c r="K241" s="6">
        <f t="shared" si="7"/>
        <v>3.92</v>
      </c>
      <c r="L241" s="7">
        <v>0.64999668369038999</v>
      </c>
      <c r="M241" s="10">
        <f t="shared" si="8"/>
        <v>6.0307999999999939</v>
      </c>
      <c r="N241" t="s">
        <v>101</v>
      </c>
      <c r="O241" t="s">
        <v>30</v>
      </c>
      <c r="P241" t="s">
        <v>101</v>
      </c>
      <c r="Q241" t="s">
        <v>192</v>
      </c>
      <c r="R241" t="s">
        <v>579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0</v>
      </c>
      <c r="AA241" s="2">
        <v>1</v>
      </c>
      <c r="AB241" s="2">
        <v>0</v>
      </c>
      <c r="AC241" s="2">
        <v>0</v>
      </c>
    </row>
    <row r="242" spans="1:29">
      <c r="A242" s="2">
        <v>93</v>
      </c>
      <c r="B242" s="2">
        <v>241250108</v>
      </c>
      <c r="C242" s="2">
        <v>241250108</v>
      </c>
      <c r="D242" t="s">
        <v>277</v>
      </c>
      <c r="E242" t="s">
        <v>278</v>
      </c>
      <c r="F242" t="s">
        <v>279</v>
      </c>
      <c r="G242" s="3">
        <f>+VLOOKUP(B242,'[1]master_prod_15todos(30-11-2 (2)'!$B$2:$AF$470,31,FALSE)</f>
        <v>3.96</v>
      </c>
      <c r="H242" s="2">
        <v>0</v>
      </c>
      <c r="I242" s="2">
        <v>0</v>
      </c>
      <c r="J242" s="2">
        <v>0</v>
      </c>
      <c r="K242" s="6">
        <f t="shared" si="7"/>
        <v>3.96</v>
      </c>
      <c r="L242" s="7">
        <f>+VLOOKUP(B242,'[1]master_prod_15todos(30-11-2 (2)'!$B$2:$AG$470,32,FALSE)</f>
        <v>0.55000000000000004</v>
      </c>
      <c r="M242" s="10">
        <f t="shared" si="8"/>
        <v>7.1999999999999993</v>
      </c>
      <c r="N242" t="s">
        <v>30</v>
      </c>
      <c r="O242" t="s">
        <v>30</v>
      </c>
      <c r="P242" t="s">
        <v>275</v>
      </c>
      <c r="Q242" t="s">
        <v>581</v>
      </c>
      <c r="R242" t="s">
        <v>582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0</v>
      </c>
      <c r="AA242" s="2">
        <v>1</v>
      </c>
      <c r="AB242" s="2">
        <v>0</v>
      </c>
      <c r="AC242" s="2">
        <v>0</v>
      </c>
    </row>
    <row r="243" spans="1:29">
      <c r="A243" s="2">
        <v>94</v>
      </c>
      <c r="B243" s="2">
        <v>241270105</v>
      </c>
      <c r="C243" s="2">
        <v>241270105</v>
      </c>
      <c r="D243" t="s">
        <v>317</v>
      </c>
      <c r="E243" t="s">
        <v>318</v>
      </c>
      <c r="F243" t="s">
        <v>279</v>
      </c>
      <c r="G243" s="3">
        <f>+VLOOKUP(B243,'[1]master_prod_15todos(30-11-2 (2)'!$B$2:$AF$470,31,FALSE)</f>
        <v>3.96</v>
      </c>
      <c r="H243" s="2">
        <v>0</v>
      </c>
      <c r="I243" s="2">
        <v>0</v>
      </c>
      <c r="J243" s="2">
        <v>0</v>
      </c>
      <c r="K243" s="6">
        <f t="shared" si="7"/>
        <v>3.96</v>
      </c>
      <c r="L243" s="7">
        <f>+VLOOKUP(B243,'[1]master_prod_15todos(30-11-2 (2)'!$B$2:$AG$470,32,FALSE)</f>
        <v>0.55000000000000004</v>
      </c>
      <c r="M243" s="10">
        <f t="shared" si="8"/>
        <v>7.1999999999999993</v>
      </c>
      <c r="N243" t="s">
        <v>101</v>
      </c>
      <c r="O243" t="s">
        <v>30</v>
      </c>
      <c r="P243" t="s">
        <v>37</v>
      </c>
      <c r="Q243" t="s">
        <v>81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0</v>
      </c>
      <c r="AA243" s="2">
        <v>1</v>
      </c>
      <c r="AB243" s="2">
        <v>0</v>
      </c>
      <c r="AC243" s="2">
        <v>0</v>
      </c>
    </row>
    <row r="244" spans="1:29">
      <c r="A244" s="2">
        <v>42</v>
      </c>
      <c r="B244" s="2">
        <v>251850413</v>
      </c>
      <c r="C244" s="2">
        <v>251850413</v>
      </c>
      <c r="D244" t="s">
        <v>782</v>
      </c>
      <c r="E244" t="s">
        <v>783</v>
      </c>
      <c r="F244" t="s">
        <v>219</v>
      </c>
      <c r="G244" s="3">
        <v>3.98</v>
      </c>
      <c r="H244" s="2">
        <v>0</v>
      </c>
      <c r="I244" s="2">
        <v>0</v>
      </c>
      <c r="J244" s="2">
        <v>0</v>
      </c>
      <c r="K244" s="6">
        <f t="shared" si="7"/>
        <v>3.98</v>
      </c>
      <c r="L244" s="7">
        <v>0.52</v>
      </c>
      <c r="M244" s="10">
        <f t="shared" si="8"/>
        <v>7.6538461538461533</v>
      </c>
      <c r="N244" t="s">
        <v>101</v>
      </c>
      <c r="O244" t="s">
        <v>30</v>
      </c>
      <c r="P244" t="s">
        <v>101</v>
      </c>
      <c r="Q244" t="s">
        <v>81</v>
      </c>
      <c r="R244" t="s">
        <v>587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0</v>
      </c>
      <c r="Z244" s="2">
        <v>0</v>
      </c>
      <c r="AA244" s="2">
        <v>1</v>
      </c>
      <c r="AB244" s="2">
        <v>0</v>
      </c>
      <c r="AC244" s="2">
        <v>0</v>
      </c>
    </row>
    <row r="245" spans="1:29">
      <c r="A245" s="2">
        <v>41</v>
      </c>
      <c r="B245" s="2">
        <v>251850415</v>
      </c>
      <c r="C245" s="2">
        <v>251850415</v>
      </c>
      <c r="D245" t="s">
        <v>785</v>
      </c>
      <c r="E245" t="s">
        <v>786</v>
      </c>
      <c r="F245" t="s">
        <v>288</v>
      </c>
      <c r="G245" s="3">
        <v>3.98</v>
      </c>
      <c r="H245" s="2">
        <v>0</v>
      </c>
      <c r="I245" s="2">
        <v>0</v>
      </c>
      <c r="J245" s="2">
        <v>0</v>
      </c>
      <c r="K245" s="6">
        <f t="shared" si="7"/>
        <v>3.98</v>
      </c>
      <c r="L245" s="7">
        <v>0.52</v>
      </c>
      <c r="M245" s="10">
        <f t="shared" si="8"/>
        <v>7.6538461538461533</v>
      </c>
      <c r="N245" t="s">
        <v>62</v>
      </c>
      <c r="O245" t="s">
        <v>62</v>
      </c>
      <c r="P245" t="s">
        <v>62</v>
      </c>
      <c r="Q245" t="s">
        <v>58</v>
      </c>
      <c r="R245" t="s">
        <v>59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0</v>
      </c>
      <c r="AA245" s="2">
        <v>1</v>
      </c>
      <c r="AB245" s="2">
        <v>0</v>
      </c>
      <c r="AC245" s="2">
        <v>0</v>
      </c>
    </row>
    <row r="246" spans="1:29">
      <c r="A246" s="2">
        <v>878</v>
      </c>
      <c r="B246" s="2">
        <v>253400104</v>
      </c>
      <c r="C246" s="2">
        <v>253400104</v>
      </c>
      <c r="D246" t="s">
        <v>1054</v>
      </c>
      <c r="F246" t="s">
        <v>166</v>
      </c>
      <c r="G246" s="2">
        <v>4</v>
      </c>
      <c r="H246" s="2">
        <v>0</v>
      </c>
      <c r="I246" s="2">
        <v>0</v>
      </c>
      <c r="J246" s="2">
        <v>0</v>
      </c>
      <c r="K246" s="6">
        <f t="shared" si="7"/>
        <v>4</v>
      </c>
      <c r="L246" s="7">
        <v>0.65</v>
      </c>
      <c r="M246" s="10">
        <f t="shared" si="8"/>
        <v>6.1538461538461533</v>
      </c>
      <c r="N246" t="s">
        <v>51</v>
      </c>
      <c r="O246" t="s">
        <v>51</v>
      </c>
      <c r="P246" t="s">
        <v>510</v>
      </c>
      <c r="Q246" t="s">
        <v>66</v>
      </c>
      <c r="T246" s="2">
        <v>1</v>
      </c>
      <c r="U246" s="2">
        <v>1</v>
      </c>
      <c r="V246" s="2">
        <v>1</v>
      </c>
      <c r="W246" s="2">
        <v>1</v>
      </c>
      <c r="X246" s="2">
        <v>1</v>
      </c>
      <c r="Y246" s="2">
        <v>0</v>
      </c>
      <c r="Z246" s="2">
        <v>0</v>
      </c>
      <c r="AA246" s="2">
        <v>1</v>
      </c>
      <c r="AB246" s="2">
        <v>0</v>
      </c>
      <c r="AC246" s="2">
        <v>0</v>
      </c>
    </row>
    <row r="247" spans="1:29">
      <c r="A247" s="2">
        <v>879</v>
      </c>
      <c r="B247" s="2">
        <v>253400204</v>
      </c>
      <c r="C247" s="2">
        <v>253400204</v>
      </c>
      <c r="D247" t="s">
        <v>1057</v>
      </c>
      <c r="F247" t="s">
        <v>166</v>
      </c>
      <c r="G247" s="2">
        <v>4</v>
      </c>
      <c r="H247" s="2">
        <v>0</v>
      </c>
      <c r="I247" s="2">
        <v>0</v>
      </c>
      <c r="J247" s="2">
        <v>0</v>
      </c>
      <c r="K247" s="6">
        <f t="shared" si="7"/>
        <v>4</v>
      </c>
      <c r="L247" s="7">
        <v>0.65</v>
      </c>
      <c r="M247" s="10">
        <f t="shared" si="8"/>
        <v>6.1538461538461533</v>
      </c>
      <c r="N247" t="s">
        <v>86</v>
      </c>
      <c r="O247" t="s">
        <v>30</v>
      </c>
      <c r="P247" t="s">
        <v>37</v>
      </c>
      <c r="Q247" t="s">
        <v>592</v>
      </c>
      <c r="T247" s="2">
        <v>1</v>
      </c>
      <c r="U247" s="2">
        <v>1</v>
      </c>
      <c r="V247" s="2">
        <v>1</v>
      </c>
      <c r="W247" s="2">
        <v>1</v>
      </c>
      <c r="X247" s="2">
        <v>1</v>
      </c>
      <c r="Y247" s="2">
        <v>1</v>
      </c>
      <c r="Z247" s="2">
        <v>0</v>
      </c>
      <c r="AA247" s="2">
        <v>1</v>
      </c>
      <c r="AB247" s="2">
        <v>0</v>
      </c>
      <c r="AC247" s="2">
        <v>0</v>
      </c>
    </row>
    <row r="248" spans="1:29">
      <c r="A248" s="2">
        <v>880</v>
      </c>
      <c r="B248" s="2">
        <v>253402109</v>
      </c>
      <c r="C248" s="2">
        <v>253402109</v>
      </c>
      <c r="D248" t="s">
        <v>1103</v>
      </c>
      <c r="F248" t="s">
        <v>166</v>
      </c>
      <c r="G248" s="2">
        <v>4</v>
      </c>
      <c r="H248" s="2">
        <v>0</v>
      </c>
      <c r="I248" s="2">
        <v>0</v>
      </c>
      <c r="J248" s="2">
        <v>0</v>
      </c>
      <c r="K248" s="6">
        <f t="shared" si="7"/>
        <v>4</v>
      </c>
      <c r="L248" s="7">
        <v>0.65</v>
      </c>
      <c r="M248" s="10">
        <f t="shared" si="8"/>
        <v>6.1538461538461533</v>
      </c>
      <c r="N248" t="s">
        <v>51</v>
      </c>
      <c r="O248" t="s">
        <v>51</v>
      </c>
      <c r="P248" t="s">
        <v>595</v>
      </c>
      <c r="Q248" t="s">
        <v>592</v>
      </c>
      <c r="T248" s="2">
        <v>1</v>
      </c>
      <c r="U248" s="2">
        <v>50</v>
      </c>
      <c r="V248" s="2">
        <v>1</v>
      </c>
      <c r="W248" s="2">
        <v>1</v>
      </c>
      <c r="X248" s="2">
        <v>1</v>
      </c>
      <c r="Y248" s="2">
        <v>1</v>
      </c>
      <c r="Z248" s="2">
        <v>0</v>
      </c>
      <c r="AA248" s="2">
        <v>1</v>
      </c>
      <c r="AB248" s="2">
        <v>0</v>
      </c>
      <c r="AC248" s="2">
        <v>0</v>
      </c>
    </row>
    <row r="249" spans="1:29">
      <c r="A249" s="2">
        <v>252</v>
      </c>
      <c r="B249" s="2">
        <v>253050210</v>
      </c>
      <c r="C249" s="2">
        <v>253050210</v>
      </c>
      <c r="D249" t="s">
        <v>1047</v>
      </c>
      <c r="E249" t="s">
        <v>1048</v>
      </c>
      <c r="F249" t="s">
        <v>85</v>
      </c>
      <c r="G249">
        <v>4.0164999999999997</v>
      </c>
      <c r="H249" s="2">
        <v>0</v>
      </c>
      <c r="I249" s="2">
        <v>0</v>
      </c>
      <c r="J249" s="2">
        <v>0</v>
      </c>
      <c r="K249" s="6">
        <f t="shared" si="7"/>
        <v>4.0164999999999997</v>
      </c>
      <c r="L249" s="7">
        <v>0.59999701233904001</v>
      </c>
      <c r="M249" s="10">
        <f t="shared" si="8"/>
        <v>6.6941999999999968</v>
      </c>
      <c r="N249" t="s">
        <v>65</v>
      </c>
      <c r="O249" t="s">
        <v>30</v>
      </c>
      <c r="P249" t="s">
        <v>37</v>
      </c>
      <c r="Q249" t="s">
        <v>598</v>
      </c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0</v>
      </c>
      <c r="AA249" s="2">
        <v>1</v>
      </c>
      <c r="AB249" s="2">
        <v>0</v>
      </c>
      <c r="AC249" s="2">
        <v>0</v>
      </c>
    </row>
    <row r="250" spans="1:29">
      <c r="A250" s="2">
        <v>112</v>
      </c>
      <c r="B250" s="2">
        <v>240451303</v>
      </c>
      <c r="C250" s="2">
        <v>240451303</v>
      </c>
      <c r="D250" t="s">
        <v>103</v>
      </c>
      <c r="E250" t="s">
        <v>104</v>
      </c>
      <c r="F250" t="s">
        <v>85</v>
      </c>
      <c r="G250" s="3">
        <f>+VLOOKUP(B250,'[1]master_prod_15todos(30-11-2 (2)'!$B$2:$AF$470,31,FALSE)</f>
        <v>4.0199999999999996</v>
      </c>
      <c r="H250" s="2">
        <v>0</v>
      </c>
      <c r="I250" s="2">
        <v>0</v>
      </c>
      <c r="J250" s="2">
        <v>0</v>
      </c>
      <c r="K250" s="6">
        <f t="shared" si="7"/>
        <v>4.0199999999999996</v>
      </c>
      <c r="L250" s="7">
        <f>+VLOOKUP(B250,'[1]master_prod_15todos(30-11-2 (2)'!$B$2:$AG$470,32,FALSE)</f>
        <v>0.8</v>
      </c>
      <c r="M250" s="10">
        <f t="shared" si="8"/>
        <v>5.0249999999999995</v>
      </c>
      <c r="N250" t="s">
        <v>101</v>
      </c>
      <c r="O250" t="s">
        <v>30</v>
      </c>
      <c r="P250" t="s">
        <v>37</v>
      </c>
      <c r="Q250" t="s">
        <v>598</v>
      </c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0</v>
      </c>
      <c r="AA250" s="2">
        <v>1</v>
      </c>
      <c r="AB250">
        <v>0.6</v>
      </c>
      <c r="AC250">
        <v>8.0667000000000009</v>
      </c>
    </row>
    <row r="251" spans="1:29">
      <c r="A251" s="2">
        <v>163</v>
      </c>
      <c r="B251" s="2">
        <v>250500325</v>
      </c>
      <c r="C251" s="2">
        <v>250500325</v>
      </c>
      <c r="D251" t="s">
        <v>750</v>
      </c>
      <c r="F251" t="s">
        <v>446</v>
      </c>
      <c r="G251">
        <v>4.0263</v>
      </c>
      <c r="H251" s="2">
        <v>0</v>
      </c>
      <c r="I251" s="2">
        <v>0</v>
      </c>
      <c r="J251" s="2">
        <v>0</v>
      </c>
      <c r="K251" s="6">
        <f t="shared" si="7"/>
        <v>4.0263</v>
      </c>
      <c r="L251" s="7">
        <v>0.37</v>
      </c>
      <c r="M251" s="10">
        <f t="shared" si="8"/>
        <v>10.881891891891891</v>
      </c>
      <c r="N251" t="s">
        <v>35</v>
      </c>
      <c r="O251" t="s">
        <v>30</v>
      </c>
      <c r="P251" t="s">
        <v>35</v>
      </c>
      <c r="Q251" t="s">
        <v>598</v>
      </c>
      <c r="R251" t="s">
        <v>600</v>
      </c>
      <c r="T251" s="2">
        <v>1</v>
      </c>
      <c r="U251" s="2">
        <v>1</v>
      </c>
      <c r="V251" s="2">
        <v>1</v>
      </c>
      <c r="W251" s="2">
        <v>1</v>
      </c>
      <c r="X251" s="2">
        <v>1</v>
      </c>
      <c r="Y251" s="2">
        <v>1</v>
      </c>
      <c r="Z251" s="2">
        <v>0</v>
      </c>
      <c r="AA251" s="2">
        <v>1</v>
      </c>
      <c r="AB251" s="2">
        <v>0</v>
      </c>
      <c r="AC251" s="2">
        <v>0</v>
      </c>
    </row>
    <row r="252" spans="1:29">
      <c r="A252" s="2">
        <v>162</v>
      </c>
      <c r="B252" s="2">
        <v>250500329</v>
      </c>
      <c r="C252" s="2">
        <v>250500329</v>
      </c>
      <c r="D252" t="s">
        <v>753</v>
      </c>
      <c r="F252" t="s">
        <v>446</v>
      </c>
      <c r="G252">
        <v>4.0263</v>
      </c>
      <c r="H252" s="2">
        <v>0</v>
      </c>
      <c r="I252" s="2">
        <v>0</v>
      </c>
      <c r="J252" s="2">
        <v>0</v>
      </c>
      <c r="K252" s="6">
        <f t="shared" si="7"/>
        <v>4.0263</v>
      </c>
      <c r="L252" s="7">
        <v>0.46000137098985</v>
      </c>
      <c r="M252" s="10">
        <f t="shared" si="8"/>
        <v>8.7528000000000894</v>
      </c>
      <c r="N252" t="s">
        <v>35</v>
      </c>
      <c r="O252" t="s">
        <v>30</v>
      </c>
      <c r="P252" t="s">
        <v>35</v>
      </c>
      <c r="Q252" t="s">
        <v>598</v>
      </c>
      <c r="R252" t="s">
        <v>600</v>
      </c>
      <c r="T252" s="2">
        <v>1</v>
      </c>
      <c r="U252" s="2">
        <v>1</v>
      </c>
      <c r="V252" s="2">
        <v>1</v>
      </c>
      <c r="W252" s="2">
        <v>1</v>
      </c>
      <c r="X252" s="2">
        <v>1</v>
      </c>
      <c r="Y252" s="2">
        <v>1</v>
      </c>
      <c r="Z252" s="2">
        <v>0</v>
      </c>
      <c r="AA252" s="2">
        <v>1</v>
      </c>
      <c r="AB252" s="2">
        <v>0</v>
      </c>
      <c r="AC252" s="2">
        <v>0</v>
      </c>
    </row>
    <row r="253" spans="1:29">
      <c r="A253" s="2">
        <v>370</v>
      </c>
      <c r="B253" s="2">
        <v>250450214</v>
      </c>
      <c r="C253" s="2">
        <v>250450214</v>
      </c>
      <c r="D253" t="s">
        <v>729</v>
      </c>
      <c r="E253" s="2">
        <v>11290050</v>
      </c>
      <c r="F253" t="s">
        <v>100</v>
      </c>
      <c r="G253" s="3">
        <v>4.07</v>
      </c>
      <c r="H253" s="2">
        <v>0</v>
      </c>
      <c r="I253" s="2">
        <v>0</v>
      </c>
      <c r="J253" s="2">
        <v>0</v>
      </c>
      <c r="K253" s="6">
        <f t="shared" si="7"/>
        <v>4.07</v>
      </c>
      <c r="L253" s="7">
        <v>0.6</v>
      </c>
      <c r="M253" s="10">
        <f t="shared" si="8"/>
        <v>6.7833333333333341</v>
      </c>
      <c r="N253" t="s">
        <v>30</v>
      </c>
      <c r="O253" t="s">
        <v>30</v>
      </c>
      <c r="P253" t="s">
        <v>51</v>
      </c>
      <c r="Q253" t="s">
        <v>592</v>
      </c>
      <c r="T253" s="2">
        <v>1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0</v>
      </c>
      <c r="AA253" s="2">
        <v>1</v>
      </c>
      <c r="AB253" s="2">
        <v>0</v>
      </c>
      <c r="AC253" s="2">
        <v>0</v>
      </c>
    </row>
    <row r="254" spans="1:29">
      <c r="A254" s="2">
        <v>415</v>
      </c>
      <c r="B254" s="2">
        <v>242350209</v>
      </c>
      <c r="C254" s="2">
        <v>242350209</v>
      </c>
      <c r="D254" t="s">
        <v>541</v>
      </c>
      <c r="E254" s="2">
        <v>2006</v>
      </c>
      <c r="F254" t="s">
        <v>542</v>
      </c>
      <c r="G254">
        <v>4.2</v>
      </c>
      <c r="H254" s="2">
        <v>0</v>
      </c>
      <c r="I254" s="2">
        <v>0</v>
      </c>
      <c r="J254" s="2">
        <v>0</v>
      </c>
      <c r="K254" s="6">
        <f t="shared" si="7"/>
        <v>4.2</v>
      </c>
      <c r="L254" s="7">
        <v>0.55000000000000004</v>
      </c>
      <c r="M254" s="10">
        <f t="shared" si="8"/>
        <v>7.6363636363636358</v>
      </c>
      <c r="N254" t="s">
        <v>30</v>
      </c>
      <c r="O254" t="s">
        <v>30</v>
      </c>
      <c r="P254" t="s">
        <v>30</v>
      </c>
      <c r="Q254" t="s">
        <v>592</v>
      </c>
      <c r="R254" t="s">
        <v>607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0</v>
      </c>
      <c r="AA254" s="2">
        <v>1</v>
      </c>
      <c r="AB254" s="2">
        <v>0</v>
      </c>
      <c r="AC254" s="2">
        <v>0</v>
      </c>
    </row>
    <row r="255" spans="1:29">
      <c r="A255" s="2">
        <v>558</v>
      </c>
      <c r="B255" s="2">
        <v>242350299</v>
      </c>
      <c r="C255" s="2">
        <v>242350299</v>
      </c>
      <c r="D255" t="s">
        <v>541</v>
      </c>
      <c r="E255" s="2">
        <v>32630</v>
      </c>
      <c r="F255" t="s">
        <v>219</v>
      </c>
      <c r="G255">
        <v>4.2</v>
      </c>
      <c r="H255" s="2">
        <v>0</v>
      </c>
      <c r="I255" s="2">
        <v>0</v>
      </c>
      <c r="J255" s="2">
        <v>0</v>
      </c>
      <c r="K255" s="6">
        <f t="shared" si="7"/>
        <v>4.2</v>
      </c>
      <c r="L255" s="7">
        <v>0.6</v>
      </c>
      <c r="M255" s="10">
        <f t="shared" si="8"/>
        <v>7.0000000000000009</v>
      </c>
      <c r="N255" t="s">
        <v>51</v>
      </c>
      <c r="O255" t="s">
        <v>30</v>
      </c>
      <c r="P255" t="s">
        <v>276</v>
      </c>
      <c r="Q255" t="s">
        <v>592</v>
      </c>
      <c r="R255" t="s">
        <v>37</v>
      </c>
      <c r="T255" s="2">
        <v>1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0</v>
      </c>
      <c r="AA255" s="2">
        <v>1</v>
      </c>
      <c r="AB255" s="2">
        <v>0</v>
      </c>
      <c r="AC255" s="2">
        <v>0</v>
      </c>
    </row>
    <row r="256" spans="1:29">
      <c r="A256" s="2">
        <v>643</v>
      </c>
      <c r="B256" t="s">
        <v>1132</v>
      </c>
      <c r="C256" t="s">
        <v>1133</v>
      </c>
      <c r="D256" t="s">
        <v>1189</v>
      </c>
      <c r="E256" s="2">
        <v>32630</v>
      </c>
      <c r="F256" t="s">
        <v>219</v>
      </c>
      <c r="G256">
        <v>4.2</v>
      </c>
      <c r="H256" s="2">
        <v>0</v>
      </c>
      <c r="I256" s="2">
        <v>0</v>
      </c>
      <c r="J256" s="2">
        <v>0</v>
      </c>
      <c r="K256" s="6">
        <f t="shared" si="7"/>
        <v>4.2</v>
      </c>
      <c r="L256" s="7">
        <v>0.6</v>
      </c>
      <c r="M256" s="10">
        <f t="shared" si="8"/>
        <v>7.0000000000000009</v>
      </c>
      <c r="N256" t="s">
        <v>30</v>
      </c>
      <c r="O256" t="s">
        <v>30</v>
      </c>
      <c r="P256" t="s">
        <v>86</v>
      </c>
      <c r="Q256" t="s">
        <v>592</v>
      </c>
      <c r="T256" s="2">
        <v>50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  <c r="Z256" s="2">
        <v>0</v>
      </c>
      <c r="AA256" s="2">
        <v>1</v>
      </c>
      <c r="AB256" s="2">
        <v>0</v>
      </c>
      <c r="AC256" s="2">
        <v>0</v>
      </c>
    </row>
    <row r="257" spans="1:29">
      <c r="A257" s="2">
        <v>896</v>
      </c>
      <c r="B257" s="2">
        <v>250150308</v>
      </c>
      <c r="C257" s="2">
        <v>250150308</v>
      </c>
      <c r="D257" t="s">
        <v>679</v>
      </c>
      <c r="F257" t="s">
        <v>39</v>
      </c>
      <c r="G257" s="3">
        <v>4.24</v>
      </c>
      <c r="H257" s="2">
        <v>0</v>
      </c>
      <c r="I257" s="2">
        <v>0</v>
      </c>
      <c r="J257" s="2">
        <v>0</v>
      </c>
      <c r="K257" s="6">
        <f t="shared" si="7"/>
        <v>4.24</v>
      </c>
      <c r="L257" s="7">
        <v>0.8</v>
      </c>
      <c r="M257" s="10">
        <f t="shared" si="8"/>
        <v>5.3</v>
      </c>
      <c r="N257" t="s">
        <v>86</v>
      </c>
      <c r="O257" t="s">
        <v>30</v>
      </c>
      <c r="P257" t="s">
        <v>86</v>
      </c>
      <c r="Q257" t="s">
        <v>592</v>
      </c>
      <c r="T257" s="2">
        <v>50</v>
      </c>
      <c r="U257" s="2">
        <v>1</v>
      </c>
      <c r="V257" s="2">
        <v>1</v>
      </c>
      <c r="W257" s="2">
        <v>1</v>
      </c>
      <c r="X257" s="2">
        <v>0</v>
      </c>
      <c r="Y257" s="2">
        <v>0</v>
      </c>
      <c r="Z257" s="2">
        <v>0</v>
      </c>
      <c r="AA257" s="2">
        <v>1</v>
      </c>
      <c r="AB257" s="2">
        <v>1</v>
      </c>
      <c r="AC257" s="3">
        <v>1.79</v>
      </c>
    </row>
    <row r="258" spans="1:29">
      <c r="A258" s="2">
        <v>757</v>
      </c>
      <c r="B258" s="2">
        <v>292250203</v>
      </c>
      <c r="C258" s="2">
        <v>292250203</v>
      </c>
      <c r="D258" t="s">
        <v>1127</v>
      </c>
      <c r="F258" t="s">
        <v>85</v>
      </c>
      <c r="G258">
        <v>4.2625000000000002</v>
      </c>
      <c r="H258" s="2">
        <v>0</v>
      </c>
      <c r="I258" s="2">
        <v>0</v>
      </c>
      <c r="J258" s="2">
        <v>0</v>
      </c>
      <c r="K258" s="6">
        <f t="shared" si="7"/>
        <v>4.2625000000000002</v>
      </c>
      <c r="L258" s="7">
        <v>0.55000000000000004</v>
      </c>
      <c r="M258" s="10">
        <f t="shared" si="8"/>
        <v>7.75</v>
      </c>
      <c r="N258" t="s">
        <v>40</v>
      </c>
      <c r="O258" t="s">
        <v>30</v>
      </c>
      <c r="P258" t="s">
        <v>40</v>
      </c>
      <c r="Q258" t="s">
        <v>81</v>
      </c>
      <c r="R258" t="s">
        <v>614</v>
      </c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2">
        <v>0</v>
      </c>
      <c r="Z258" s="2">
        <v>0</v>
      </c>
      <c r="AA258" s="2">
        <v>1</v>
      </c>
      <c r="AB258" s="2">
        <v>0</v>
      </c>
      <c r="AC258" s="2">
        <v>0</v>
      </c>
    </row>
    <row r="259" spans="1:29">
      <c r="A259" s="2">
        <v>686</v>
      </c>
      <c r="B259" s="2">
        <v>250450210</v>
      </c>
      <c r="C259" s="2">
        <v>250450210</v>
      </c>
      <c r="D259" t="s">
        <v>728</v>
      </c>
      <c r="F259" t="s">
        <v>279</v>
      </c>
      <c r="G259">
        <v>4.2667000000000002</v>
      </c>
      <c r="H259" s="2">
        <v>0</v>
      </c>
      <c r="I259" s="2">
        <v>0</v>
      </c>
      <c r="J259" s="2">
        <v>0</v>
      </c>
      <c r="K259" s="6">
        <f t="shared" ref="K259:K322" si="9">SUM(G259:J259)</f>
        <v>4.2667000000000002</v>
      </c>
      <c r="L259" s="7">
        <v>0.55000000000000004</v>
      </c>
      <c r="M259" s="10">
        <f t="shared" si="8"/>
        <v>7.7576363636363634</v>
      </c>
      <c r="N259" t="s">
        <v>51</v>
      </c>
      <c r="O259" t="s">
        <v>30</v>
      </c>
      <c r="P259" t="s">
        <v>51</v>
      </c>
      <c r="Q259" t="s">
        <v>592</v>
      </c>
      <c r="R259" t="s">
        <v>616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0</v>
      </c>
      <c r="AA259" s="2">
        <v>1</v>
      </c>
      <c r="AB259" s="2">
        <v>0</v>
      </c>
      <c r="AC259" s="2">
        <v>0</v>
      </c>
    </row>
    <row r="260" spans="1:29">
      <c r="A260" s="2">
        <v>721</v>
      </c>
      <c r="B260" s="2">
        <v>252300504</v>
      </c>
      <c r="C260" s="2">
        <v>252300504</v>
      </c>
      <c r="D260" t="s">
        <v>836</v>
      </c>
      <c r="F260" t="s">
        <v>75</v>
      </c>
      <c r="G260">
        <v>4.3331</v>
      </c>
      <c r="H260" s="2">
        <v>0</v>
      </c>
      <c r="I260" s="2">
        <v>0</v>
      </c>
      <c r="J260" s="2">
        <v>0</v>
      </c>
      <c r="K260" s="6">
        <f t="shared" si="9"/>
        <v>4.3331</v>
      </c>
      <c r="L260" s="7">
        <v>0.6</v>
      </c>
      <c r="M260" s="10">
        <f t="shared" ref="M260:M323" si="10">+K260/L260</f>
        <v>7.2218333333333335</v>
      </c>
      <c r="N260" t="s">
        <v>51</v>
      </c>
      <c r="O260" t="s">
        <v>30</v>
      </c>
      <c r="P260" t="s">
        <v>37</v>
      </c>
      <c r="Q260" t="s">
        <v>592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0</v>
      </c>
      <c r="AA260" s="2">
        <v>1</v>
      </c>
      <c r="AB260">
        <v>0.5</v>
      </c>
      <c r="AC260" s="3">
        <v>3.02</v>
      </c>
    </row>
    <row r="261" spans="1:29">
      <c r="A261" s="2">
        <v>731</v>
      </c>
      <c r="B261" s="2">
        <v>242202444</v>
      </c>
      <c r="C261" s="2">
        <v>242202444</v>
      </c>
      <c r="D261" t="s">
        <v>492</v>
      </c>
      <c r="E261" s="2">
        <v>9023</v>
      </c>
      <c r="F261" t="s">
        <v>403</v>
      </c>
      <c r="G261">
        <v>4.4000000000000004</v>
      </c>
      <c r="H261" s="2">
        <v>0</v>
      </c>
      <c r="I261" s="2">
        <v>0</v>
      </c>
      <c r="J261" s="2">
        <v>0</v>
      </c>
      <c r="K261" s="6">
        <f t="shared" si="9"/>
        <v>4.4000000000000004</v>
      </c>
      <c r="L261" s="7">
        <v>0.55000000000000004</v>
      </c>
      <c r="M261" s="10">
        <f t="shared" si="10"/>
        <v>8</v>
      </c>
      <c r="N261" t="s">
        <v>51</v>
      </c>
      <c r="O261" t="s">
        <v>30</v>
      </c>
      <c r="P261" t="s">
        <v>37</v>
      </c>
      <c r="Q261" t="s">
        <v>592</v>
      </c>
      <c r="T261" s="2">
        <v>1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0</v>
      </c>
      <c r="AA261" s="2">
        <v>1</v>
      </c>
      <c r="AB261" s="2">
        <v>0</v>
      </c>
      <c r="AC261" s="2">
        <v>0</v>
      </c>
    </row>
    <row r="262" spans="1:29">
      <c r="A262" s="2">
        <v>279</v>
      </c>
      <c r="B262" s="2">
        <v>250500319</v>
      </c>
      <c r="C262" s="2">
        <v>250500319</v>
      </c>
      <c r="D262" t="s">
        <v>748</v>
      </c>
      <c r="F262" t="s">
        <v>749</v>
      </c>
      <c r="G262" s="3">
        <v>4.66</v>
      </c>
      <c r="H262" s="2">
        <v>0</v>
      </c>
      <c r="I262" s="2">
        <v>0</v>
      </c>
      <c r="J262" s="2">
        <v>0</v>
      </c>
      <c r="K262" s="6">
        <f t="shared" si="9"/>
        <v>4.66</v>
      </c>
      <c r="L262" s="7">
        <v>0.65</v>
      </c>
      <c r="M262" s="10">
        <f t="shared" si="10"/>
        <v>7.1692307692307695</v>
      </c>
      <c r="N262" t="s">
        <v>51</v>
      </c>
      <c r="O262" t="s">
        <v>30</v>
      </c>
      <c r="P262" t="s">
        <v>37</v>
      </c>
      <c r="Q262" t="s">
        <v>592</v>
      </c>
      <c r="T262" s="2">
        <v>1</v>
      </c>
      <c r="U262" s="2">
        <v>1</v>
      </c>
      <c r="V262" s="2">
        <v>1</v>
      </c>
      <c r="W262" s="2">
        <v>1</v>
      </c>
      <c r="X262" s="2">
        <v>1</v>
      </c>
      <c r="Y262" s="2">
        <v>1</v>
      </c>
      <c r="Z262" s="2">
        <v>0</v>
      </c>
      <c r="AA262" s="2">
        <v>1</v>
      </c>
      <c r="AB262" s="2">
        <v>0</v>
      </c>
      <c r="AC262" s="2">
        <v>0</v>
      </c>
    </row>
    <row r="263" spans="1:29">
      <c r="A263" s="2">
        <v>280</v>
      </c>
      <c r="B263" s="2">
        <v>250510319</v>
      </c>
      <c r="C263" s="2">
        <v>250510319</v>
      </c>
      <c r="D263" t="s">
        <v>763</v>
      </c>
      <c r="F263" t="s">
        <v>446</v>
      </c>
      <c r="G263" s="3">
        <v>4.66</v>
      </c>
      <c r="H263" s="2">
        <v>0</v>
      </c>
      <c r="I263" s="2">
        <v>0</v>
      </c>
      <c r="J263" s="2">
        <v>0</v>
      </c>
      <c r="K263" s="6">
        <f t="shared" si="9"/>
        <v>4.66</v>
      </c>
      <c r="L263" s="7">
        <v>0.65</v>
      </c>
      <c r="M263" s="10">
        <f t="shared" si="10"/>
        <v>7.1692307692307695</v>
      </c>
      <c r="N263" t="s">
        <v>51</v>
      </c>
      <c r="O263" t="s">
        <v>30</v>
      </c>
      <c r="P263" t="s">
        <v>276</v>
      </c>
      <c r="Q263" t="s">
        <v>592</v>
      </c>
      <c r="R263" t="s">
        <v>37</v>
      </c>
      <c r="T263" s="2">
        <v>1</v>
      </c>
      <c r="U263" s="2">
        <v>1</v>
      </c>
      <c r="V263" s="2">
        <v>1</v>
      </c>
      <c r="W263" s="2">
        <v>1</v>
      </c>
      <c r="X263" s="2">
        <v>1</v>
      </c>
      <c r="Y263" s="2">
        <v>1</v>
      </c>
      <c r="Z263" s="2">
        <v>0</v>
      </c>
      <c r="AA263" s="2">
        <v>1</v>
      </c>
      <c r="AB263" s="2">
        <v>0</v>
      </c>
      <c r="AC263" s="2">
        <v>0</v>
      </c>
    </row>
    <row r="264" spans="1:29">
      <c r="A264" s="2">
        <v>326</v>
      </c>
      <c r="B264" s="2">
        <v>252600170</v>
      </c>
      <c r="C264" s="2">
        <v>252600170</v>
      </c>
      <c r="D264" t="s">
        <v>865</v>
      </c>
      <c r="E264" t="s">
        <v>866</v>
      </c>
      <c r="F264" t="s">
        <v>304</v>
      </c>
      <c r="G264" s="3">
        <v>4.71</v>
      </c>
      <c r="H264" s="2">
        <v>0</v>
      </c>
      <c r="I264" s="2">
        <v>0</v>
      </c>
      <c r="J264" s="2">
        <v>0</v>
      </c>
      <c r="K264" s="6">
        <f t="shared" si="9"/>
        <v>4.71</v>
      </c>
      <c r="L264" s="7">
        <v>0.35</v>
      </c>
      <c r="M264" s="10">
        <f t="shared" si="10"/>
        <v>13.457142857142857</v>
      </c>
      <c r="O264" t="s">
        <v>30</v>
      </c>
      <c r="Q264" t="s">
        <v>49</v>
      </c>
      <c r="T264" s="2">
        <v>1</v>
      </c>
      <c r="U264" s="2">
        <v>1</v>
      </c>
      <c r="V264" s="2">
        <v>1</v>
      </c>
      <c r="W264" s="2">
        <v>1</v>
      </c>
      <c r="X264" s="2">
        <v>1</v>
      </c>
      <c r="Y264" s="2">
        <v>1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s="2">
        <v>678</v>
      </c>
      <c r="B265" s="2">
        <v>242300202</v>
      </c>
      <c r="C265" s="2">
        <v>242300202</v>
      </c>
      <c r="D265" t="s">
        <v>514</v>
      </c>
      <c r="F265" t="s">
        <v>515</v>
      </c>
      <c r="G265">
        <v>4.8</v>
      </c>
      <c r="H265" s="2">
        <v>0</v>
      </c>
      <c r="I265" s="2">
        <v>0</v>
      </c>
      <c r="J265" s="2">
        <v>0</v>
      </c>
      <c r="K265" s="6">
        <f t="shared" si="9"/>
        <v>4.8</v>
      </c>
      <c r="L265" s="7">
        <v>0.6</v>
      </c>
      <c r="M265" s="10">
        <f t="shared" si="10"/>
        <v>8</v>
      </c>
      <c r="Q265" t="s">
        <v>49</v>
      </c>
      <c r="T265" s="2">
        <v>1</v>
      </c>
      <c r="U265" s="2">
        <v>1</v>
      </c>
      <c r="V265" s="2">
        <v>1</v>
      </c>
      <c r="W265" s="2">
        <v>1</v>
      </c>
      <c r="X265" s="2">
        <v>0</v>
      </c>
      <c r="Y265" s="2">
        <v>1</v>
      </c>
      <c r="Z265" s="2">
        <v>0</v>
      </c>
      <c r="AB265" s="2">
        <v>0</v>
      </c>
      <c r="AC265" s="2">
        <v>0</v>
      </c>
    </row>
    <row r="266" spans="1:29">
      <c r="A266" s="2">
        <v>314</v>
      </c>
      <c r="B266" s="2">
        <v>242202364</v>
      </c>
      <c r="C266" s="2">
        <v>242202364</v>
      </c>
      <c r="D266" t="s">
        <v>491</v>
      </c>
      <c r="F266" t="s">
        <v>446</v>
      </c>
      <c r="G266" s="2">
        <v>5</v>
      </c>
      <c r="H266" s="2">
        <v>0</v>
      </c>
      <c r="I266" s="2">
        <v>0</v>
      </c>
      <c r="J266" s="2">
        <v>0</v>
      </c>
      <c r="K266" s="6">
        <f t="shared" si="9"/>
        <v>5</v>
      </c>
      <c r="L266" s="7">
        <v>0.45</v>
      </c>
      <c r="M266" s="10">
        <f t="shared" si="10"/>
        <v>11.111111111111111</v>
      </c>
      <c r="N266" t="s">
        <v>71</v>
      </c>
      <c r="O266" t="s">
        <v>30</v>
      </c>
      <c r="P266" t="s">
        <v>71</v>
      </c>
      <c r="Q266" t="s">
        <v>66</v>
      </c>
      <c r="T266" s="2">
        <v>1</v>
      </c>
      <c r="U266" s="2">
        <v>1</v>
      </c>
      <c r="V266" s="2">
        <v>1</v>
      </c>
      <c r="W266" s="2">
        <v>1</v>
      </c>
      <c r="X266" s="2">
        <v>1</v>
      </c>
      <c r="Y266" s="2">
        <v>0</v>
      </c>
      <c r="Z266" s="2">
        <v>0</v>
      </c>
      <c r="AA266" s="2">
        <v>1</v>
      </c>
      <c r="AB266" s="2">
        <v>0</v>
      </c>
      <c r="AC266" s="2">
        <v>0</v>
      </c>
    </row>
    <row r="267" spans="1:29">
      <c r="A267" s="2">
        <v>327</v>
      </c>
      <c r="B267" s="2">
        <v>252600167</v>
      </c>
      <c r="C267" s="2">
        <v>252600167</v>
      </c>
      <c r="D267" t="s">
        <v>858</v>
      </c>
      <c r="E267" t="s">
        <v>859</v>
      </c>
      <c r="F267" t="s">
        <v>304</v>
      </c>
      <c r="G267" s="3">
        <v>5.17</v>
      </c>
      <c r="H267" s="2">
        <v>0</v>
      </c>
      <c r="I267" s="2">
        <v>0</v>
      </c>
      <c r="J267" s="2">
        <v>0</v>
      </c>
      <c r="K267" s="6">
        <f t="shared" si="9"/>
        <v>5.17</v>
      </c>
      <c r="L267" s="7">
        <v>0.7</v>
      </c>
      <c r="M267" s="10">
        <f t="shared" si="10"/>
        <v>7.3857142857142861</v>
      </c>
      <c r="N267" t="s">
        <v>71</v>
      </c>
      <c r="O267" t="s">
        <v>71</v>
      </c>
      <c r="P267" t="s">
        <v>37</v>
      </c>
      <c r="Q267" t="s">
        <v>66</v>
      </c>
      <c r="T267" s="2">
        <v>1</v>
      </c>
      <c r="U267" s="2">
        <v>100</v>
      </c>
      <c r="V267" s="2">
        <v>1</v>
      </c>
      <c r="W267" s="2">
        <v>1</v>
      </c>
      <c r="X267" s="2">
        <v>1</v>
      </c>
      <c r="Y267" s="2">
        <v>0</v>
      </c>
      <c r="Z267" s="2">
        <v>0</v>
      </c>
      <c r="AA267" s="2">
        <v>1</v>
      </c>
      <c r="AB267" s="2">
        <v>0</v>
      </c>
      <c r="AC267" s="2">
        <v>0</v>
      </c>
    </row>
    <row r="268" spans="1:29">
      <c r="A268" s="2">
        <v>742</v>
      </c>
      <c r="B268" s="2">
        <v>272100124</v>
      </c>
      <c r="C268" s="2">
        <v>272100124</v>
      </c>
      <c r="D268" t="s">
        <v>1105</v>
      </c>
      <c r="F268" t="s">
        <v>304</v>
      </c>
      <c r="G268">
        <v>5.2149999999999999</v>
      </c>
      <c r="H268" s="2">
        <v>0</v>
      </c>
      <c r="I268" s="2">
        <v>0</v>
      </c>
      <c r="J268" s="2">
        <v>0</v>
      </c>
      <c r="K268" s="6">
        <f t="shared" si="9"/>
        <v>5.2149999999999999</v>
      </c>
      <c r="L268" s="7">
        <v>0.7</v>
      </c>
      <c r="M268" s="10">
        <f t="shared" si="10"/>
        <v>7.45</v>
      </c>
      <c r="N268" t="s">
        <v>30</v>
      </c>
      <c r="O268" t="s">
        <v>30</v>
      </c>
      <c r="P268" t="s">
        <v>276</v>
      </c>
      <c r="Q268" t="s">
        <v>66</v>
      </c>
      <c r="R268" t="s">
        <v>37</v>
      </c>
      <c r="T268" s="2">
        <v>1</v>
      </c>
      <c r="U268" s="2">
        <v>1</v>
      </c>
      <c r="V268" s="2">
        <v>1</v>
      </c>
      <c r="W268" s="2">
        <v>1</v>
      </c>
      <c r="X268" s="2">
        <v>0</v>
      </c>
      <c r="Y268" s="2">
        <v>0</v>
      </c>
      <c r="Z268" s="2">
        <v>0</v>
      </c>
      <c r="AA268" s="2">
        <v>1</v>
      </c>
      <c r="AB268" s="2">
        <v>0</v>
      </c>
      <c r="AC268" s="2">
        <v>0</v>
      </c>
    </row>
    <row r="269" spans="1:29">
      <c r="A269" s="2">
        <v>727</v>
      </c>
      <c r="B269" s="2">
        <v>252600151</v>
      </c>
      <c r="C269" s="2">
        <v>252600151</v>
      </c>
      <c r="D269" t="s">
        <v>854</v>
      </c>
      <c r="E269" s="2">
        <v>783100</v>
      </c>
      <c r="F269" t="s">
        <v>288</v>
      </c>
      <c r="G269">
        <v>5.4124999999999996</v>
      </c>
      <c r="H269" s="2">
        <v>0</v>
      </c>
      <c r="I269" s="2">
        <v>0</v>
      </c>
      <c r="J269" s="2">
        <v>0</v>
      </c>
      <c r="K269" s="6">
        <f t="shared" si="9"/>
        <v>5.4124999999999996</v>
      </c>
      <c r="L269" s="7">
        <v>0.55000000000000004</v>
      </c>
      <c r="M269" s="10">
        <f t="shared" si="10"/>
        <v>9.8409090909090899</v>
      </c>
      <c r="N269" t="s">
        <v>30</v>
      </c>
      <c r="O269" t="s">
        <v>30</v>
      </c>
      <c r="P269" t="s">
        <v>51</v>
      </c>
      <c r="Q269" t="s">
        <v>66</v>
      </c>
      <c r="R269" t="s">
        <v>66</v>
      </c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2">
        <v>1</v>
      </c>
      <c r="Z269" s="2">
        <v>0</v>
      </c>
      <c r="AA269" s="2">
        <v>1</v>
      </c>
      <c r="AB269" s="2">
        <v>0</v>
      </c>
      <c r="AC269" s="2">
        <v>0</v>
      </c>
    </row>
    <row r="270" spans="1:29">
      <c r="A270" s="2">
        <v>167</v>
      </c>
      <c r="B270" s="2">
        <v>252600351</v>
      </c>
      <c r="C270" s="2">
        <v>252600351</v>
      </c>
      <c r="D270" t="s">
        <v>869</v>
      </c>
      <c r="E270" s="2">
        <v>18350001</v>
      </c>
      <c r="F270" t="s">
        <v>100</v>
      </c>
      <c r="G270">
        <v>5.4124999999999996</v>
      </c>
      <c r="H270" s="2">
        <v>0</v>
      </c>
      <c r="I270" s="2">
        <v>0</v>
      </c>
      <c r="J270" s="2">
        <v>0</v>
      </c>
      <c r="K270" s="6">
        <f t="shared" si="9"/>
        <v>5.4124999999999996</v>
      </c>
      <c r="L270" s="7">
        <v>0.6</v>
      </c>
      <c r="M270" s="10">
        <f t="shared" si="10"/>
        <v>9.0208333333333339</v>
      </c>
      <c r="N270" t="s">
        <v>30</v>
      </c>
      <c r="O270" t="s">
        <v>30</v>
      </c>
      <c r="P270" t="s">
        <v>276</v>
      </c>
      <c r="Q270" t="s">
        <v>66</v>
      </c>
      <c r="R270" t="s">
        <v>37</v>
      </c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2">
        <v>0</v>
      </c>
      <c r="Z270" s="2">
        <v>0</v>
      </c>
      <c r="AA270" s="2">
        <v>1</v>
      </c>
      <c r="AB270" s="2">
        <v>0</v>
      </c>
      <c r="AC270" s="2">
        <v>0</v>
      </c>
    </row>
    <row r="271" spans="1:29">
      <c r="A271" s="2">
        <v>270</v>
      </c>
      <c r="B271" s="2">
        <v>243050302</v>
      </c>
      <c r="C271" s="2">
        <v>243050302</v>
      </c>
      <c r="D271" t="s">
        <v>583</v>
      </c>
      <c r="E271" s="2">
        <v>17732</v>
      </c>
      <c r="F271" t="s">
        <v>353</v>
      </c>
      <c r="G271">
        <v>5.5</v>
      </c>
      <c r="H271" s="2">
        <v>0</v>
      </c>
      <c r="I271" s="2">
        <v>0</v>
      </c>
      <c r="J271" s="2">
        <v>0</v>
      </c>
      <c r="K271" s="6">
        <f t="shared" si="9"/>
        <v>5.5</v>
      </c>
      <c r="L271" s="7">
        <v>0.6</v>
      </c>
      <c r="M271" s="10">
        <f t="shared" si="10"/>
        <v>9.1666666666666679</v>
      </c>
      <c r="N271" t="s">
        <v>635</v>
      </c>
      <c r="O271" t="s">
        <v>636</v>
      </c>
      <c r="P271" t="s">
        <v>595</v>
      </c>
      <c r="Q271" t="s">
        <v>66</v>
      </c>
      <c r="R271" t="s">
        <v>37</v>
      </c>
      <c r="T271" s="2">
        <v>1</v>
      </c>
      <c r="U271" s="2">
        <v>1</v>
      </c>
      <c r="V271" s="2">
        <v>1</v>
      </c>
      <c r="W271" s="2">
        <v>1</v>
      </c>
      <c r="X271" s="2">
        <v>1</v>
      </c>
      <c r="Y271" s="2">
        <v>0</v>
      </c>
      <c r="Z271" s="2">
        <v>0</v>
      </c>
      <c r="AA271" s="2">
        <v>1</v>
      </c>
      <c r="AB271" s="2">
        <v>0</v>
      </c>
      <c r="AC271" s="2">
        <v>0</v>
      </c>
    </row>
    <row r="272" spans="1:29">
      <c r="A272" s="2">
        <v>40</v>
      </c>
      <c r="B272" s="2">
        <v>251850513</v>
      </c>
      <c r="C272" s="2">
        <v>251850513</v>
      </c>
      <c r="D272" t="s">
        <v>788</v>
      </c>
      <c r="E272" s="2">
        <v>2202794</v>
      </c>
      <c r="F272" t="s">
        <v>219</v>
      </c>
      <c r="G272">
        <v>5.5720000000000001</v>
      </c>
      <c r="H272" s="2">
        <v>0</v>
      </c>
      <c r="I272" s="2">
        <v>0</v>
      </c>
      <c r="J272" s="2">
        <v>0</v>
      </c>
      <c r="K272" s="6">
        <f t="shared" si="9"/>
        <v>5.5720000000000001</v>
      </c>
      <c r="L272" s="7">
        <v>0.65000058327402999</v>
      </c>
      <c r="M272" s="10">
        <f t="shared" si="10"/>
        <v>8.57230000000005</v>
      </c>
      <c r="N272" t="s">
        <v>68</v>
      </c>
      <c r="O272" t="s">
        <v>30</v>
      </c>
      <c r="P272" t="s">
        <v>37</v>
      </c>
      <c r="Q272" t="s">
        <v>66</v>
      </c>
      <c r="T272" s="2">
        <v>50</v>
      </c>
      <c r="U272" s="2">
        <v>1</v>
      </c>
      <c r="V272" s="2">
        <v>1</v>
      </c>
      <c r="W272" s="2">
        <v>1</v>
      </c>
      <c r="X272" s="2">
        <v>1</v>
      </c>
      <c r="Y272" s="2">
        <v>0</v>
      </c>
      <c r="Z272" s="2">
        <v>0</v>
      </c>
      <c r="AA272" s="2">
        <v>1</v>
      </c>
      <c r="AB272" s="2">
        <v>0</v>
      </c>
      <c r="AC272" s="2">
        <v>0</v>
      </c>
    </row>
    <row r="273" spans="1:29">
      <c r="A273" s="2">
        <v>205</v>
      </c>
      <c r="B273" s="2">
        <v>253400304</v>
      </c>
      <c r="C273" s="2">
        <v>253400304</v>
      </c>
      <c r="D273" t="s">
        <v>1070</v>
      </c>
      <c r="E273" t="s">
        <v>1071</v>
      </c>
      <c r="F273" t="s">
        <v>310</v>
      </c>
      <c r="G273" s="3">
        <v>5.72</v>
      </c>
      <c r="H273" s="2">
        <v>0</v>
      </c>
      <c r="I273" s="2">
        <v>0</v>
      </c>
      <c r="J273" s="2">
        <v>0</v>
      </c>
      <c r="K273" s="6">
        <f t="shared" si="9"/>
        <v>5.72</v>
      </c>
      <c r="L273" s="7">
        <v>0.95</v>
      </c>
      <c r="M273" s="10">
        <f t="shared" si="10"/>
        <v>6.0210526315789474</v>
      </c>
      <c r="N273" t="s">
        <v>142</v>
      </c>
      <c r="O273" t="s">
        <v>142</v>
      </c>
      <c r="P273" t="s">
        <v>595</v>
      </c>
      <c r="Q273" t="s">
        <v>66</v>
      </c>
      <c r="R273" t="s">
        <v>66</v>
      </c>
      <c r="T273" s="2">
        <v>1</v>
      </c>
      <c r="U273" s="2">
        <v>1</v>
      </c>
      <c r="V273" s="2">
        <v>1</v>
      </c>
      <c r="W273" s="2">
        <v>1</v>
      </c>
      <c r="X273" s="2">
        <v>1</v>
      </c>
      <c r="Y273" s="2">
        <v>0</v>
      </c>
      <c r="Z273" s="2">
        <v>0</v>
      </c>
      <c r="AA273" s="2">
        <v>1</v>
      </c>
      <c r="AB273" s="2">
        <v>0</v>
      </c>
      <c r="AC273" s="2">
        <v>0</v>
      </c>
    </row>
    <row r="274" spans="1:29">
      <c r="A274" s="2">
        <v>732</v>
      </c>
      <c r="B274" s="2">
        <v>242201344</v>
      </c>
      <c r="C274" s="2">
        <v>242201344</v>
      </c>
      <c r="D274" t="s">
        <v>443</v>
      </c>
      <c r="E274" s="2">
        <v>9018</v>
      </c>
      <c r="F274" t="s">
        <v>403</v>
      </c>
      <c r="G274" s="3">
        <f>+VLOOKUP(B274,'[1]master_prod_15todos(30-11-2 (2)'!$B$2:$AF$470,31,FALSE)</f>
        <v>6</v>
      </c>
      <c r="H274" s="2">
        <v>0</v>
      </c>
      <c r="I274" s="2">
        <v>0</v>
      </c>
      <c r="J274" s="2">
        <v>0</v>
      </c>
      <c r="K274" s="6">
        <f t="shared" si="9"/>
        <v>6</v>
      </c>
      <c r="L274" s="7">
        <f>+VLOOKUP(B274,'[1]master_prod_15todos(30-11-2 (2)'!$B$2:$AG$470,32,FALSE)</f>
        <v>0.55000000000000004</v>
      </c>
      <c r="M274" s="10">
        <f t="shared" si="10"/>
        <v>10.909090909090908</v>
      </c>
      <c r="N274" t="s">
        <v>51</v>
      </c>
      <c r="O274" t="s">
        <v>51</v>
      </c>
      <c r="P274" t="s">
        <v>37</v>
      </c>
      <c r="Q274" t="s">
        <v>598</v>
      </c>
      <c r="T274" s="2">
        <v>1</v>
      </c>
      <c r="U274" s="2">
        <v>1</v>
      </c>
      <c r="V274" s="2">
        <v>1</v>
      </c>
      <c r="W274" s="2">
        <v>1</v>
      </c>
      <c r="X274" s="2">
        <v>1</v>
      </c>
      <c r="Y274" s="2">
        <v>1</v>
      </c>
      <c r="Z274" s="2">
        <v>0</v>
      </c>
      <c r="AA274" s="2">
        <v>1</v>
      </c>
      <c r="AB274" s="2">
        <v>0</v>
      </c>
      <c r="AC274" s="2">
        <v>0</v>
      </c>
    </row>
    <row r="275" spans="1:29">
      <c r="A275" s="2">
        <v>309</v>
      </c>
      <c r="B275" s="2">
        <v>242201466</v>
      </c>
      <c r="C275" s="2">
        <v>242201466</v>
      </c>
      <c r="D275" t="s">
        <v>458</v>
      </c>
      <c r="F275" t="s">
        <v>446</v>
      </c>
      <c r="G275" s="3">
        <f>+VLOOKUP(B275,'[1]master_prod_15todos(30-11-2 (2)'!$B$2:$AF$470,31,FALSE)</f>
        <v>6</v>
      </c>
      <c r="H275" s="2">
        <v>0</v>
      </c>
      <c r="I275" s="2">
        <v>0</v>
      </c>
      <c r="J275" s="2">
        <v>0</v>
      </c>
      <c r="K275" s="6">
        <f t="shared" si="9"/>
        <v>6</v>
      </c>
      <c r="L275" s="7">
        <f>+VLOOKUP(B275,'[1]master_prod_15todos(30-11-2 (2)'!$B$2:$AG$470,32,FALSE)</f>
        <v>0.45</v>
      </c>
      <c r="M275" s="10">
        <f t="shared" si="10"/>
        <v>13.333333333333332</v>
      </c>
      <c r="N275" t="s">
        <v>35</v>
      </c>
      <c r="O275" t="s">
        <v>30</v>
      </c>
      <c r="P275" t="s">
        <v>35</v>
      </c>
      <c r="Q275" t="s">
        <v>36</v>
      </c>
      <c r="R275" t="s">
        <v>37</v>
      </c>
      <c r="T275" s="2">
        <v>1</v>
      </c>
      <c r="U275" s="2">
        <v>1</v>
      </c>
      <c r="V275" s="2">
        <v>1</v>
      </c>
      <c r="W275" s="2">
        <v>1</v>
      </c>
      <c r="X275" s="2">
        <v>0</v>
      </c>
      <c r="Y275" s="2">
        <v>1</v>
      </c>
      <c r="Z275" s="2">
        <v>0</v>
      </c>
      <c r="AA275" s="2">
        <v>1</v>
      </c>
      <c r="AB275" s="2">
        <v>0</v>
      </c>
      <c r="AC275" s="2">
        <v>0</v>
      </c>
    </row>
    <row r="276" spans="1:29">
      <c r="A276" s="2">
        <v>111</v>
      </c>
      <c r="B276" s="2">
        <v>250450208</v>
      </c>
      <c r="C276" s="2">
        <v>250450208</v>
      </c>
      <c r="D276" t="s">
        <v>726</v>
      </c>
      <c r="E276" t="s">
        <v>727</v>
      </c>
      <c r="F276" t="s">
        <v>85</v>
      </c>
      <c r="G276" s="3">
        <v>6.02</v>
      </c>
      <c r="H276" s="2">
        <v>0</v>
      </c>
      <c r="I276" s="2">
        <v>0</v>
      </c>
      <c r="J276" s="2">
        <v>0</v>
      </c>
      <c r="K276" s="6">
        <f t="shared" si="9"/>
        <v>6.02</v>
      </c>
      <c r="L276" s="7">
        <v>0.6</v>
      </c>
      <c r="M276" s="10">
        <f t="shared" si="10"/>
        <v>10.033333333333333</v>
      </c>
      <c r="N276" t="s">
        <v>35</v>
      </c>
      <c r="O276" t="s">
        <v>30</v>
      </c>
      <c r="P276" t="s">
        <v>35</v>
      </c>
      <c r="Q276" t="s">
        <v>36</v>
      </c>
      <c r="R276" t="s">
        <v>37</v>
      </c>
      <c r="T276" s="2">
        <v>1</v>
      </c>
      <c r="U276" s="2">
        <v>1</v>
      </c>
      <c r="V276" s="2">
        <v>1</v>
      </c>
      <c r="W276" s="2">
        <v>1</v>
      </c>
      <c r="X276" s="2">
        <v>0</v>
      </c>
      <c r="Y276" s="2">
        <v>1</v>
      </c>
      <c r="Z276" s="2">
        <v>0</v>
      </c>
      <c r="AA276" s="2">
        <v>1</v>
      </c>
      <c r="AB276" s="2">
        <v>0</v>
      </c>
      <c r="AC276" s="2">
        <v>0</v>
      </c>
    </row>
    <row r="277" spans="1:29">
      <c r="A277" s="2">
        <v>746</v>
      </c>
      <c r="B277" s="2">
        <v>242450103</v>
      </c>
      <c r="C277" s="2">
        <v>242450103</v>
      </c>
      <c r="D277" t="s">
        <v>569</v>
      </c>
      <c r="E277" t="s">
        <v>570</v>
      </c>
      <c r="F277" t="s">
        <v>75</v>
      </c>
      <c r="G277" s="3">
        <v>6.25</v>
      </c>
      <c r="H277" s="2">
        <v>0</v>
      </c>
      <c r="I277" s="2">
        <v>0</v>
      </c>
      <c r="J277" s="2">
        <v>0</v>
      </c>
      <c r="K277" s="6">
        <f t="shared" si="9"/>
        <v>6.25</v>
      </c>
      <c r="L277" s="7">
        <v>0.35</v>
      </c>
      <c r="M277" s="10">
        <f t="shared" si="10"/>
        <v>17.857142857142858</v>
      </c>
      <c r="N277" t="s">
        <v>35</v>
      </c>
      <c r="O277" t="s">
        <v>30</v>
      </c>
      <c r="P277" t="s">
        <v>35</v>
      </c>
      <c r="Q277" t="s">
        <v>36</v>
      </c>
      <c r="R277" t="s">
        <v>37</v>
      </c>
      <c r="T277" s="2">
        <v>1</v>
      </c>
      <c r="U277" s="2">
        <v>1</v>
      </c>
      <c r="V277" s="2">
        <v>1</v>
      </c>
      <c r="W277" s="2">
        <v>1</v>
      </c>
      <c r="X277" s="2">
        <v>0</v>
      </c>
      <c r="Y277" s="2">
        <v>1</v>
      </c>
      <c r="Z277" s="2">
        <v>0</v>
      </c>
      <c r="AA277" s="2">
        <v>1</v>
      </c>
      <c r="AB277" s="2">
        <v>0</v>
      </c>
      <c r="AC277" s="2">
        <v>0</v>
      </c>
    </row>
    <row r="278" spans="1:29">
      <c r="A278" s="2">
        <v>850</v>
      </c>
      <c r="B278" s="2">
        <v>252650422</v>
      </c>
      <c r="C278" s="2">
        <v>252650422</v>
      </c>
      <c r="D278" t="s">
        <v>896</v>
      </c>
      <c r="E278" t="s">
        <v>897</v>
      </c>
      <c r="F278" t="s">
        <v>56</v>
      </c>
      <c r="G278" s="3">
        <v>6.38</v>
      </c>
      <c r="H278" s="2">
        <v>0</v>
      </c>
      <c r="I278" s="2">
        <v>0</v>
      </c>
      <c r="J278" s="2">
        <v>0</v>
      </c>
      <c r="K278" s="6">
        <f t="shared" si="9"/>
        <v>6.38</v>
      </c>
      <c r="L278" s="7">
        <v>0.55000000000000004</v>
      </c>
      <c r="M278" s="10">
        <f t="shared" si="10"/>
        <v>11.6</v>
      </c>
      <c r="N278" t="s">
        <v>35</v>
      </c>
      <c r="O278" t="s">
        <v>30</v>
      </c>
      <c r="P278" t="s">
        <v>35</v>
      </c>
      <c r="Q278" t="s">
        <v>36</v>
      </c>
      <c r="R278" t="s">
        <v>37</v>
      </c>
      <c r="T278" s="2">
        <v>1</v>
      </c>
      <c r="U278" s="2">
        <v>1</v>
      </c>
      <c r="V278" s="2">
        <v>1</v>
      </c>
      <c r="W278" s="2">
        <v>1</v>
      </c>
      <c r="X278" s="2">
        <v>0</v>
      </c>
      <c r="Y278" s="2">
        <v>1</v>
      </c>
      <c r="Z278" s="2">
        <v>0</v>
      </c>
      <c r="AA278" s="2">
        <v>1</v>
      </c>
      <c r="AB278" s="2">
        <v>0</v>
      </c>
      <c r="AC278" s="2">
        <v>0</v>
      </c>
    </row>
    <row r="279" spans="1:29">
      <c r="A279" s="2">
        <v>816</v>
      </c>
      <c r="B279" s="2">
        <v>272100130</v>
      </c>
      <c r="C279" s="2">
        <v>272100130</v>
      </c>
      <c r="D279" t="s">
        <v>1109</v>
      </c>
      <c r="F279" t="s">
        <v>304</v>
      </c>
      <c r="G279">
        <v>6.4889999999999999</v>
      </c>
      <c r="H279" s="2">
        <v>0</v>
      </c>
      <c r="I279" s="2">
        <v>0</v>
      </c>
      <c r="J279" s="2">
        <v>0</v>
      </c>
      <c r="K279" s="6">
        <f t="shared" si="9"/>
        <v>6.4889999999999999</v>
      </c>
      <c r="L279" s="7">
        <v>0.7</v>
      </c>
      <c r="M279" s="10">
        <f t="shared" si="10"/>
        <v>9.27</v>
      </c>
      <c r="O279" t="s">
        <v>30</v>
      </c>
      <c r="Q279" t="s">
        <v>81</v>
      </c>
      <c r="T279" s="2">
        <v>1</v>
      </c>
      <c r="U279" s="2">
        <v>1</v>
      </c>
      <c r="V279" s="2">
        <v>1</v>
      </c>
      <c r="W279" s="2">
        <v>1</v>
      </c>
      <c r="X279" s="2">
        <v>1</v>
      </c>
      <c r="Y279" s="2">
        <v>1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s="2">
        <v>150</v>
      </c>
      <c r="B280" s="2">
        <v>252300502</v>
      </c>
      <c r="C280" s="2">
        <v>252300502</v>
      </c>
      <c r="D280" t="s">
        <v>834</v>
      </c>
      <c r="F280" t="s">
        <v>835</v>
      </c>
      <c r="G280" s="3">
        <v>6.56</v>
      </c>
      <c r="H280" s="2">
        <v>0</v>
      </c>
      <c r="I280" s="2">
        <v>0</v>
      </c>
      <c r="J280" s="2">
        <v>0</v>
      </c>
      <c r="K280" s="6">
        <f t="shared" si="9"/>
        <v>6.56</v>
      </c>
      <c r="L280" s="7">
        <v>0.8</v>
      </c>
      <c r="M280" s="10">
        <f t="shared" si="10"/>
        <v>8.1999999999999993</v>
      </c>
      <c r="N280" t="s">
        <v>62</v>
      </c>
      <c r="O280" t="s">
        <v>62</v>
      </c>
      <c r="P280" t="s">
        <v>62</v>
      </c>
      <c r="Q280" t="s">
        <v>58</v>
      </c>
      <c r="R280" t="s">
        <v>650</v>
      </c>
      <c r="T280" s="2">
        <v>1</v>
      </c>
      <c r="U280" s="2">
        <v>1</v>
      </c>
      <c r="V280" s="2">
        <v>1</v>
      </c>
      <c r="W280" s="2">
        <v>1</v>
      </c>
      <c r="X280" s="2">
        <v>1</v>
      </c>
      <c r="Y280" s="2">
        <v>1</v>
      </c>
      <c r="Z280" s="2">
        <v>0</v>
      </c>
      <c r="AA280" s="2">
        <v>1</v>
      </c>
      <c r="AB280" s="2">
        <v>0</v>
      </c>
      <c r="AC280" s="2">
        <v>0</v>
      </c>
    </row>
    <row r="281" spans="1:29">
      <c r="A281" s="2">
        <v>101</v>
      </c>
      <c r="B281" s="2">
        <v>242201302</v>
      </c>
      <c r="C281" s="2">
        <v>242201302</v>
      </c>
      <c r="D281" t="s">
        <v>422</v>
      </c>
      <c r="E281" s="2">
        <v>7281940</v>
      </c>
      <c r="F281" t="s">
        <v>50</v>
      </c>
      <c r="G281" s="3">
        <f>+VLOOKUP(B281,'[1]master_prod_15todos(30-11-2 (2)'!$B$2:$AF$470,31,FALSE)</f>
        <v>6.6</v>
      </c>
      <c r="H281" s="2">
        <v>0</v>
      </c>
      <c r="I281" s="2">
        <v>0</v>
      </c>
      <c r="J281" s="2">
        <v>0</v>
      </c>
      <c r="K281" s="6">
        <f t="shared" si="9"/>
        <v>6.6</v>
      </c>
      <c r="L281" s="7">
        <f>+VLOOKUP(B281,'[1]master_prod_15todos(30-11-2 (2)'!$B$2:$AG$470,32,FALSE)</f>
        <v>0.8</v>
      </c>
      <c r="M281" s="10">
        <f t="shared" si="10"/>
        <v>8.2499999999999982</v>
      </c>
      <c r="N281" t="s">
        <v>30</v>
      </c>
      <c r="O281" t="s">
        <v>30</v>
      </c>
      <c r="P281" t="s">
        <v>37</v>
      </c>
      <c r="Q281" t="s">
        <v>653</v>
      </c>
      <c r="T281" s="2">
        <v>1</v>
      </c>
      <c r="U281" s="2">
        <v>1</v>
      </c>
      <c r="V281" s="2">
        <v>1</v>
      </c>
      <c r="W281" s="2">
        <v>1</v>
      </c>
      <c r="X281" s="2">
        <v>1</v>
      </c>
      <c r="Y281" s="2">
        <v>1</v>
      </c>
      <c r="Z281" s="2">
        <v>0</v>
      </c>
      <c r="AA281" s="2">
        <v>1</v>
      </c>
      <c r="AB281" s="2">
        <v>0</v>
      </c>
      <c r="AC281" s="2">
        <v>0</v>
      </c>
    </row>
    <row r="282" spans="1:29">
      <c r="A282" s="2">
        <v>103</v>
      </c>
      <c r="B282" s="2">
        <v>242201312</v>
      </c>
      <c r="C282" s="2">
        <v>242201312</v>
      </c>
      <c r="D282" t="s">
        <v>434</v>
      </c>
      <c r="E282" s="2">
        <v>7281968</v>
      </c>
      <c r="F282" t="s">
        <v>50</v>
      </c>
      <c r="G282" s="3">
        <f>+VLOOKUP(B282,'[1]master_prod_15todos(30-11-2 (2)'!$B$2:$AF$470,31,FALSE)</f>
        <v>6.6</v>
      </c>
      <c r="H282" s="2">
        <v>0</v>
      </c>
      <c r="I282" s="2">
        <v>0</v>
      </c>
      <c r="J282" s="2">
        <v>0</v>
      </c>
      <c r="K282" s="6">
        <f t="shared" si="9"/>
        <v>6.6</v>
      </c>
      <c r="L282" s="7">
        <f>+VLOOKUP(B282,'[1]master_prod_15todos(30-11-2 (2)'!$B$2:$AG$470,32,FALSE)</f>
        <v>0.8</v>
      </c>
      <c r="M282" s="10">
        <f t="shared" si="10"/>
        <v>8.2499999999999982</v>
      </c>
      <c r="N282" t="s">
        <v>30</v>
      </c>
      <c r="O282" t="s">
        <v>30</v>
      </c>
      <c r="P282" t="s">
        <v>37</v>
      </c>
      <c r="Q282" t="s">
        <v>653</v>
      </c>
      <c r="R282" t="s">
        <v>656</v>
      </c>
      <c r="T282" s="2">
        <v>1</v>
      </c>
      <c r="U282" s="2">
        <v>1</v>
      </c>
      <c r="V282" s="2">
        <v>1</v>
      </c>
      <c r="W282" s="2">
        <v>1</v>
      </c>
      <c r="X282" s="2">
        <v>1</v>
      </c>
      <c r="Y282" s="2">
        <v>1</v>
      </c>
      <c r="Z282" s="2">
        <v>0</v>
      </c>
      <c r="AA282" s="2">
        <v>1</v>
      </c>
      <c r="AB282" s="2">
        <v>0</v>
      </c>
      <c r="AC282" s="2">
        <v>0</v>
      </c>
    </row>
    <row r="283" spans="1:29">
      <c r="A283" s="2">
        <v>814</v>
      </c>
      <c r="B283" s="2">
        <v>272100127</v>
      </c>
      <c r="C283" s="2">
        <v>272100127</v>
      </c>
      <c r="D283" t="s">
        <v>1106</v>
      </c>
      <c r="F283" t="s">
        <v>304</v>
      </c>
      <c r="G283">
        <v>6.7480000000000002</v>
      </c>
      <c r="H283" s="2">
        <v>0</v>
      </c>
      <c r="I283" s="2">
        <v>0</v>
      </c>
      <c r="J283" s="2">
        <v>0</v>
      </c>
      <c r="K283" s="6">
        <f t="shared" si="9"/>
        <v>6.7480000000000002</v>
      </c>
      <c r="L283" s="7">
        <v>0.7</v>
      </c>
      <c r="M283" s="10">
        <f t="shared" si="10"/>
        <v>9.64</v>
      </c>
      <c r="N283" t="s">
        <v>35</v>
      </c>
      <c r="O283" t="s">
        <v>30</v>
      </c>
      <c r="P283" t="s">
        <v>35</v>
      </c>
      <c r="Q283" t="s">
        <v>36</v>
      </c>
      <c r="R283" t="s">
        <v>153</v>
      </c>
      <c r="T283" s="2">
        <v>1</v>
      </c>
      <c r="U283" s="2">
        <v>1</v>
      </c>
      <c r="V283" s="2">
        <v>1</v>
      </c>
      <c r="W283" s="2">
        <v>1</v>
      </c>
      <c r="X283" s="2">
        <v>0</v>
      </c>
      <c r="Y283" s="2">
        <v>1</v>
      </c>
      <c r="Z283" s="2">
        <v>0</v>
      </c>
      <c r="AA283" s="2">
        <v>1</v>
      </c>
      <c r="AB283" s="2">
        <v>0</v>
      </c>
      <c r="AC283" s="2">
        <v>0</v>
      </c>
    </row>
    <row r="284" spans="1:29">
      <c r="A284" s="2">
        <v>905</v>
      </c>
      <c r="B284" s="2">
        <v>242050101</v>
      </c>
      <c r="C284" s="2">
        <v>242050101</v>
      </c>
      <c r="D284" t="s">
        <v>399</v>
      </c>
      <c r="E284" t="s">
        <v>400</v>
      </c>
      <c r="F284" t="s">
        <v>85</v>
      </c>
      <c r="G284" s="3">
        <f>+VLOOKUP(B284,'[1]master_prod_15todos(30-11-2 (2)'!$B$2:$AF$470,31,FALSE)</f>
        <v>6.79</v>
      </c>
      <c r="H284" s="2">
        <v>0</v>
      </c>
      <c r="I284" s="2">
        <v>0</v>
      </c>
      <c r="J284" s="2">
        <v>0</v>
      </c>
      <c r="K284" s="6">
        <f t="shared" si="9"/>
        <v>6.79</v>
      </c>
      <c r="L284" s="7">
        <f>+VLOOKUP(B284,'[1]master_prod_15todos(30-11-2 (2)'!$B$2:$AG$470,32,FALSE)</f>
        <v>0.3</v>
      </c>
      <c r="M284" s="10">
        <f t="shared" si="10"/>
        <v>22.633333333333333</v>
      </c>
      <c r="N284" t="s">
        <v>660</v>
      </c>
      <c r="O284" t="s">
        <v>30</v>
      </c>
      <c r="P284" t="s">
        <v>660</v>
      </c>
      <c r="Q284" t="s">
        <v>66</v>
      </c>
      <c r="R284" t="s">
        <v>66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2">
        <v>0</v>
      </c>
      <c r="Z284" s="2">
        <v>0</v>
      </c>
      <c r="AA284" s="2">
        <v>1</v>
      </c>
      <c r="AB284" s="2">
        <v>0</v>
      </c>
      <c r="AC284" s="2">
        <v>0</v>
      </c>
    </row>
    <row r="285" spans="1:29">
      <c r="A285" s="2">
        <v>853</v>
      </c>
      <c r="B285" s="2">
        <v>252850550</v>
      </c>
      <c r="C285" s="2">
        <v>252850550</v>
      </c>
      <c r="D285" t="s">
        <v>1041</v>
      </c>
      <c r="E285" t="s">
        <v>1042</v>
      </c>
      <c r="F285" t="s">
        <v>56</v>
      </c>
      <c r="G285">
        <v>6.7900999999999998</v>
      </c>
      <c r="H285" s="2">
        <v>0</v>
      </c>
      <c r="I285" s="2">
        <v>0</v>
      </c>
      <c r="J285" s="2">
        <v>0</v>
      </c>
      <c r="K285" s="6">
        <f t="shared" si="9"/>
        <v>6.7900999999999998</v>
      </c>
      <c r="L285" s="7">
        <v>0.26</v>
      </c>
      <c r="M285" s="10">
        <f t="shared" si="10"/>
        <v>26.115769230769228</v>
      </c>
      <c r="N285" t="s">
        <v>51</v>
      </c>
      <c r="O285" t="s">
        <v>51</v>
      </c>
      <c r="P285" t="s">
        <v>51</v>
      </c>
      <c r="Q285" t="s">
        <v>653</v>
      </c>
      <c r="R285" t="s">
        <v>663</v>
      </c>
      <c r="T285" s="2">
        <v>1</v>
      </c>
      <c r="U285" s="2">
        <v>50</v>
      </c>
      <c r="V285" s="2">
        <v>1</v>
      </c>
      <c r="W285" s="2">
        <v>1</v>
      </c>
      <c r="X285" s="2">
        <v>1</v>
      </c>
      <c r="Y285" s="2">
        <v>1</v>
      </c>
      <c r="Z285" s="2">
        <v>0</v>
      </c>
      <c r="AA285" s="2">
        <v>1</v>
      </c>
      <c r="AB285" s="2">
        <v>0</v>
      </c>
      <c r="AC285" s="2">
        <v>0</v>
      </c>
    </row>
    <row r="286" spans="1:29">
      <c r="A286" s="2">
        <v>815</v>
      </c>
      <c r="B286" s="2">
        <v>272100128</v>
      </c>
      <c r="C286" s="2">
        <v>272100128</v>
      </c>
      <c r="D286" t="s">
        <v>1107</v>
      </c>
      <c r="F286" t="s">
        <v>304</v>
      </c>
      <c r="G286">
        <v>6.9790000000000001</v>
      </c>
      <c r="H286" s="2">
        <v>0</v>
      </c>
      <c r="I286" s="2">
        <v>0</v>
      </c>
      <c r="J286" s="2">
        <v>0</v>
      </c>
      <c r="K286" s="6">
        <f t="shared" si="9"/>
        <v>6.9790000000000001</v>
      </c>
      <c r="L286" s="7">
        <v>0.7</v>
      </c>
      <c r="M286" s="10">
        <f t="shared" si="10"/>
        <v>9.9700000000000006</v>
      </c>
      <c r="N286" t="s">
        <v>30</v>
      </c>
      <c r="O286" t="s">
        <v>30</v>
      </c>
      <c r="P286" t="s">
        <v>667</v>
      </c>
      <c r="Q286" t="s">
        <v>41</v>
      </c>
      <c r="T286" s="2">
        <v>1</v>
      </c>
      <c r="U286" s="2">
        <v>1</v>
      </c>
      <c r="V286" s="2">
        <v>1</v>
      </c>
      <c r="W286" s="2">
        <v>1</v>
      </c>
      <c r="X286" s="2">
        <v>1</v>
      </c>
      <c r="Y286" s="2">
        <v>1</v>
      </c>
      <c r="Z286" s="2">
        <v>0</v>
      </c>
      <c r="AA286" s="2">
        <v>1</v>
      </c>
      <c r="AB286" s="2">
        <v>0</v>
      </c>
      <c r="AC286" s="2">
        <v>0</v>
      </c>
    </row>
    <row r="287" spans="1:29">
      <c r="A287" s="2">
        <v>711</v>
      </c>
      <c r="B287" s="2">
        <v>252650488</v>
      </c>
      <c r="C287" s="2">
        <v>252650488</v>
      </c>
      <c r="D287" t="s">
        <v>900</v>
      </c>
      <c r="E287" t="s">
        <v>901</v>
      </c>
      <c r="F287" t="s">
        <v>304</v>
      </c>
      <c r="G287">
        <v>7.2</v>
      </c>
      <c r="H287" s="2">
        <v>0</v>
      </c>
      <c r="I287" s="2">
        <v>0</v>
      </c>
      <c r="J287" s="2">
        <v>0</v>
      </c>
      <c r="K287" s="6">
        <f t="shared" si="9"/>
        <v>7.2</v>
      </c>
      <c r="L287" s="7">
        <v>0.64</v>
      </c>
      <c r="M287" s="10">
        <f t="shared" si="10"/>
        <v>11.25</v>
      </c>
      <c r="N287" t="s">
        <v>35</v>
      </c>
      <c r="O287" t="s">
        <v>30</v>
      </c>
      <c r="P287" t="s">
        <v>35</v>
      </c>
      <c r="Q287" t="s">
        <v>36</v>
      </c>
      <c r="R287" t="s">
        <v>37</v>
      </c>
      <c r="T287" s="2">
        <v>1</v>
      </c>
      <c r="U287" s="2">
        <v>1</v>
      </c>
      <c r="V287" s="2">
        <v>1</v>
      </c>
      <c r="W287" s="2">
        <v>1</v>
      </c>
      <c r="X287" s="2">
        <v>0</v>
      </c>
      <c r="Y287" s="2">
        <v>1</v>
      </c>
      <c r="Z287" s="2">
        <v>0</v>
      </c>
      <c r="AA287" s="2">
        <v>1</v>
      </c>
      <c r="AB287" s="2">
        <v>0</v>
      </c>
      <c r="AC287" s="2">
        <v>0</v>
      </c>
    </row>
    <row r="288" spans="1:29">
      <c r="A288" s="2">
        <v>89</v>
      </c>
      <c r="B288" s="2">
        <v>241270318</v>
      </c>
      <c r="C288" s="2">
        <v>241270318</v>
      </c>
      <c r="D288" t="s">
        <v>320</v>
      </c>
      <c r="E288" s="2">
        <v>2112348</v>
      </c>
      <c r="F288" t="s">
        <v>288</v>
      </c>
      <c r="G288" s="3">
        <f>+VLOOKUP(B288,'[1]master_prod_15todos(30-11-2 (2)'!$B$2:$AF$470,31,FALSE)</f>
        <v>7.6</v>
      </c>
      <c r="H288" s="2">
        <v>0</v>
      </c>
      <c r="I288" s="2">
        <v>0</v>
      </c>
      <c r="J288" s="2">
        <v>0</v>
      </c>
      <c r="K288" s="6">
        <f t="shared" si="9"/>
        <v>7.6</v>
      </c>
      <c r="L288" s="7">
        <f>+VLOOKUP(B288,'[1]master_prod_15todos(30-11-2 (2)'!$B$2:$AG$470,32,FALSE)</f>
        <v>0.9</v>
      </c>
      <c r="M288" s="10">
        <f t="shared" si="10"/>
        <v>8.4444444444444446</v>
      </c>
      <c r="N288" t="s">
        <v>35</v>
      </c>
      <c r="O288" t="s">
        <v>30</v>
      </c>
      <c r="P288" t="s">
        <v>35</v>
      </c>
      <c r="Q288" t="s">
        <v>36</v>
      </c>
      <c r="R288" t="s">
        <v>153</v>
      </c>
      <c r="T288" s="2">
        <v>1</v>
      </c>
      <c r="U288" s="2">
        <v>1</v>
      </c>
      <c r="V288" s="2">
        <v>1</v>
      </c>
      <c r="W288" s="2">
        <v>1</v>
      </c>
      <c r="X288" s="2">
        <v>0</v>
      </c>
      <c r="Y288" s="2">
        <v>1</v>
      </c>
      <c r="Z288" s="2">
        <v>0</v>
      </c>
      <c r="AA288" s="2">
        <v>1</v>
      </c>
      <c r="AB288" s="2">
        <v>0</v>
      </c>
      <c r="AC288" s="2">
        <v>0</v>
      </c>
    </row>
    <row r="289" spans="1:29">
      <c r="A289" s="2">
        <v>843</v>
      </c>
      <c r="B289" s="2">
        <v>252650412</v>
      </c>
      <c r="C289" s="2">
        <v>252650412</v>
      </c>
      <c r="D289" t="s">
        <v>884</v>
      </c>
      <c r="E289" t="s">
        <v>885</v>
      </c>
      <c r="F289" t="s">
        <v>75</v>
      </c>
      <c r="G289" s="3">
        <v>7.77</v>
      </c>
      <c r="H289" s="2">
        <v>0</v>
      </c>
      <c r="I289" s="2">
        <v>0</v>
      </c>
      <c r="J289" s="2">
        <v>0</v>
      </c>
      <c r="K289" s="6">
        <f t="shared" si="9"/>
        <v>7.77</v>
      </c>
      <c r="L289" s="7">
        <v>0.55000000000000004</v>
      </c>
      <c r="M289" s="10">
        <f t="shared" si="10"/>
        <v>14.127272727272725</v>
      </c>
      <c r="N289" t="s">
        <v>30</v>
      </c>
      <c r="O289" t="s">
        <v>30</v>
      </c>
      <c r="P289" t="s">
        <v>259</v>
      </c>
      <c r="Q289" t="s">
        <v>41</v>
      </c>
      <c r="R289" t="s">
        <v>673</v>
      </c>
      <c r="T289" s="2">
        <v>1</v>
      </c>
      <c r="U289" s="2">
        <v>1</v>
      </c>
      <c r="V289" s="2">
        <v>1</v>
      </c>
      <c r="W289" s="2">
        <v>1</v>
      </c>
      <c r="X289" s="2">
        <v>1</v>
      </c>
      <c r="Y289" s="2">
        <v>1</v>
      </c>
      <c r="Z289" s="2">
        <v>0</v>
      </c>
      <c r="AA289" s="2">
        <v>1</v>
      </c>
      <c r="AB289" s="2">
        <v>0</v>
      </c>
      <c r="AC289" s="2">
        <v>0</v>
      </c>
    </row>
    <row r="290" spans="1:29">
      <c r="A290" s="2">
        <v>60</v>
      </c>
      <c r="B290" s="2">
        <v>253400229</v>
      </c>
      <c r="C290" s="2">
        <v>253400229</v>
      </c>
      <c r="D290" t="s">
        <v>1062</v>
      </c>
      <c r="E290" s="2">
        <v>187970</v>
      </c>
      <c r="F290" t="s">
        <v>1063</v>
      </c>
      <c r="G290">
        <v>7.9</v>
      </c>
      <c r="H290" s="2">
        <v>0</v>
      </c>
      <c r="I290" s="2">
        <v>0</v>
      </c>
      <c r="J290" s="2">
        <v>0</v>
      </c>
      <c r="K290" s="6">
        <f t="shared" si="9"/>
        <v>7.9</v>
      </c>
      <c r="L290" s="7">
        <v>0.55000000000000004</v>
      </c>
      <c r="M290" s="10">
        <f t="shared" si="10"/>
        <v>14.363636363636363</v>
      </c>
      <c r="N290" t="s">
        <v>30</v>
      </c>
      <c r="O290" t="s">
        <v>30</v>
      </c>
      <c r="P290" t="s">
        <v>40</v>
      </c>
      <c r="Q290" t="s">
        <v>41</v>
      </c>
      <c r="R290" t="s">
        <v>675</v>
      </c>
      <c r="T290" s="2">
        <v>1</v>
      </c>
      <c r="U290" s="2">
        <v>1</v>
      </c>
      <c r="V290" s="2">
        <v>1</v>
      </c>
      <c r="W290" s="2">
        <v>1</v>
      </c>
      <c r="X290" s="2">
        <v>1</v>
      </c>
      <c r="Y290" s="2">
        <v>1</v>
      </c>
      <c r="Z290" s="2">
        <v>0</v>
      </c>
      <c r="AA290" s="2">
        <v>1</v>
      </c>
      <c r="AB290" s="2">
        <v>0</v>
      </c>
      <c r="AC290" s="2">
        <v>0</v>
      </c>
    </row>
    <row r="291" spans="1:29">
      <c r="A291" s="2">
        <v>553</v>
      </c>
      <c r="B291" s="2">
        <v>242201366</v>
      </c>
      <c r="C291" s="2">
        <v>242201366</v>
      </c>
      <c r="D291" t="s">
        <v>451</v>
      </c>
      <c r="E291" s="2">
        <v>1901</v>
      </c>
      <c r="F291" t="s">
        <v>403</v>
      </c>
      <c r="G291" s="3">
        <f>+VLOOKUP(B291,'[1]master_prod_15todos(30-11-2 (2)'!$B$2:$AF$470,31,FALSE)</f>
        <v>8</v>
      </c>
      <c r="H291" s="2">
        <v>0</v>
      </c>
      <c r="I291" s="2">
        <v>0</v>
      </c>
      <c r="J291" s="2">
        <v>0</v>
      </c>
      <c r="K291" s="6">
        <f t="shared" si="9"/>
        <v>8</v>
      </c>
      <c r="L291" s="7">
        <f>+VLOOKUP(B291,'[1]master_prod_15todos(30-11-2 (2)'!$B$2:$AG$470,32,FALSE)</f>
        <v>0.65</v>
      </c>
      <c r="M291" s="10">
        <f t="shared" si="10"/>
        <v>12.307692307692307</v>
      </c>
      <c r="N291" t="s">
        <v>30</v>
      </c>
      <c r="O291" t="s">
        <v>30</v>
      </c>
      <c r="P291" t="s">
        <v>40</v>
      </c>
      <c r="Q291" t="s">
        <v>41</v>
      </c>
      <c r="R291" t="s">
        <v>677</v>
      </c>
      <c r="T291" s="2">
        <v>1</v>
      </c>
      <c r="U291" s="2">
        <v>1</v>
      </c>
      <c r="V291" s="2">
        <v>1</v>
      </c>
      <c r="W291" s="2">
        <v>1</v>
      </c>
      <c r="X291" s="2">
        <v>1</v>
      </c>
      <c r="Y291" s="2">
        <v>1</v>
      </c>
      <c r="Z291" s="2">
        <v>0</v>
      </c>
      <c r="AA291" s="2">
        <v>1</v>
      </c>
      <c r="AB291" s="2">
        <v>0</v>
      </c>
      <c r="AC291" s="2">
        <v>0</v>
      </c>
    </row>
    <row r="292" spans="1:29">
      <c r="A292" s="2">
        <v>104</v>
      </c>
      <c r="B292" s="2">
        <v>242201371</v>
      </c>
      <c r="C292" s="2">
        <v>242201371</v>
      </c>
      <c r="D292" t="s">
        <v>453</v>
      </c>
      <c r="E292" s="2">
        <v>1901</v>
      </c>
      <c r="F292" t="s">
        <v>403</v>
      </c>
      <c r="G292" s="3">
        <f>+VLOOKUP(B292,'[1]master_prod_15todos(30-11-2 (2)'!$B$2:$AF$470,31,FALSE)</f>
        <v>8</v>
      </c>
      <c r="H292" s="2">
        <v>0</v>
      </c>
      <c r="I292" s="2">
        <v>0</v>
      </c>
      <c r="J292" s="2">
        <v>0</v>
      </c>
      <c r="K292" s="6">
        <f t="shared" si="9"/>
        <v>8</v>
      </c>
      <c r="L292" s="7">
        <f>+VLOOKUP(B292,'[1]master_prod_15todos(30-11-2 (2)'!$B$2:$AG$470,32,FALSE)</f>
        <v>0.84849999999999992</v>
      </c>
      <c r="M292" s="10">
        <f t="shared" si="10"/>
        <v>9.4284030642309968</v>
      </c>
      <c r="N292" t="s">
        <v>30</v>
      </c>
      <c r="O292" t="s">
        <v>30</v>
      </c>
      <c r="P292" t="s">
        <v>30</v>
      </c>
      <c r="Q292" t="s">
        <v>41</v>
      </c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2">
        <v>1</v>
      </c>
      <c r="Z292" s="2">
        <v>0</v>
      </c>
      <c r="AA292" s="2">
        <v>1</v>
      </c>
      <c r="AB292" s="2">
        <v>0</v>
      </c>
      <c r="AC292" s="2">
        <v>0</v>
      </c>
    </row>
    <row r="293" spans="1:29">
      <c r="A293" s="2">
        <v>852</v>
      </c>
      <c r="B293" s="2">
        <v>252850650</v>
      </c>
      <c r="C293" s="2">
        <v>252850650</v>
      </c>
      <c r="D293" t="s">
        <v>1043</v>
      </c>
      <c r="E293" t="s">
        <v>1044</v>
      </c>
      <c r="F293" t="s">
        <v>56</v>
      </c>
      <c r="G293" s="3">
        <v>8.33</v>
      </c>
      <c r="H293" s="2">
        <v>0</v>
      </c>
      <c r="I293" s="2">
        <v>0</v>
      </c>
      <c r="J293" s="2">
        <v>0</v>
      </c>
      <c r="K293" s="6">
        <f t="shared" si="9"/>
        <v>8.33</v>
      </c>
      <c r="L293" s="7">
        <v>0.3</v>
      </c>
      <c r="M293" s="10">
        <f t="shared" si="10"/>
        <v>27.766666666666669</v>
      </c>
      <c r="N293" t="s">
        <v>30</v>
      </c>
      <c r="O293" t="s">
        <v>30</v>
      </c>
      <c r="P293" t="s">
        <v>30</v>
      </c>
      <c r="Q293" t="s">
        <v>41</v>
      </c>
      <c r="T293" s="2">
        <v>1</v>
      </c>
      <c r="U293" s="2">
        <v>1</v>
      </c>
      <c r="V293" s="2">
        <v>1</v>
      </c>
      <c r="W293" s="2">
        <v>1</v>
      </c>
      <c r="X293" s="2">
        <v>1</v>
      </c>
      <c r="Y293" s="2">
        <v>1</v>
      </c>
      <c r="Z293" s="2">
        <v>0</v>
      </c>
      <c r="AA293" s="2">
        <v>1</v>
      </c>
      <c r="AB293" s="2">
        <v>0</v>
      </c>
      <c r="AC293" s="2">
        <v>0</v>
      </c>
    </row>
    <row r="294" spans="1:29">
      <c r="A294" s="2">
        <v>520</v>
      </c>
      <c r="B294" s="2">
        <v>292250201</v>
      </c>
      <c r="C294" s="2">
        <v>292250201</v>
      </c>
      <c r="D294" t="s">
        <v>1121</v>
      </c>
      <c r="E294" s="2">
        <v>292250201</v>
      </c>
      <c r="F294" t="s">
        <v>1122</v>
      </c>
      <c r="G294">
        <v>8.5</v>
      </c>
      <c r="H294" s="2">
        <v>0</v>
      </c>
      <c r="I294" s="2">
        <v>0</v>
      </c>
      <c r="J294" s="2">
        <v>0</v>
      </c>
      <c r="K294" s="6">
        <f t="shared" si="9"/>
        <v>8.5</v>
      </c>
      <c r="L294" s="7">
        <v>0.6</v>
      </c>
      <c r="M294" s="10">
        <f t="shared" si="10"/>
        <v>14.166666666666668</v>
      </c>
      <c r="N294" t="s">
        <v>35</v>
      </c>
      <c r="O294" t="s">
        <v>30</v>
      </c>
      <c r="P294" t="s">
        <v>35</v>
      </c>
      <c r="Q294" t="s">
        <v>36</v>
      </c>
      <c r="R294" t="s">
        <v>37</v>
      </c>
      <c r="T294" s="2">
        <v>1</v>
      </c>
      <c r="U294" s="2">
        <v>1</v>
      </c>
      <c r="V294" s="2">
        <v>1</v>
      </c>
      <c r="W294" s="2">
        <v>1</v>
      </c>
      <c r="X294" s="2">
        <v>0</v>
      </c>
      <c r="Y294" s="2">
        <v>1</v>
      </c>
      <c r="Z294" s="2">
        <v>0</v>
      </c>
      <c r="AA294" s="2">
        <v>1</v>
      </c>
      <c r="AB294" s="2">
        <v>0</v>
      </c>
      <c r="AC294" s="2">
        <v>0</v>
      </c>
    </row>
    <row r="295" spans="1:29">
      <c r="A295" s="2">
        <v>524</v>
      </c>
      <c r="B295" s="2">
        <v>292250202</v>
      </c>
      <c r="C295" s="2">
        <v>292250202</v>
      </c>
      <c r="D295" t="s">
        <v>1125</v>
      </c>
      <c r="E295" s="2">
        <v>292250202</v>
      </c>
      <c r="F295" t="s">
        <v>1122</v>
      </c>
      <c r="G295">
        <v>8.5</v>
      </c>
      <c r="H295" s="2">
        <v>0</v>
      </c>
      <c r="I295" s="2">
        <v>0</v>
      </c>
      <c r="J295" s="2">
        <v>0</v>
      </c>
      <c r="K295" s="6">
        <f t="shared" si="9"/>
        <v>8.5</v>
      </c>
      <c r="L295" s="7">
        <v>0.6</v>
      </c>
      <c r="M295" s="10">
        <f t="shared" si="10"/>
        <v>14.166666666666668</v>
      </c>
      <c r="N295" t="s">
        <v>35</v>
      </c>
      <c r="O295" t="s">
        <v>30</v>
      </c>
      <c r="P295" t="s">
        <v>35</v>
      </c>
      <c r="Q295" t="s">
        <v>36</v>
      </c>
      <c r="R295" t="s">
        <v>37</v>
      </c>
      <c r="T295" s="2">
        <v>1</v>
      </c>
      <c r="U295" s="2">
        <v>1</v>
      </c>
      <c r="V295" s="2">
        <v>1</v>
      </c>
      <c r="W295" s="2">
        <v>1</v>
      </c>
      <c r="X295" s="2">
        <v>0</v>
      </c>
      <c r="Y295" s="2">
        <v>1</v>
      </c>
      <c r="Z295" s="2">
        <v>0</v>
      </c>
      <c r="AA295" s="2">
        <v>1</v>
      </c>
      <c r="AB295" s="2">
        <v>0</v>
      </c>
      <c r="AC295" s="2">
        <v>0</v>
      </c>
    </row>
    <row r="296" spans="1:29">
      <c r="A296" s="2">
        <v>541</v>
      </c>
      <c r="B296" s="2">
        <v>292250204</v>
      </c>
      <c r="C296" s="2">
        <v>292250204</v>
      </c>
      <c r="D296" t="s">
        <v>1128</v>
      </c>
      <c r="E296" s="2">
        <v>292250204</v>
      </c>
      <c r="F296" t="s">
        <v>219</v>
      </c>
      <c r="G296">
        <v>8.5</v>
      </c>
      <c r="H296" s="2">
        <v>0</v>
      </c>
      <c r="I296" s="2">
        <v>0</v>
      </c>
      <c r="J296" s="2">
        <v>0</v>
      </c>
      <c r="K296" s="6">
        <f t="shared" si="9"/>
        <v>8.5</v>
      </c>
      <c r="L296" s="7">
        <v>0.59</v>
      </c>
      <c r="M296" s="10">
        <f t="shared" si="10"/>
        <v>14.40677966101695</v>
      </c>
      <c r="N296" t="s">
        <v>30</v>
      </c>
      <c r="O296" t="s">
        <v>30</v>
      </c>
      <c r="P296" t="s">
        <v>37</v>
      </c>
      <c r="Q296" t="s">
        <v>41</v>
      </c>
      <c r="R296" t="s">
        <v>685</v>
      </c>
      <c r="T296" s="2">
        <v>1</v>
      </c>
      <c r="U296" s="2">
        <v>1</v>
      </c>
      <c r="V296" s="2">
        <v>1</v>
      </c>
      <c r="W296" s="2">
        <v>1</v>
      </c>
      <c r="X296" s="2">
        <v>1</v>
      </c>
      <c r="Y296" s="2">
        <v>1</v>
      </c>
      <c r="Z296" s="2">
        <v>0</v>
      </c>
      <c r="AA296" s="2">
        <v>1</v>
      </c>
      <c r="AB296" s="2">
        <v>0</v>
      </c>
      <c r="AC296" s="2">
        <v>0</v>
      </c>
    </row>
    <row r="297" spans="1:29">
      <c r="A297" s="2">
        <v>618</v>
      </c>
      <c r="B297" s="2">
        <v>252650417</v>
      </c>
      <c r="C297" s="2">
        <v>252650417</v>
      </c>
      <c r="D297" t="s">
        <v>889</v>
      </c>
      <c r="E297" t="s">
        <v>890</v>
      </c>
      <c r="F297" t="s">
        <v>56</v>
      </c>
      <c r="G297" s="3">
        <v>9.0299999999999994</v>
      </c>
      <c r="H297" s="2">
        <v>0</v>
      </c>
      <c r="I297" s="2">
        <v>0</v>
      </c>
      <c r="J297" s="2">
        <v>0</v>
      </c>
      <c r="K297" s="6">
        <f t="shared" si="9"/>
        <v>9.0299999999999994</v>
      </c>
      <c r="L297" s="7">
        <v>0.85</v>
      </c>
      <c r="M297" s="10">
        <f t="shared" si="10"/>
        <v>10.623529411764705</v>
      </c>
      <c r="N297" t="s">
        <v>37</v>
      </c>
      <c r="O297" t="s">
        <v>30</v>
      </c>
      <c r="P297" t="s">
        <v>37</v>
      </c>
      <c r="Q297" t="s">
        <v>36</v>
      </c>
      <c r="R297" t="s">
        <v>687</v>
      </c>
      <c r="T297" s="2">
        <v>1</v>
      </c>
      <c r="U297" s="2">
        <v>1</v>
      </c>
      <c r="V297" s="2">
        <v>1</v>
      </c>
      <c r="W297" s="2">
        <v>1</v>
      </c>
      <c r="X297" s="2">
        <v>1</v>
      </c>
      <c r="Y297" s="2">
        <v>1</v>
      </c>
      <c r="Z297" s="2">
        <v>0</v>
      </c>
      <c r="AA297" s="2">
        <v>1</v>
      </c>
      <c r="AB297" s="2">
        <v>0</v>
      </c>
      <c r="AC297" s="2">
        <v>0</v>
      </c>
    </row>
    <row r="298" spans="1:29">
      <c r="A298" s="2">
        <v>741</v>
      </c>
      <c r="B298" s="2">
        <v>272100129</v>
      </c>
      <c r="C298" s="2">
        <v>272100129</v>
      </c>
      <c r="D298" t="s">
        <v>1108</v>
      </c>
      <c r="F298" t="s">
        <v>304</v>
      </c>
      <c r="G298">
        <v>9.2889999999999997</v>
      </c>
      <c r="H298" s="2">
        <v>0</v>
      </c>
      <c r="I298" s="2">
        <v>0</v>
      </c>
      <c r="J298" s="2">
        <v>0</v>
      </c>
      <c r="K298" s="6">
        <f t="shared" si="9"/>
        <v>9.2889999999999997</v>
      </c>
      <c r="L298" s="7">
        <v>0.7</v>
      </c>
      <c r="M298" s="10">
        <f t="shared" si="10"/>
        <v>13.27</v>
      </c>
      <c r="N298" t="s">
        <v>30</v>
      </c>
      <c r="O298" t="s">
        <v>30</v>
      </c>
      <c r="P298" t="s">
        <v>30</v>
      </c>
      <c r="Q298" t="s">
        <v>76</v>
      </c>
      <c r="R298" t="s">
        <v>77</v>
      </c>
      <c r="T298" s="2">
        <v>1</v>
      </c>
      <c r="U298" s="2">
        <v>1</v>
      </c>
      <c r="V298" s="2">
        <v>1</v>
      </c>
      <c r="W298" s="2">
        <v>1</v>
      </c>
      <c r="X298" s="2">
        <v>1</v>
      </c>
      <c r="Y298" s="2">
        <v>1</v>
      </c>
      <c r="Z298" s="2">
        <v>0</v>
      </c>
      <c r="AA298" s="2">
        <v>1</v>
      </c>
      <c r="AB298" s="2">
        <v>0</v>
      </c>
      <c r="AC298" s="2">
        <v>0</v>
      </c>
    </row>
    <row r="299" spans="1:29">
      <c r="A299" s="2">
        <v>165</v>
      </c>
      <c r="B299" s="2">
        <v>240500301</v>
      </c>
      <c r="C299" s="2">
        <v>240500301</v>
      </c>
      <c r="D299" t="s">
        <v>106</v>
      </c>
      <c r="E299" s="2">
        <v>14060191</v>
      </c>
      <c r="F299" t="s">
        <v>100</v>
      </c>
      <c r="G299" s="3">
        <f>+VLOOKUP(B299,'[1]master_prod_15todos(30-11-2 (2)'!$B$2:$AF$470,31,FALSE)</f>
        <v>9.3800000000000008</v>
      </c>
      <c r="H299" s="2">
        <v>0</v>
      </c>
      <c r="I299" s="2">
        <v>0</v>
      </c>
      <c r="J299" s="2">
        <v>0</v>
      </c>
      <c r="K299" s="6">
        <f t="shared" si="9"/>
        <v>9.3800000000000008</v>
      </c>
      <c r="L299" s="7">
        <f>+VLOOKUP(B299,'[1]master_prod_15todos(30-11-2 (2)'!$B$2:$AG$470,32,FALSE)</f>
        <v>0.6</v>
      </c>
      <c r="M299" s="10">
        <f t="shared" si="10"/>
        <v>15.633333333333335</v>
      </c>
      <c r="N299" t="s">
        <v>30</v>
      </c>
      <c r="O299" t="s">
        <v>30</v>
      </c>
      <c r="P299" t="s">
        <v>30</v>
      </c>
      <c r="Q299" t="s">
        <v>53</v>
      </c>
      <c r="R299" t="s">
        <v>53</v>
      </c>
      <c r="T299" s="2">
        <v>1</v>
      </c>
      <c r="U299" s="2">
        <v>1</v>
      </c>
      <c r="V299" s="2">
        <v>1</v>
      </c>
      <c r="W299" s="2">
        <v>1</v>
      </c>
      <c r="X299" s="2">
        <v>1</v>
      </c>
      <c r="Y299" s="2">
        <v>1</v>
      </c>
      <c r="Z299" s="2">
        <v>0</v>
      </c>
      <c r="AA299" s="2">
        <v>1</v>
      </c>
      <c r="AB299" s="2">
        <v>0</v>
      </c>
      <c r="AC299" s="2">
        <v>0</v>
      </c>
    </row>
    <row r="300" spans="1:29">
      <c r="A300" s="2">
        <v>164</v>
      </c>
      <c r="B300" s="2">
        <v>240500302</v>
      </c>
      <c r="C300" s="2">
        <v>240500302</v>
      </c>
      <c r="D300" t="s">
        <v>109</v>
      </c>
      <c r="E300" s="2">
        <v>14060101</v>
      </c>
      <c r="F300" t="s">
        <v>100</v>
      </c>
      <c r="G300" s="3">
        <f>+VLOOKUP(B300,'[1]master_prod_15todos(30-11-2 (2)'!$B$2:$AF$470,31,FALSE)</f>
        <v>9.3800000000000008</v>
      </c>
      <c r="H300" s="2">
        <v>0</v>
      </c>
      <c r="I300" s="2">
        <v>0</v>
      </c>
      <c r="J300" s="2">
        <v>0</v>
      </c>
      <c r="K300" s="6">
        <f t="shared" si="9"/>
        <v>9.3800000000000008</v>
      </c>
      <c r="L300" s="7">
        <f>+VLOOKUP(B300,'[1]master_prod_15todos(30-11-2 (2)'!$B$2:$AG$470,32,FALSE)</f>
        <v>0.6</v>
      </c>
      <c r="M300" s="10">
        <f t="shared" si="10"/>
        <v>15.633333333333335</v>
      </c>
      <c r="N300" t="s">
        <v>30</v>
      </c>
      <c r="O300" t="s">
        <v>30</v>
      </c>
      <c r="P300" t="s">
        <v>37</v>
      </c>
      <c r="Q300" t="s">
        <v>87</v>
      </c>
      <c r="R300" t="s">
        <v>694</v>
      </c>
      <c r="T300" s="2">
        <v>1</v>
      </c>
      <c r="U300" s="2">
        <v>1</v>
      </c>
      <c r="V300" s="2">
        <v>1</v>
      </c>
      <c r="W300" s="2">
        <v>1</v>
      </c>
      <c r="X300" s="2">
        <v>0</v>
      </c>
      <c r="Y300" s="2">
        <v>1</v>
      </c>
      <c r="Z300" s="2">
        <v>0</v>
      </c>
      <c r="AA300" s="2">
        <v>1</v>
      </c>
      <c r="AB300" s="2">
        <v>0</v>
      </c>
      <c r="AC300" s="2">
        <v>0</v>
      </c>
    </row>
    <row r="301" spans="1:29">
      <c r="A301" s="2">
        <v>275</v>
      </c>
      <c r="B301" s="2">
        <v>240450316</v>
      </c>
      <c r="C301" s="2">
        <v>240450316</v>
      </c>
      <c r="D301" t="s">
        <v>95</v>
      </c>
      <c r="E301" t="s">
        <v>96</v>
      </c>
      <c r="F301" t="s">
        <v>97</v>
      </c>
      <c r="G301" s="3">
        <f>+VLOOKUP(B301,'[1]master_prod_15todos(30-11-2 (2)'!$B$2:$AF$470,31,FALSE)</f>
        <v>9.6125000000000007</v>
      </c>
      <c r="H301" s="2">
        <v>0</v>
      </c>
      <c r="I301" s="2">
        <v>0</v>
      </c>
      <c r="J301" s="2">
        <v>0</v>
      </c>
      <c r="K301" s="6">
        <f t="shared" si="9"/>
        <v>9.6125000000000007</v>
      </c>
      <c r="L301" s="7">
        <f>+VLOOKUP(B301,'[1]master_prod_15todos(30-11-2 (2)'!$B$2:$AG$470,32,FALSE)</f>
        <v>0.7</v>
      </c>
      <c r="M301" s="10">
        <f t="shared" si="10"/>
        <v>13.732142857142859</v>
      </c>
      <c r="N301" t="s">
        <v>35</v>
      </c>
      <c r="O301" t="s">
        <v>30</v>
      </c>
      <c r="P301" t="s">
        <v>35</v>
      </c>
      <c r="Q301" t="s">
        <v>53</v>
      </c>
      <c r="R301" t="s">
        <v>53</v>
      </c>
      <c r="T301" s="2">
        <v>1</v>
      </c>
      <c r="U301" s="2">
        <v>1</v>
      </c>
      <c r="V301" s="2">
        <v>1</v>
      </c>
      <c r="W301" s="2">
        <v>1</v>
      </c>
      <c r="X301" s="2">
        <v>1</v>
      </c>
      <c r="Y301" s="2">
        <v>1</v>
      </c>
      <c r="Z301" s="2">
        <v>0</v>
      </c>
      <c r="AA301" s="2">
        <v>1</v>
      </c>
      <c r="AB301" s="2">
        <v>0</v>
      </c>
      <c r="AC301" s="2">
        <v>0</v>
      </c>
    </row>
    <row r="302" spans="1:29">
      <c r="A302" s="2">
        <v>329</v>
      </c>
      <c r="B302" s="2">
        <v>252650844</v>
      </c>
      <c r="C302" s="2">
        <v>252650844</v>
      </c>
      <c r="D302" t="s">
        <v>903</v>
      </c>
      <c r="E302" t="s">
        <v>904</v>
      </c>
      <c r="F302" t="s">
        <v>75</v>
      </c>
      <c r="G302" s="3">
        <v>9.68</v>
      </c>
      <c r="H302" s="2">
        <v>0</v>
      </c>
      <c r="I302" s="2">
        <v>0</v>
      </c>
      <c r="J302" s="2">
        <v>0</v>
      </c>
      <c r="K302" s="6">
        <f t="shared" si="9"/>
        <v>9.68</v>
      </c>
      <c r="L302" s="7">
        <v>0.7</v>
      </c>
      <c r="M302" s="10">
        <f t="shared" si="10"/>
        <v>13.828571428571429</v>
      </c>
      <c r="N302" t="s">
        <v>40</v>
      </c>
      <c r="O302" t="s">
        <v>40</v>
      </c>
      <c r="P302" t="s">
        <v>404</v>
      </c>
      <c r="Q302" t="s">
        <v>388</v>
      </c>
      <c r="R302" t="s">
        <v>37</v>
      </c>
      <c r="T302" s="2">
        <v>1</v>
      </c>
      <c r="U302" s="2">
        <v>1</v>
      </c>
      <c r="V302" s="2">
        <v>24</v>
      </c>
      <c r="W302" s="2">
        <v>1</v>
      </c>
      <c r="X302" s="2">
        <v>1</v>
      </c>
      <c r="Y302" s="2">
        <v>1</v>
      </c>
      <c r="Z302" s="2">
        <v>0</v>
      </c>
      <c r="AA302" s="2">
        <v>1</v>
      </c>
      <c r="AB302" s="3">
        <v>0.32</v>
      </c>
      <c r="AC302">
        <v>4.0937999999999999</v>
      </c>
    </row>
    <row r="303" spans="1:29">
      <c r="A303" s="2">
        <v>318</v>
      </c>
      <c r="B303" s="2">
        <v>252800021</v>
      </c>
      <c r="C303" s="2">
        <v>252800021</v>
      </c>
      <c r="D303" t="s">
        <v>914</v>
      </c>
      <c r="E303" t="s">
        <v>915</v>
      </c>
      <c r="F303" t="s">
        <v>75</v>
      </c>
      <c r="G303" s="3">
        <v>9.92</v>
      </c>
      <c r="H303" s="2">
        <v>0</v>
      </c>
      <c r="I303" s="2">
        <v>0</v>
      </c>
      <c r="J303" s="2">
        <v>0</v>
      </c>
      <c r="K303" s="6">
        <f t="shared" si="9"/>
        <v>9.92</v>
      </c>
      <c r="L303" s="7">
        <v>0.85</v>
      </c>
      <c r="M303" s="10">
        <f t="shared" si="10"/>
        <v>11.670588235294117</v>
      </c>
      <c r="N303" t="s">
        <v>30</v>
      </c>
      <c r="O303" t="s">
        <v>30</v>
      </c>
      <c r="P303" t="s">
        <v>37</v>
      </c>
      <c r="Q303" t="s">
        <v>388</v>
      </c>
      <c r="R303" t="s">
        <v>704</v>
      </c>
      <c r="S303" t="s">
        <v>705</v>
      </c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2">
        <v>1</v>
      </c>
      <c r="Z303" s="2">
        <v>0</v>
      </c>
      <c r="AA303" s="2">
        <v>1</v>
      </c>
      <c r="AB303">
        <v>0.5</v>
      </c>
      <c r="AC303" s="3">
        <v>0.88</v>
      </c>
    </row>
    <row r="304" spans="1:29">
      <c r="A304" s="2">
        <v>88</v>
      </c>
      <c r="B304" s="2">
        <v>241250114</v>
      </c>
      <c r="C304" s="2">
        <v>241250114</v>
      </c>
      <c r="D304" t="s">
        <v>281</v>
      </c>
      <c r="E304">
        <v>302.5</v>
      </c>
      <c r="F304" t="s">
        <v>282</v>
      </c>
      <c r="G304" s="3">
        <f>+VLOOKUP(B304,'[1]master_prod_15todos(30-11-2 (2)'!$B$2:$AF$470,31,FALSE)</f>
        <v>10</v>
      </c>
      <c r="H304" s="2">
        <v>0</v>
      </c>
      <c r="I304" s="2">
        <v>0</v>
      </c>
      <c r="J304" s="2">
        <v>0</v>
      </c>
      <c r="K304" s="6">
        <f t="shared" si="9"/>
        <v>10</v>
      </c>
      <c r="L304" s="7">
        <f>+VLOOKUP(B304,'[1]master_prod_15todos(30-11-2 (2)'!$B$2:$AG$470,32,FALSE)</f>
        <v>0.9</v>
      </c>
      <c r="M304" s="10">
        <f t="shared" si="10"/>
        <v>11.111111111111111</v>
      </c>
      <c r="N304" t="s">
        <v>40</v>
      </c>
      <c r="O304" t="s">
        <v>40</v>
      </c>
      <c r="P304" t="s">
        <v>37</v>
      </c>
      <c r="Q304" t="s">
        <v>388</v>
      </c>
      <c r="R304" t="s">
        <v>706</v>
      </c>
      <c r="T304" s="2">
        <v>1</v>
      </c>
      <c r="U304" s="2">
        <v>1</v>
      </c>
      <c r="V304" s="2">
        <v>1</v>
      </c>
      <c r="W304" s="2">
        <v>1</v>
      </c>
      <c r="X304" s="2">
        <v>1</v>
      </c>
      <c r="Y304" s="2">
        <v>1</v>
      </c>
      <c r="Z304" s="2">
        <v>0</v>
      </c>
      <c r="AA304" s="2">
        <v>1</v>
      </c>
      <c r="AB304" s="2">
        <v>0</v>
      </c>
      <c r="AC304" s="2">
        <v>0</v>
      </c>
    </row>
    <row r="305" spans="1:29">
      <c r="A305" s="2">
        <v>911</v>
      </c>
      <c r="B305" s="2">
        <v>272100450</v>
      </c>
      <c r="C305" s="2">
        <v>272100450</v>
      </c>
      <c r="D305" t="s">
        <v>1120</v>
      </c>
      <c r="F305" t="s">
        <v>446</v>
      </c>
      <c r="G305" s="2">
        <v>10</v>
      </c>
      <c r="H305" s="2">
        <v>0</v>
      </c>
      <c r="I305" s="2">
        <v>0</v>
      </c>
      <c r="J305" s="2">
        <v>0</v>
      </c>
      <c r="K305" s="6">
        <f t="shared" si="9"/>
        <v>10</v>
      </c>
      <c r="L305" s="7">
        <v>0.33</v>
      </c>
      <c r="M305" s="10">
        <f t="shared" si="10"/>
        <v>30.303030303030301</v>
      </c>
      <c r="N305" t="s">
        <v>40</v>
      </c>
      <c r="O305" t="s">
        <v>40</v>
      </c>
      <c r="P305" t="s">
        <v>404</v>
      </c>
      <c r="Q305" t="s">
        <v>388</v>
      </c>
      <c r="R305" t="s">
        <v>37</v>
      </c>
      <c r="T305" s="2">
        <v>1</v>
      </c>
      <c r="U305" s="2">
        <v>24</v>
      </c>
      <c r="V305" s="2">
        <v>1</v>
      </c>
      <c r="W305" s="2">
        <v>15</v>
      </c>
      <c r="X305" s="2">
        <v>1</v>
      </c>
      <c r="Y305" s="2">
        <v>1</v>
      </c>
      <c r="Z305" s="2">
        <v>0</v>
      </c>
      <c r="AA305" s="2">
        <v>1</v>
      </c>
      <c r="AB305" s="3">
        <v>0.32</v>
      </c>
      <c r="AC305">
        <v>4.0937999999999999</v>
      </c>
    </row>
    <row r="306" spans="1:29">
      <c r="A306" s="2">
        <v>610</v>
      </c>
      <c r="B306" s="2">
        <v>241000202</v>
      </c>
      <c r="C306" s="2">
        <v>241000202</v>
      </c>
      <c r="D306" t="s">
        <v>248</v>
      </c>
      <c r="E306" t="s">
        <v>249</v>
      </c>
      <c r="F306" t="s">
        <v>250</v>
      </c>
      <c r="G306" s="3">
        <f>+VLOOKUP(B306,'[1]master_prod_15todos(30-11-2 (2)'!$B$2:$AF$470,31,FALSE)</f>
        <v>10.16</v>
      </c>
      <c r="H306" s="2">
        <v>0</v>
      </c>
      <c r="I306" s="2">
        <v>0</v>
      </c>
      <c r="J306" s="2">
        <v>0</v>
      </c>
      <c r="K306" s="6">
        <f t="shared" si="9"/>
        <v>10.16</v>
      </c>
      <c r="L306" s="7">
        <f>+VLOOKUP(B306,'[1]master_prod_15todos(30-11-2 (2)'!$B$2:$AG$470,32,FALSE)</f>
        <v>0.8</v>
      </c>
      <c r="M306" s="10">
        <f t="shared" si="10"/>
        <v>12.7</v>
      </c>
      <c r="N306" t="s">
        <v>30</v>
      </c>
      <c r="O306" t="s">
        <v>30</v>
      </c>
      <c r="P306" t="s">
        <v>37</v>
      </c>
      <c r="Q306" t="s">
        <v>87</v>
      </c>
      <c r="R306" t="s">
        <v>710</v>
      </c>
      <c r="T306" s="2">
        <v>1</v>
      </c>
      <c r="U306" s="2">
        <v>1</v>
      </c>
      <c r="V306" s="2">
        <v>1</v>
      </c>
      <c r="W306" s="2">
        <v>1</v>
      </c>
      <c r="X306" s="2">
        <v>0</v>
      </c>
      <c r="Y306" s="2">
        <v>1</v>
      </c>
      <c r="Z306" s="2">
        <v>0</v>
      </c>
      <c r="AA306" s="2">
        <v>1</v>
      </c>
      <c r="AB306" s="2">
        <v>0</v>
      </c>
      <c r="AC306" s="2">
        <v>0</v>
      </c>
    </row>
    <row r="307" spans="1:29">
      <c r="A307" s="2">
        <v>722</v>
      </c>
      <c r="B307" s="2">
        <v>252300508</v>
      </c>
      <c r="C307" s="2">
        <v>252300508</v>
      </c>
      <c r="D307" t="s">
        <v>838</v>
      </c>
      <c r="F307" t="s">
        <v>85</v>
      </c>
      <c r="G307">
        <v>10.5175</v>
      </c>
      <c r="H307" s="2">
        <v>0</v>
      </c>
      <c r="I307" s="2">
        <v>0</v>
      </c>
      <c r="J307" s="2">
        <v>0</v>
      </c>
      <c r="K307" s="6">
        <f t="shared" si="9"/>
        <v>10.5175</v>
      </c>
      <c r="L307" s="7">
        <v>0.46</v>
      </c>
      <c r="M307" s="10">
        <f t="shared" si="10"/>
        <v>22.864130434782609</v>
      </c>
      <c r="N307" t="s">
        <v>35</v>
      </c>
      <c r="O307" t="s">
        <v>30</v>
      </c>
      <c r="P307" t="s">
        <v>37</v>
      </c>
      <c r="Q307" t="s">
        <v>36</v>
      </c>
      <c r="T307" s="2">
        <v>1</v>
      </c>
      <c r="U307" s="2">
        <v>1</v>
      </c>
      <c r="V307" s="2">
        <v>1</v>
      </c>
      <c r="W307" s="2">
        <v>1</v>
      </c>
      <c r="X307" s="2">
        <v>0</v>
      </c>
      <c r="Y307" s="2">
        <v>1</v>
      </c>
      <c r="Z307" s="2">
        <v>0</v>
      </c>
      <c r="AA307" s="2">
        <v>1</v>
      </c>
      <c r="AB307" s="2">
        <v>0</v>
      </c>
      <c r="AC307" s="2">
        <v>0</v>
      </c>
    </row>
    <row r="308" spans="1:29">
      <c r="A308" s="2">
        <v>560</v>
      </c>
      <c r="B308" s="2">
        <v>242350811</v>
      </c>
      <c r="C308" s="2">
        <v>242350811</v>
      </c>
      <c r="D308" t="s">
        <v>549</v>
      </c>
      <c r="E308" s="2">
        <v>89811</v>
      </c>
      <c r="F308" t="s">
        <v>550</v>
      </c>
      <c r="G308" s="3">
        <v>10.77</v>
      </c>
      <c r="H308" s="2">
        <v>0</v>
      </c>
      <c r="I308" s="2">
        <v>0</v>
      </c>
      <c r="J308" s="2">
        <v>0</v>
      </c>
      <c r="K308" s="6">
        <f t="shared" si="9"/>
        <v>10.77</v>
      </c>
      <c r="L308" s="7">
        <v>0.55000000000000004</v>
      </c>
      <c r="M308" s="10">
        <f t="shared" si="10"/>
        <v>19.581818181818178</v>
      </c>
      <c r="N308" t="s">
        <v>35</v>
      </c>
      <c r="O308" t="s">
        <v>30</v>
      </c>
      <c r="P308" t="s">
        <v>37</v>
      </c>
      <c r="Q308" t="s">
        <v>36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2">
        <v>0</v>
      </c>
      <c r="Z308" s="2">
        <v>0</v>
      </c>
      <c r="AA308" s="2">
        <v>1</v>
      </c>
      <c r="AB308" s="2">
        <v>0</v>
      </c>
      <c r="AC308" s="2">
        <v>0</v>
      </c>
    </row>
    <row r="309" spans="1:29">
      <c r="A309" s="2">
        <v>676</v>
      </c>
      <c r="B309" s="2">
        <v>241020109</v>
      </c>
      <c r="C309" s="2">
        <v>241020109</v>
      </c>
      <c r="D309" t="s">
        <v>265</v>
      </c>
      <c r="F309" t="s">
        <v>263</v>
      </c>
      <c r="G309" s="3">
        <f>+VLOOKUP(B309,'[1]master_prod_15todos(30-11-2 (2)'!$B$2:$AF$470,31,FALSE)</f>
        <v>11.03</v>
      </c>
      <c r="H309" s="2">
        <v>0</v>
      </c>
      <c r="I309" s="2">
        <v>0</v>
      </c>
      <c r="J309" s="2">
        <v>0</v>
      </c>
      <c r="K309" s="6">
        <f t="shared" si="9"/>
        <v>11.03</v>
      </c>
      <c r="L309" s="7">
        <f>+VLOOKUP(B309,'[1]master_prod_15todos(30-11-2 (2)'!$B$2:$AG$470,32,FALSE)</f>
        <v>0.8</v>
      </c>
      <c r="M309" s="10">
        <f t="shared" si="10"/>
        <v>13.787499999999998</v>
      </c>
      <c r="N309" t="s">
        <v>35</v>
      </c>
      <c r="O309" t="s">
        <v>30</v>
      </c>
      <c r="P309" t="s">
        <v>37</v>
      </c>
      <c r="Q309" t="s">
        <v>36</v>
      </c>
      <c r="T309" s="2">
        <v>1</v>
      </c>
      <c r="U309" s="2">
        <v>1</v>
      </c>
      <c r="V309" s="2">
        <v>1</v>
      </c>
      <c r="W309" s="2">
        <v>1</v>
      </c>
      <c r="X309" s="2">
        <v>0</v>
      </c>
      <c r="Y309" s="2">
        <v>1</v>
      </c>
      <c r="Z309" s="2">
        <v>0</v>
      </c>
      <c r="AA309" s="2">
        <v>1</v>
      </c>
      <c r="AB309" s="2">
        <v>0</v>
      </c>
      <c r="AC309" s="2">
        <v>0</v>
      </c>
    </row>
    <row r="310" spans="1:29">
      <c r="A310" s="2">
        <v>289</v>
      </c>
      <c r="B310" s="2">
        <v>250500812</v>
      </c>
      <c r="C310" s="2">
        <v>250500812</v>
      </c>
      <c r="D310" t="s">
        <v>754</v>
      </c>
      <c r="E310" t="s">
        <v>755</v>
      </c>
      <c r="G310" s="3">
        <v>11.19</v>
      </c>
      <c r="H310" s="2">
        <v>0</v>
      </c>
      <c r="I310" s="2">
        <v>0</v>
      </c>
      <c r="J310" s="2">
        <v>0</v>
      </c>
      <c r="K310" s="6">
        <f t="shared" si="9"/>
        <v>11.19</v>
      </c>
      <c r="L310" s="7">
        <v>0.6</v>
      </c>
      <c r="M310" s="10">
        <f t="shared" si="10"/>
        <v>18.649999999999999</v>
      </c>
      <c r="N310" t="s">
        <v>35</v>
      </c>
      <c r="O310" t="s">
        <v>30</v>
      </c>
      <c r="P310" t="s">
        <v>37</v>
      </c>
      <c r="Q310" t="s">
        <v>36</v>
      </c>
      <c r="R310" t="s">
        <v>717</v>
      </c>
      <c r="T310" s="2">
        <v>1</v>
      </c>
      <c r="U310" s="2">
        <v>1</v>
      </c>
      <c r="V310" s="2">
        <v>1</v>
      </c>
      <c r="W310" s="2">
        <v>1</v>
      </c>
      <c r="X310" s="2">
        <v>1</v>
      </c>
      <c r="Y310" s="2">
        <v>1</v>
      </c>
      <c r="Z310" s="2">
        <v>0</v>
      </c>
      <c r="AA310" s="2">
        <v>1</v>
      </c>
      <c r="AB310" s="2">
        <v>0</v>
      </c>
      <c r="AC310" s="2">
        <v>0</v>
      </c>
    </row>
    <row r="311" spans="1:29">
      <c r="A311" s="2">
        <v>640</v>
      </c>
      <c r="B311" t="s">
        <v>1132</v>
      </c>
      <c r="C311" t="s">
        <v>1133</v>
      </c>
      <c r="D311" t="s">
        <v>1187</v>
      </c>
      <c r="F311" t="s">
        <v>446</v>
      </c>
      <c r="G311" s="3">
        <v>11.19</v>
      </c>
      <c r="H311" s="2">
        <v>0</v>
      </c>
      <c r="I311" s="2">
        <v>0</v>
      </c>
      <c r="J311" s="2">
        <v>0</v>
      </c>
      <c r="K311" s="6">
        <f t="shared" si="9"/>
        <v>11.19</v>
      </c>
      <c r="L311" s="7">
        <v>0.55000000000000004</v>
      </c>
      <c r="M311" s="10">
        <f t="shared" si="10"/>
        <v>20.345454545454544</v>
      </c>
      <c r="N311" t="s">
        <v>35</v>
      </c>
      <c r="O311" t="s">
        <v>30</v>
      </c>
      <c r="P311" t="s">
        <v>37</v>
      </c>
      <c r="Q311" t="s">
        <v>36</v>
      </c>
      <c r="T311" s="2">
        <v>1</v>
      </c>
      <c r="U311" s="2">
        <v>1</v>
      </c>
      <c r="V311" s="2">
        <v>1</v>
      </c>
      <c r="W311" s="2">
        <v>1</v>
      </c>
      <c r="X311" s="2">
        <v>1</v>
      </c>
      <c r="Y311" s="2">
        <v>0</v>
      </c>
      <c r="Z311" s="2">
        <v>0</v>
      </c>
      <c r="AA311" s="2">
        <v>1</v>
      </c>
      <c r="AB311" s="2">
        <v>0</v>
      </c>
      <c r="AC311" s="2">
        <v>0</v>
      </c>
    </row>
    <row r="312" spans="1:29">
      <c r="A312" s="2">
        <v>854</v>
      </c>
      <c r="B312" s="2">
        <v>252850946</v>
      </c>
      <c r="C312" s="2">
        <v>252850946</v>
      </c>
      <c r="D312" t="s">
        <v>1045</v>
      </c>
      <c r="E312" t="s">
        <v>1046</v>
      </c>
      <c r="F312" t="s">
        <v>75</v>
      </c>
      <c r="G312">
        <v>11.5768</v>
      </c>
      <c r="H312" s="2">
        <v>0</v>
      </c>
      <c r="I312" s="2">
        <v>0</v>
      </c>
      <c r="J312" s="2">
        <v>0</v>
      </c>
      <c r="K312" s="6">
        <f t="shared" si="9"/>
        <v>11.5768</v>
      </c>
      <c r="L312" s="7">
        <v>0.64</v>
      </c>
      <c r="M312" s="10">
        <f t="shared" si="10"/>
        <v>18.088750000000001</v>
      </c>
      <c r="N312" t="s">
        <v>51</v>
      </c>
      <c r="O312" t="s">
        <v>30</v>
      </c>
      <c r="P312" t="s">
        <v>51</v>
      </c>
      <c r="Q312" t="s">
        <v>87</v>
      </c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2">
        <v>1</v>
      </c>
      <c r="Z312" s="2">
        <v>0</v>
      </c>
      <c r="AA312" s="2">
        <v>1</v>
      </c>
      <c r="AB312" s="2">
        <v>0</v>
      </c>
      <c r="AC312" s="2">
        <v>0</v>
      </c>
    </row>
    <row r="313" spans="1:29">
      <c r="A313" s="2">
        <v>196</v>
      </c>
      <c r="B313" s="2">
        <v>250100209</v>
      </c>
      <c r="C313" s="2">
        <v>250100209</v>
      </c>
      <c r="D313" t="s">
        <v>651</v>
      </c>
      <c r="E313" t="s">
        <v>652</v>
      </c>
      <c r="F313" t="s">
        <v>219</v>
      </c>
      <c r="G313">
        <v>11.6875</v>
      </c>
      <c r="H313" s="2">
        <v>0</v>
      </c>
      <c r="I313" s="2">
        <v>0</v>
      </c>
      <c r="J313" s="2">
        <v>0</v>
      </c>
      <c r="K313" s="6">
        <f t="shared" si="9"/>
        <v>11.6875</v>
      </c>
      <c r="L313" s="7">
        <v>0.55000000000000004</v>
      </c>
      <c r="M313" s="10">
        <f t="shared" si="10"/>
        <v>21.25</v>
      </c>
      <c r="N313" t="s">
        <v>30</v>
      </c>
      <c r="O313" t="s">
        <v>30</v>
      </c>
      <c r="P313" t="s">
        <v>51</v>
      </c>
      <c r="Q313" t="s">
        <v>87</v>
      </c>
      <c r="R313" t="s">
        <v>724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2">
        <v>1</v>
      </c>
      <c r="Z313" s="2">
        <v>0</v>
      </c>
      <c r="AA313" s="2">
        <v>1</v>
      </c>
      <c r="AB313" s="2">
        <v>0</v>
      </c>
      <c r="AC313" s="2">
        <v>0</v>
      </c>
    </row>
    <row r="314" spans="1:29">
      <c r="A314" s="2">
        <v>140</v>
      </c>
      <c r="B314" s="2">
        <v>242200710</v>
      </c>
      <c r="C314" s="2">
        <v>242200710</v>
      </c>
      <c r="D314" t="s">
        <v>409</v>
      </c>
      <c r="E314" s="2">
        <v>3203</v>
      </c>
      <c r="F314" t="s">
        <v>403</v>
      </c>
      <c r="G314" s="3">
        <f>+VLOOKUP(B314,'[1]master_prod_15todos(30-11-2 (2)'!$B$2:$AF$470,31,FALSE)</f>
        <v>12</v>
      </c>
      <c r="H314" s="2">
        <v>0</v>
      </c>
      <c r="I314" s="2">
        <v>0</v>
      </c>
      <c r="J314" s="2">
        <v>0</v>
      </c>
      <c r="K314" s="6">
        <f t="shared" si="9"/>
        <v>12</v>
      </c>
      <c r="L314" s="7">
        <f>+VLOOKUP(B314,'[1]master_prod_15todos(30-11-2 (2)'!$B$2:$AG$470,32,FALSE)</f>
        <v>0.65</v>
      </c>
      <c r="M314" s="10">
        <f t="shared" si="10"/>
        <v>18.46153846153846</v>
      </c>
      <c r="N314" t="s">
        <v>30</v>
      </c>
      <c r="O314" t="s">
        <v>30</v>
      </c>
      <c r="P314" t="s">
        <v>30</v>
      </c>
      <c r="Q314" t="s">
        <v>87</v>
      </c>
      <c r="R314" t="s">
        <v>102</v>
      </c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2">
        <v>0</v>
      </c>
      <c r="Z314" s="2">
        <v>0</v>
      </c>
      <c r="AA314" s="2">
        <v>1</v>
      </c>
      <c r="AB314" s="2">
        <v>0</v>
      </c>
      <c r="AC314" s="2">
        <v>0</v>
      </c>
    </row>
    <row r="315" spans="1:29">
      <c r="A315" s="2">
        <v>139</v>
      </c>
      <c r="B315" s="2">
        <v>242200711</v>
      </c>
      <c r="C315" s="2">
        <v>242200711</v>
      </c>
      <c r="D315" t="s">
        <v>410</v>
      </c>
      <c r="E315" s="2">
        <v>3203</v>
      </c>
      <c r="F315" t="s">
        <v>403</v>
      </c>
      <c r="G315" s="3">
        <f>+VLOOKUP(B315,'[1]master_prod_15todos(30-11-2 (2)'!$B$2:$AF$470,31,FALSE)</f>
        <v>12</v>
      </c>
      <c r="H315" s="2">
        <v>0</v>
      </c>
      <c r="I315" s="2">
        <v>0</v>
      </c>
      <c r="J315" s="2">
        <v>0</v>
      </c>
      <c r="K315" s="6">
        <f t="shared" si="9"/>
        <v>12</v>
      </c>
      <c r="L315" s="7">
        <f>+VLOOKUP(B315,'[1]master_prod_15todos(30-11-2 (2)'!$B$2:$AG$470,32,FALSE)</f>
        <v>0.65</v>
      </c>
      <c r="M315" s="10">
        <f t="shared" si="10"/>
        <v>18.46153846153846</v>
      </c>
      <c r="N315" t="s">
        <v>105</v>
      </c>
      <c r="O315" t="s">
        <v>30</v>
      </c>
      <c r="P315" t="s">
        <v>105</v>
      </c>
      <c r="Q315" t="s">
        <v>87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2">
        <v>1</v>
      </c>
      <c r="Z315" s="2">
        <v>0</v>
      </c>
      <c r="AA315" s="2">
        <v>1</v>
      </c>
      <c r="AB315" s="2">
        <v>0</v>
      </c>
      <c r="AC315" s="2">
        <v>0</v>
      </c>
    </row>
    <row r="316" spans="1:29">
      <c r="A316" s="2">
        <v>138</v>
      </c>
      <c r="B316" s="2">
        <v>242200712</v>
      </c>
      <c r="C316" s="2">
        <v>242200712</v>
      </c>
      <c r="D316" t="s">
        <v>411</v>
      </c>
      <c r="E316" s="2">
        <v>3203</v>
      </c>
      <c r="F316" t="s">
        <v>403</v>
      </c>
      <c r="G316" s="3">
        <f>+VLOOKUP(B316,'[1]master_prod_15todos(30-11-2 (2)'!$B$2:$AF$470,31,FALSE)</f>
        <v>12</v>
      </c>
      <c r="H316" s="2">
        <v>0</v>
      </c>
      <c r="I316" s="2">
        <v>0</v>
      </c>
      <c r="J316" s="2">
        <v>0</v>
      </c>
      <c r="K316" s="6">
        <f t="shared" si="9"/>
        <v>12</v>
      </c>
      <c r="L316" s="7">
        <f>+VLOOKUP(B316,'[1]master_prod_15todos(30-11-2 (2)'!$B$2:$AG$470,32,FALSE)</f>
        <v>0.65</v>
      </c>
      <c r="M316" s="10">
        <f t="shared" si="10"/>
        <v>18.46153846153846</v>
      </c>
      <c r="N316" t="s">
        <v>101</v>
      </c>
      <c r="O316" t="s">
        <v>30</v>
      </c>
      <c r="P316" t="s">
        <v>101</v>
      </c>
      <c r="Q316" t="s">
        <v>87</v>
      </c>
      <c r="R316" t="s">
        <v>102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0</v>
      </c>
      <c r="AA316" s="2">
        <v>1</v>
      </c>
      <c r="AB316" s="2">
        <v>0</v>
      </c>
      <c r="AC316" s="2">
        <v>0</v>
      </c>
    </row>
    <row r="317" spans="1:29">
      <c r="A317" s="2">
        <v>142</v>
      </c>
      <c r="B317" s="2">
        <v>242200713</v>
      </c>
      <c r="C317" s="2">
        <v>242200713</v>
      </c>
      <c r="D317" t="s">
        <v>412</v>
      </c>
      <c r="E317" s="2">
        <v>3203</v>
      </c>
      <c r="F317" t="s">
        <v>403</v>
      </c>
      <c r="G317" s="3">
        <f>+VLOOKUP(B317,'[1]master_prod_15todos(30-11-2 (2)'!$B$2:$AF$470,31,FALSE)</f>
        <v>12</v>
      </c>
      <c r="H317" s="2">
        <v>0</v>
      </c>
      <c r="I317" s="2">
        <v>0</v>
      </c>
      <c r="J317" s="2">
        <v>0</v>
      </c>
      <c r="K317" s="6">
        <f t="shared" si="9"/>
        <v>12</v>
      </c>
      <c r="L317" s="7">
        <f>+VLOOKUP(B317,'[1]master_prod_15todos(30-11-2 (2)'!$B$2:$AG$470,32,FALSE)</f>
        <v>0.65</v>
      </c>
      <c r="M317" s="10">
        <f t="shared" si="10"/>
        <v>18.46153846153846</v>
      </c>
      <c r="N317" t="s">
        <v>157</v>
      </c>
      <c r="O317" t="s">
        <v>157</v>
      </c>
      <c r="P317" t="s">
        <v>37</v>
      </c>
      <c r="Q317" t="s">
        <v>36</v>
      </c>
      <c r="T317" s="2">
        <v>1</v>
      </c>
      <c r="U317" s="2">
        <v>1</v>
      </c>
      <c r="V317" s="2">
        <v>1</v>
      </c>
      <c r="W317" s="2">
        <v>1</v>
      </c>
      <c r="X317" s="2">
        <v>0</v>
      </c>
      <c r="Y317" s="2">
        <v>1</v>
      </c>
      <c r="Z317" s="2">
        <v>0</v>
      </c>
      <c r="AA317" s="2">
        <v>1</v>
      </c>
      <c r="AB317" s="2">
        <v>0</v>
      </c>
      <c r="AC317" s="2">
        <v>0</v>
      </c>
    </row>
    <row r="318" spans="1:29">
      <c r="A318" s="2">
        <v>751</v>
      </c>
      <c r="B318" s="2">
        <v>242201560</v>
      </c>
      <c r="C318" s="2">
        <v>242201560</v>
      </c>
      <c r="D318" t="s">
        <v>469</v>
      </c>
      <c r="E318" s="2">
        <v>1721</v>
      </c>
      <c r="F318" t="s">
        <v>403</v>
      </c>
      <c r="G318" s="2">
        <v>12</v>
      </c>
      <c r="H318" s="2">
        <v>0</v>
      </c>
      <c r="I318" s="2">
        <v>0</v>
      </c>
      <c r="J318" s="2">
        <v>0</v>
      </c>
      <c r="K318" s="6">
        <f t="shared" si="9"/>
        <v>12</v>
      </c>
      <c r="L318" s="7">
        <v>0.6</v>
      </c>
      <c r="M318" s="10">
        <f t="shared" si="10"/>
        <v>20</v>
      </c>
      <c r="N318" t="s">
        <v>35</v>
      </c>
      <c r="O318" t="s">
        <v>30</v>
      </c>
      <c r="P318" t="s">
        <v>37</v>
      </c>
      <c r="Q318" t="s">
        <v>36</v>
      </c>
      <c r="R318" t="s">
        <v>732</v>
      </c>
      <c r="T318" s="2">
        <v>1</v>
      </c>
      <c r="U318" s="2">
        <v>1</v>
      </c>
      <c r="V318" s="2">
        <v>1</v>
      </c>
      <c r="W318" s="2">
        <v>1</v>
      </c>
      <c r="X318" s="2">
        <v>1</v>
      </c>
      <c r="Y318" s="2">
        <v>0</v>
      </c>
      <c r="Z318" s="2">
        <v>0</v>
      </c>
      <c r="AA318" s="2">
        <v>1</v>
      </c>
      <c r="AB318" s="2">
        <v>0</v>
      </c>
      <c r="AC318" s="2">
        <v>0</v>
      </c>
    </row>
    <row r="319" spans="1:29">
      <c r="A319" s="2">
        <v>188</v>
      </c>
      <c r="B319" s="2">
        <v>242201704</v>
      </c>
      <c r="C319" s="2">
        <v>242201704</v>
      </c>
      <c r="D319" t="s">
        <v>479</v>
      </c>
      <c r="E319" s="2">
        <v>1501</v>
      </c>
      <c r="F319" t="s">
        <v>403</v>
      </c>
      <c r="G319" s="2">
        <v>12</v>
      </c>
      <c r="H319" s="2">
        <v>0</v>
      </c>
      <c r="I319" s="2">
        <v>0</v>
      </c>
      <c r="J319" s="2">
        <v>0</v>
      </c>
      <c r="K319" s="6">
        <f t="shared" si="9"/>
        <v>12</v>
      </c>
      <c r="L319" s="7">
        <v>0.6</v>
      </c>
      <c r="M319" s="10">
        <f t="shared" si="10"/>
        <v>20</v>
      </c>
      <c r="N319" t="s">
        <v>35</v>
      </c>
      <c r="O319" t="s">
        <v>30</v>
      </c>
      <c r="P319" t="s">
        <v>37</v>
      </c>
      <c r="Q319" t="s">
        <v>36</v>
      </c>
      <c r="T319" s="2">
        <v>1</v>
      </c>
      <c r="U319" s="2">
        <v>1</v>
      </c>
      <c r="V319" s="2">
        <v>1</v>
      </c>
      <c r="W319" s="2">
        <v>1</v>
      </c>
      <c r="X319" s="2">
        <v>0</v>
      </c>
      <c r="Y319" s="2">
        <v>1</v>
      </c>
      <c r="Z319" s="2">
        <v>0</v>
      </c>
      <c r="AA319" s="2">
        <v>1</v>
      </c>
      <c r="AB319" s="2">
        <v>0</v>
      </c>
      <c r="AC319" s="2">
        <v>0</v>
      </c>
    </row>
    <row r="320" spans="1:29">
      <c r="A320" s="2">
        <v>692</v>
      </c>
      <c r="B320" s="2">
        <v>240350113</v>
      </c>
      <c r="C320" s="2">
        <v>240350113</v>
      </c>
      <c r="D320" t="s">
        <v>73</v>
      </c>
      <c r="E320" t="s">
        <v>74</v>
      </c>
      <c r="F320" t="s">
        <v>75</v>
      </c>
      <c r="G320" s="3">
        <f>+VLOOKUP(B320,'[1]master_prod_15todos(30-11-2 (2)'!$B$2:$AF$470,31,FALSE)</f>
        <v>12.5</v>
      </c>
      <c r="H320" s="2">
        <v>0</v>
      </c>
      <c r="I320" s="2">
        <v>0</v>
      </c>
      <c r="J320" s="2">
        <v>0</v>
      </c>
      <c r="K320" s="6">
        <f t="shared" si="9"/>
        <v>12.5</v>
      </c>
      <c r="L320" s="7">
        <f>+VLOOKUP(B320,'[1]master_prod_15todos(30-11-2 (2)'!$B$2:$AG$470,32,FALSE)</f>
        <v>0.8</v>
      </c>
      <c r="M320" s="10">
        <f t="shared" si="10"/>
        <v>15.625</v>
      </c>
      <c r="N320" t="s">
        <v>35</v>
      </c>
      <c r="O320" t="s">
        <v>30</v>
      </c>
      <c r="P320" t="s">
        <v>37</v>
      </c>
      <c r="Q320" t="s">
        <v>36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2">
        <v>0</v>
      </c>
      <c r="Z320" s="2">
        <v>0</v>
      </c>
      <c r="AA320" s="2">
        <v>1</v>
      </c>
      <c r="AB320" s="2">
        <v>0</v>
      </c>
      <c r="AC320" s="2">
        <v>0</v>
      </c>
    </row>
    <row r="321" spans="1:29">
      <c r="A321" s="2">
        <v>745</v>
      </c>
      <c r="B321" s="2">
        <v>242450106</v>
      </c>
      <c r="C321" s="2">
        <v>242450106</v>
      </c>
      <c r="D321" t="s">
        <v>573</v>
      </c>
      <c r="E321" t="s">
        <v>574</v>
      </c>
      <c r="F321" t="s">
        <v>75</v>
      </c>
      <c r="G321">
        <v>12.5</v>
      </c>
      <c r="H321" s="2">
        <v>0</v>
      </c>
      <c r="I321" s="2">
        <v>0</v>
      </c>
      <c r="J321" s="2">
        <v>0</v>
      </c>
      <c r="K321" s="6">
        <f t="shared" si="9"/>
        <v>12.5</v>
      </c>
      <c r="L321" s="7">
        <v>0.45</v>
      </c>
      <c r="M321" s="10">
        <f t="shared" si="10"/>
        <v>27.777777777777779</v>
      </c>
      <c r="N321" t="s">
        <v>35</v>
      </c>
      <c r="O321" t="s">
        <v>30</v>
      </c>
      <c r="P321" t="s">
        <v>35</v>
      </c>
      <c r="Q321" t="s">
        <v>36</v>
      </c>
      <c r="R321" t="s">
        <v>153</v>
      </c>
      <c r="T321" s="2">
        <v>1</v>
      </c>
      <c r="U321" s="2">
        <v>1</v>
      </c>
      <c r="V321" s="2">
        <v>1</v>
      </c>
      <c r="W321" s="2">
        <v>1</v>
      </c>
      <c r="X321" s="2">
        <v>0</v>
      </c>
      <c r="Y321" s="2">
        <v>1</v>
      </c>
      <c r="Z321" s="2">
        <v>0</v>
      </c>
      <c r="AA321" s="2">
        <v>1</v>
      </c>
      <c r="AB321" s="2">
        <v>0</v>
      </c>
      <c r="AC321" s="2">
        <v>0</v>
      </c>
    </row>
    <row r="322" spans="1:29">
      <c r="A322" s="2">
        <v>117</v>
      </c>
      <c r="B322" t="s">
        <v>1132</v>
      </c>
      <c r="C322" t="s">
        <v>1132</v>
      </c>
      <c r="D322" t="s">
        <v>1138</v>
      </c>
      <c r="E322" t="s">
        <v>74</v>
      </c>
      <c r="F322" t="s">
        <v>64</v>
      </c>
      <c r="G322">
        <v>12.5</v>
      </c>
      <c r="H322" s="2">
        <v>0</v>
      </c>
      <c r="I322" s="2">
        <v>0</v>
      </c>
      <c r="J322" s="2">
        <v>0</v>
      </c>
      <c r="K322" s="6">
        <f t="shared" si="9"/>
        <v>12.5</v>
      </c>
      <c r="L322" s="7">
        <v>0.6</v>
      </c>
      <c r="M322" s="10">
        <f t="shared" si="10"/>
        <v>20.833333333333336</v>
      </c>
      <c r="N322" t="s">
        <v>30</v>
      </c>
      <c r="O322" t="s">
        <v>30</v>
      </c>
      <c r="P322" t="s">
        <v>35</v>
      </c>
      <c r="Q322" t="s">
        <v>36</v>
      </c>
      <c r="T322" s="2">
        <v>1</v>
      </c>
      <c r="U322" s="2">
        <v>1</v>
      </c>
      <c r="V322" s="2">
        <v>1</v>
      </c>
      <c r="W322" s="2">
        <v>1</v>
      </c>
      <c r="X322" s="2">
        <v>0</v>
      </c>
      <c r="Y322" s="2">
        <v>1</v>
      </c>
      <c r="Z322" s="2">
        <v>0</v>
      </c>
      <c r="AA322" s="2">
        <v>1</v>
      </c>
      <c r="AB322" s="2">
        <v>0</v>
      </c>
      <c r="AC322" s="2">
        <v>0</v>
      </c>
    </row>
    <row r="323" spans="1:29">
      <c r="A323" s="2">
        <v>239</v>
      </c>
      <c r="B323" t="s">
        <v>1132</v>
      </c>
      <c r="C323" t="s">
        <v>1132</v>
      </c>
      <c r="D323" t="s">
        <v>573</v>
      </c>
      <c r="E323" t="s">
        <v>574</v>
      </c>
      <c r="F323" t="s">
        <v>75</v>
      </c>
      <c r="G323">
        <v>12.5</v>
      </c>
      <c r="H323" s="2">
        <v>0</v>
      </c>
      <c r="I323" s="2">
        <v>0</v>
      </c>
      <c r="J323" s="2">
        <v>0</v>
      </c>
      <c r="K323" s="6">
        <f t="shared" ref="K323:K386" si="11">SUM(G323:J323)</f>
        <v>12.5</v>
      </c>
      <c r="L323" s="7">
        <v>0.45</v>
      </c>
      <c r="M323" s="10">
        <f t="shared" si="10"/>
        <v>27.777777777777779</v>
      </c>
      <c r="N323" t="s">
        <v>35</v>
      </c>
      <c r="O323" t="s">
        <v>30</v>
      </c>
      <c r="P323" t="s">
        <v>37</v>
      </c>
      <c r="Q323" t="s">
        <v>36</v>
      </c>
      <c r="R323" t="s">
        <v>741</v>
      </c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2">
        <v>0</v>
      </c>
      <c r="Z323" s="2">
        <v>0</v>
      </c>
      <c r="AA323" s="2">
        <v>1</v>
      </c>
      <c r="AB323" s="2">
        <v>0</v>
      </c>
      <c r="AC323" s="2">
        <v>0</v>
      </c>
    </row>
    <row r="324" spans="1:29">
      <c r="A324" s="2">
        <v>137</v>
      </c>
      <c r="B324" s="2">
        <v>240600309</v>
      </c>
      <c r="C324" s="2">
        <v>240600309</v>
      </c>
      <c r="D324" t="s">
        <v>191</v>
      </c>
      <c r="E324" s="2">
        <v>2205</v>
      </c>
      <c r="F324" t="s">
        <v>134</v>
      </c>
      <c r="G324" s="3">
        <f>+VLOOKUP(B324,'[1]master_prod_15todos(30-11-2 (2)'!$B$2:$AF$470,31,FALSE)</f>
        <v>12.67</v>
      </c>
      <c r="H324" s="2">
        <v>0</v>
      </c>
      <c r="I324" s="2">
        <v>0</v>
      </c>
      <c r="J324" s="2">
        <v>0</v>
      </c>
      <c r="K324" s="6">
        <f t="shared" si="11"/>
        <v>12.67</v>
      </c>
      <c r="L324" s="7">
        <f>+VLOOKUP(B324,'[1]master_prod_15todos(30-11-2 (2)'!$B$2:$AG$470,32,FALSE)</f>
        <v>0.8</v>
      </c>
      <c r="M324" s="10">
        <f t="shared" ref="M324:M387" si="12">+K324/L324</f>
        <v>15.837499999999999</v>
      </c>
      <c r="N324" t="s">
        <v>378</v>
      </c>
      <c r="O324" t="s">
        <v>378</v>
      </c>
      <c r="P324" t="s">
        <v>378</v>
      </c>
      <c r="Q324" t="s">
        <v>743</v>
      </c>
      <c r="R324" t="s">
        <v>743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0</v>
      </c>
      <c r="AA324" s="2">
        <v>1</v>
      </c>
      <c r="AB324" s="2">
        <v>0</v>
      </c>
      <c r="AC324" s="2">
        <v>0</v>
      </c>
    </row>
    <row r="325" spans="1:29">
      <c r="A325" s="2">
        <v>136</v>
      </c>
      <c r="B325" s="2">
        <v>240600310</v>
      </c>
      <c r="C325" s="2">
        <v>240600310</v>
      </c>
      <c r="D325" t="s">
        <v>194</v>
      </c>
      <c r="E325" t="s">
        <v>195</v>
      </c>
      <c r="F325" t="s">
        <v>85</v>
      </c>
      <c r="G325" s="3">
        <f>+VLOOKUP(B325,'[1]master_prod_15todos(30-11-2 (2)'!$B$2:$AF$470,31,FALSE)</f>
        <v>12.67</v>
      </c>
      <c r="H325" s="2">
        <v>0</v>
      </c>
      <c r="I325" s="2">
        <v>0</v>
      </c>
      <c r="J325" s="2">
        <v>0</v>
      </c>
      <c r="K325" s="6">
        <f t="shared" si="11"/>
        <v>12.67</v>
      </c>
      <c r="L325" s="7">
        <f>+VLOOKUP(B325,'[1]master_prod_15todos(30-11-2 (2)'!$B$2:$AG$470,32,FALSE)</f>
        <v>0.8</v>
      </c>
      <c r="M325" s="10">
        <f t="shared" si="12"/>
        <v>15.837499999999999</v>
      </c>
      <c r="N325" t="s">
        <v>35</v>
      </c>
      <c r="O325" t="s">
        <v>30</v>
      </c>
      <c r="P325" t="s">
        <v>35</v>
      </c>
      <c r="Q325" t="s">
        <v>36</v>
      </c>
      <c r="R325" t="s">
        <v>153</v>
      </c>
      <c r="T325" s="2">
        <v>1</v>
      </c>
      <c r="U325" s="2">
        <v>1</v>
      </c>
      <c r="V325" s="2">
        <v>1</v>
      </c>
      <c r="W325" s="2">
        <v>1</v>
      </c>
      <c r="X325" s="2">
        <v>0</v>
      </c>
      <c r="Y325" s="2">
        <v>1</v>
      </c>
      <c r="Z325" s="2">
        <v>0</v>
      </c>
      <c r="AA325" s="2">
        <v>1</v>
      </c>
      <c r="AB325" s="2">
        <v>0</v>
      </c>
      <c r="AC325" s="2">
        <v>0</v>
      </c>
    </row>
    <row r="326" spans="1:29">
      <c r="A326" s="2">
        <v>617</v>
      </c>
      <c r="B326" s="2">
        <v>252800519</v>
      </c>
      <c r="C326" s="2">
        <v>252800519</v>
      </c>
      <c r="D326" t="s">
        <v>942</v>
      </c>
      <c r="E326" t="s">
        <v>943</v>
      </c>
      <c r="F326" t="s">
        <v>75</v>
      </c>
      <c r="G326" s="3">
        <v>12.83</v>
      </c>
      <c r="H326" s="2">
        <v>0</v>
      </c>
      <c r="I326" s="2">
        <v>0</v>
      </c>
      <c r="J326" s="2">
        <v>0</v>
      </c>
      <c r="K326" s="6">
        <f t="shared" si="11"/>
        <v>12.83</v>
      </c>
      <c r="L326" s="7">
        <v>0.14000000000000001</v>
      </c>
      <c r="M326" s="10">
        <f t="shared" si="12"/>
        <v>91.642857142857139</v>
      </c>
      <c r="N326" t="s">
        <v>378</v>
      </c>
      <c r="O326" t="s">
        <v>378</v>
      </c>
      <c r="P326" t="s">
        <v>378</v>
      </c>
      <c r="Q326" t="s">
        <v>743</v>
      </c>
      <c r="R326" t="s">
        <v>743</v>
      </c>
      <c r="T326" s="2">
        <v>1</v>
      </c>
      <c r="U326" s="2">
        <v>1</v>
      </c>
      <c r="V326" s="2">
        <v>1</v>
      </c>
      <c r="W326" s="2">
        <v>1</v>
      </c>
      <c r="X326" s="2">
        <v>0</v>
      </c>
      <c r="Y326" s="2">
        <v>1</v>
      </c>
      <c r="Z326" s="2">
        <v>0</v>
      </c>
      <c r="AA326" s="2">
        <v>1</v>
      </c>
      <c r="AB326" s="2">
        <v>0</v>
      </c>
      <c r="AC326" s="2">
        <v>0</v>
      </c>
    </row>
    <row r="327" spans="1:29">
      <c r="A327" s="2">
        <v>789</v>
      </c>
      <c r="B327" s="2">
        <v>240202948</v>
      </c>
      <c r="C327" s="2">
        <v>240202948</v>
      </c>
      <c r="D327" t="s">
        <v>60</v>
      </c>
      <c r="E327" t="s">
        <v>61</v>
      </c>
      <c r="F327" t="s">
        <v>56</v>
      </c>
      <c r="G327" s="3">
        <f>+VLOOKUP(B327,'[1]master_prod_15todos(30-11-2 (2)'!$B$2:$AF$470,31,FALSE)</f>
        <v>12.99</v>
      </c>
      <c r="H327" s="2">
        <v>0</v>
      </c>
      <c r="I327" s="2">
        <v>0</v>
      </c>
      <c r="J327" s="2">
        <v>0</v>
      </c>
      <c r="K327" s="6">
        <f t="shared" si="11"/>
        <v>12.99</v>
      </c>
      <c r="L327" s="7">
        <f>+VLOOKUP(B327,'[1]master_prod_15todos(30-11-2 (2)'!$B$2:$AG$470,32,FALSE)</f>
        <v>0.72</v>
      </c>
      <c r="M327" s="10">
        <f t="shared" si="12"/>
        <v>18.041666666666668</v>
      </c>
      <c r="N327" t="s">
        <v>35</v>
      </c>
      <c r="O327" t="s">
        <v>30</v>
      </c>
      <c r="P327" t="s">
        <v>37</v>
      </c>
      <c r="Q327" t="s">
        <v>36</v>
      </c>
      <c r="T327" s="2">
        <v>1</v>
      </c>
      <c r="U327" s="2">
        <v>1</v>
      </c>
      <c r="V327" s="2">
        <v>1</v>
      </c>
      <c r="W327" s="2">
        <v>1</v>
      </c>
      <c r="X327" s="2">
        <v>0</v>
      </c>
      <c r="Y327" s="2">
        <v>1</v>
      </c>
      <c r="Z327" s="2">
        <v>0</v>
      </c>
      <c r="AA327" s="2">
        <v>1</v>
      </c>
      <c r="AB327" s="2">
        <v>0</v>
      </c>
      <c r="AC327" s="2">
        <v>0</v>
      </c>
    </row>
    <row r="328" spans="1:29">
      <c r="A328" s="2">
        <v>234</v>
      </c>
      <c r="B328" s="2">
        <v>252100306</v>
      </c>
      <c r="C328" s="2">
        <v>252100306</v>
      </c>
      <c r="D328" t="s">
        <v>818</v>
      </c>
      <c r="E328" t="s">
        <v>819</v>
      </c>
      <c r="F328" t="s">
        <v>34</v>
      </c>
      <c r="G328">
        <v>13.5</v>
      </c>
      <c r="H328" s="2">
        <v>0</v>
      </c>
      <c r="I328" s="2">
        <v>0</v>
      </c>
      <c r="J328" s="2">
        <v>0</v>
      </c>
      <c r="K328" s="6">
        <f t="shared" si="11"/>
        <v>13.5</v>
      </c>
      <c r="L328" s="7">
        <v>0.6</v>
      </c>
      <c r="M328" s="10">
        <f t="shared" si="12"/>
        <v>22.5</v>
      </c>
      <c r="N328" t="s">
        <v>35</v>
      </c>
      <c r="O328" t="s">
        <v>30</v>
      </c>
      <c r="P328" t="s">
        <v>664</v>
      </c>
      <c r="Q328" t="s">
        <v>107</v>
      </c>
      <c r="T328" s="2">
        <v>1</v>
      </c>
      <c r="U328" s="2">
        <v>1</v>
      </c>
      <c r="V328" s="2">
        <v>1</v>
      </c>
      <c r="W328" s="2">
        <v>1</v>
      </c>
      <c r="X328" s="2">
        <v>1</v>
      </c>
      <c r="Y328" s="2">
        <v>1</v>
      </c>
      <c r="Z328" s="2">
        <v>0</v>
      </c>
      <c r="AA328" s="2">
        <v>1</v>
      </c>
      <c r="AB328" s="2">
        <v>0</v>
      </c>
      <c r="AC328" s="2">
        <v>0</v>
      </c>
    </row>
    <row r="329" spans="1:29">
      <c r="A329" s="2">
        <v>651</v>
      </c>
      <c r="B329" s="2">
        <v>252600168</v>
      </c>
      <c r="C329" s="2">
        <v>252600168</v>
      </c>
      <c r="D329" t="s">
        <v>861</v>
      </c>
      <c r="E329" t="s">
        <v>862</v>
      </c>
      <c r="F329" t="s">
        <v>56</v>
      </c>
      <c r="G329" s="3">
        <v>14.08</v>
      </c>
      <c r="H329" s="2">
        <v>0</v>
      </c>
      <c r="I329" s="2">
        <v>0</v>
      </c>
      <c r="J329" s="2">
        <v>0</v>
      </c>
      <c r="K329" s="6">
        <f t="shared" si="11"/>
        <v>14.08</v>
      </c>
      <c r="L329" s="7">
        <v>0.7</v>
      </c>
      <c r="M329" s="10">
        <f t="shared" si="12"/>
        <v>20.114285714285717</v>
      </c>
      <c r="N329" t="s">
        <v>30</v>
      </c>
      <c r="O329" t="s">
        <v>30</v>
      </c>
      <c r="P329" t="s">
        <v>298</v>
      </c>
      <c r="Q329" t="s">
        <v>107</v>
      </c>
      <c r="R329" t="s">
        <v>37</v>
      </c>
      <c r="T329" s="2">
        <v>1</v>
      </c>
      <c r="U329" s="2">
        <v>1</v>
      </c>
      <c r="V329" s="2">
        <v>1</v>
      </c>
      <c r="W329" s="2">
        <v>1</v>
      </c>
      <c r="X329" s="2">
        <v>0</v>
      </c>
      <c r="Y329" s="2">
        <v>1</v>
      </c>
      <c r="Z329" s="2">
        <v>0</v>
      </c>
      <c r="AA329" s="2">
        <v>1</v>
      </c>
      <c r="AB329" s="2">
        <v>0</v>
      </c>
      <c r="AC329" s="2">
        <v>0</v>
      </c>
    </row>
    <row r="330" spans="1:29">
      <c r="A330" s="2">
        <v>96</v>
      </c>
      <c r="B330" s="2">
        <v>241260105</v>
      </c>
      <c r="C330" s="2">
        <v>241260105</v>
      </c>
      <c r="D330" t="s">
        <v>300</v>
      </c>
      <c r="E330" t="s">
        <v>301</v>
      </c>
      <c r="F330" t="s">
        <v>85</v>
      </c>
      <c r="G330" s="3">
        <f>+VLOOKUP(B330,'[1]master_prod_15todos(30-11-2 (2)'!$B$2:$AF$470,31,FALSE)</f>
        <v>14.18</v>
      </c>
      <c r="H330" s="2">
        <v>0</v>
      </c>
      <c r="I330" s="2">
        <v>0</v>
      </c>
      <c r="J330" s="2">
        <v>0</v>
      </c>
      <c r="K330" s="6">
        <f t="shared" si="11"/>
        <v>14.18</v>
      </c>
      <c r="L330" s="7">
        <f>+VLOOKUP(B330,'[1]master_prod_15todos(30-11-2 (2)'!$B$2:$AG$470,32,FALSE)</f>
        <v>0.6</v>
      </c>
      <c r="M330" s="10">
        <f t="shared" si="12"/>
        <v>23.633333333333333</v>
      </c>
      <c r="N330" t="s">
        <v>30</v>
      </c>
      <c r="O330" t="s">
        <v>30</v>
      </c>
      <c r="P330" t="s">
        <v>245</v>
      </c>
      <c r="Q330" t="s">
        <v>107</v>
      </c>
      <c r="T330" s="2">
        <v>1</v>
      </c>
      <c r="U330" s="2">
        <v>1</v>
      </c>
      <c r="V330" s="2">
        <v>1</v>
      </c>
      <c r="W330" s="2">
        <v>1</v>
      </c>
      <c r="X330" s="2">
        <v>1</v>
      </c>
      <c r="Y330" s="2">
        <v>1</v>
      </c>
      <c r="Z330" s="2">
        <v>0</v>
      </c>
      <c r="AA330" s="2">
        <v>1</v>
      </c>
      <c r="AB330">
        <v>0.6</v>
      </c>
      <c r="AC330">
        <v>77.7517</v>
      </c>
    </row>
    <row r="331" spans="1:29">
      <c r="A331" s="2">
        <v>744</v>
      </c>
      <c r="B331" s="2">
        <v>242400801</v>
      </c>
      <c r="C331" s="2">
        <v>242400801</v>
      </c>
      <c r="D331" t="s">
        <v>564</v>
      </c>
      <c r="F331" t="s">
        <v>565</v>
      </c>
      <c r="G331">
        <v>14.3</v>
      </c>
      <c r="H331" s="2">
        <v>0</v>
      </c>
      <c r="I331" s="2">
        <v>0</v>
      </c>
      <c r="J331" s="2">
        <v>0</v>
      </c>
      <c r="K331" s="6">
        <f t="shared" si="11"/>
        <v>14.3</v>
      </c>
      <c r="L331" s="7">
        <v>0.6</v>
      </c>
      <c r="M331" s="10">
        <f t="shared" si="12"/>
        <v>23.833333333333336</v>
      </c>
      <c r="N331" t="s">
        <v>30</v>
      </c>
      <c r="O331" t="s">
        <v>30</v>
      </c>
      <c r="P331" t="s">
        <v>122</v>
      </c>
      <c r="Q331" t="s">
        <v>107</v>
      </c>
      <c r="T331" s="2">
        <v>1</v>
      </c>
      <c r="U331" s="2">
        <v>1</v>
      </c>
      <c r="V331" s="2">
        <v>1</v>
      </c>
      <c r="W331" s="2">
        <v>1</v>
      </c>
      <c r="X331" s="2">
        <v>0</v>
      </c>
      <c r="Y331" s="2">
        <v>1</v>
      </c>
      <c r="Z331" s="2">
        <v>0</v>
      </c>
      <c r="AA331" s="2">
        <v>1</v>
      </c>
      <c r="AB331" s="2">
        <v>0</v>
      </c>
      <c r="AC331" s="2">
        <v>0</v>
      </c>
    </row>
    <row r="332" spans="1:29">
      <c r="A332" s="2">
        <v>328</v>
      </c>
      <c r="B332" s="2">
        <v>252600166</v>
      </c>
      <c r="C332" s="2">
        <v>252600166</v>
      </c>
      <c r="D332" t="s">
        <v>855</v>
      </c>
      <c r="E332" t="s">
        <v>856</v>
      </c>
      <c r="F332" t="s">
        <v>304</v>
      </c>
      <c r="G332" s="3">
        <v>15.06</v>
      </c>
      <c r="H332" s="2">
        <v>0</v>
      </c>
      <c r="I332" s="2">
        <v>0</v>
      </c>
      <c r="J332" s="2">
        <v>0</v>
      </c>
      <c r="K332" s="6">
        <f t="shared" si="11"/>
        <v>15.06</v>
      </c>
      <c r="L332" s="7">
        <v>0.5</v>
      </c>
      <c r="M332" s="10">
        <f t="shared" si="12"/>
        <v>30.12</v>
      </c>
      <c r="O332" t="s">
        <v>30</v>
      </c>
      <c r="Q332" t="s">
        <v>94</v>
      </c>
      <c r="T332" s="2">
        <v>1</v>
      </c>
      <c r="U332" s="2">
        <v>1</v>
      </c>
      <c r="V332" s="2">
        <v>1</v>
      </c>
      <c r="W332" s="2">
        <v>1</v>
      </c>
      <c r="X332" s="2">
        <v>0</v>
      </c>
      <c r="Y332" s="2">
        <v>1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s="2">
        <v>823</v>
      </c>
      <c r="B333" s="2">
        <v>252800933</v>
      </c>
      <c r="C333" s="2">
        <v>252800933</v>
      </c>
      <c r="D333" t="s">
        <v>974</v>
      </c>
      <c r="E333" t="s">
        <v>975</v>
      </c>
      <c r="F333" t="s">
        <v>875</v>
      </c>
      <c r="G333" s="3">
        <v>15.24</v>
      </c>
      <c r="H333" s="2">
        <v>0</v>
      </c>
      <c r="I333" s="2">
        <v>0</v>
      </c>
      <c r="J333" s="2">
        <v>0</v>
      </c>
      <c r="K333" s="6">
        <f t="shared" si="11"/>
        <v>15.24</v>
      </c>
      <c r="L333" s="7">
        <v>0.59</v>
      </c>
      <c r="M333" s="10">
        <f t="shared" si="12"/>
        <v>25.830508474576273</v>
      </c>
      <c r="N333" t="s">
        <v>378</v>
      </c>
      <c r="O333" t="s">
        <v>30</v>
      </c>
      <c r="P333" t="s">
        <v>37</v>
      </c>
      <c r="Q333" t="s">
        <v>66</v>
      </c>
      <c r="T333" s="2">
        <v>1</v>
      </c>
      <c r="U333" s="2">
        <v>40</v>
      </c>
      <c r="V333" s="2">
        <v>1</v>
      </c>
      <c r="W333" s="2">
        <v>1</v>
      </c>
      <c r="X333" s="2">
        <v>1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</row>
    <row r="334" spans="1:29">
      <c r="A334" s="2">
        <v>322</v>
      </c>
      <c r="B334" s="2">
        <v>252700903</v>
      </c>
      <c r="C334" s="2">
        <v>252700903</v>
      </c>
      <c r="D334" t="s">
        <v>909</v>
      </c>
      <c r="E334" t="s">
        <v>910</v>
      </c>
      <c r="F334" t="s">
        <v>304</v>
      </c>
      <c r="G334" s="3">
        <v>15.36</v>
      </c>
      <c r="H334" s="2">
        <v>0</v>
      </c>
      <c r="I334" s="2">
        <v>0</v>
      </c>
      <c r="J334" s="2">
        <v>0</v>
      </c>
      <c r="K334" s="6">
        <f t="shared" si="11"/>
        <v>15.36</v>
      </c>
      <c r="L334" s="7">
        <v>0.64</v>
      </c>
      <c r="M334" s="10">
        <f t="shared" si="12"/>
        <v>24</v>
      </c>
      <c r="N334" t="s">
        <v>30</v>
      </c>
      <c r="O334" t="s">
        <v>30</v>
      </c>
      <c r="P334" t="s">
        <v>30</v>
      </c>
      <c r="Q334" t="s">
        <v>107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0</v>
      </c>
      <c r="AA334" s="2">
        <v>1</v>
      </c>
      <c r="AB334" s="2">
        <v>0</v>
      </c>
      <c r="AC334" s="2">
        <v>0</v>
      </c>
    </row>
    <row r="335" spans="1:29">
      <c r="A335" s="2">
        <v>778</v>
      </c>
      <c r="B335" s="2">
        <v>252800953</v>
      </c>
      <c r="C335" s="2">
        <v>252800953</v>
      </c>
      <c r="D335" t="s">
        <v>1013</v>
      </c>
      <c r="E335" t="s">
        <v>1014</v>
      </c>
      <c r="F335" t="s">
        <v>875</v>
      </c>
      <c r="G335" s="3">
        <v>15.36</v>
      </c>
      <c r="H335" s="2">
        <v>0</v>
      </c>
      <c r="I335" s="2">
        <v>0</v>
      </c>
      <c r="J335" s="2">
        <v>0</v>
      </c>
      <c r="K335" s="6">
        <f t="shared" si="11"/>
        <v>15.36</v>
      </c>
      <c r="L335" s="7">
        <v>0.59</v>
      </c>
      <c r="M335" s="10">
        <f t="shared" si="12"/>
        <v>26.033898305084747</v>
      </c>
      <c r="N335" t="s">
        <v>30</v>
      </c>
      <c r="O335" t="s">
        <v>30</v>
      </c>
      <c r="P335" t="s">
        <v>30</v>
      </c>
      <c r="Q335" t="s">
        <v>107</v>
      </c>
      <c r="T335" s="2">
        <v>1</v>
      </c>
      <c r="U335" s="2">
        <v>1</v>
      </c>
      <c r="V335" s="2">
        <v>1</v>
      </c>
      <c r="W335" s="2">
        <v>1</v>
      </c>
      <c r="X335" s="2">
        <v>1</v>
      </c>
      <c r="Y335" s="2">
        <v>1</v>
      </c>
      <c r="Z335" s="2">
        <v>0</v>
      </c>
      <c r="AA335" s="2">
        <v>1</v>
      </c>
      <c r="AB335" s="2">
        <v>0</v>
      </c>
      <c r="AC335" s="2">
        <v>0</v>
      </c>
    </row>
    <row r="336" spans="1:29">
      <c r="A336" s="2">
        <v>777</v>
      </c>
      <c r="B336" s="2">
        <v>252800954</v>
      </c>
      <c r="C336" s="2">
        <v>252800954</v>
      </c>
      <c r="D336" t="s">
        <v>1015</v>
      </c>
      <c r="E336" t="s">
        <v>1016</v>
      </c>
      <c r="F336" t="s">
        <v>875</v>
      </c>
      <c r="G336" s="3">
        <v>15.36</v>
      </c>
      <c r="H336" s="2">
        <v>0</v>
      </c>
      <c r="I336" s="2">
        <v>0</v>
      </c>
      <c r="J336" s="2">
        <v>0</v>
      </c>
      <c r="K336" s="6">
        <f t="shared" si="11"/>
        <v>15.36</v>
      </c>
      <c r="L336" s="7">
        <v>0.59</v>
      </c>
      <c r="M336" s="10">
        <f t="shared" si="12"/>
        <v>26.033898305084747</v>
      </c>
      <c r="N336" t="s">
        <v>30</v>
      </c>
      <c r="O336" t="s">
        <v>30</v>
      </c>
      <c r="P336" t="s">
        <v>30</v>
      </c>
      <c r="Q336" t="s">
        <v>81</v>
      </c>
      <c r="R336" t="s">
        <v>762</v>
      </c>
      <c r="T336" s="2">
        <v>1</v>
      </c>
      <c r="U336" s="2">
        <v>1</v>
      </c>
      <c r="V336" s="2">
        <v>1</v>
      </c>
      <c r="W336" s="2">
        <v>1</v>
      </c>
      <c r="X336" s="2">
        <v>1</v>
      </c>
      <c r="Y336" s="2">
        <v>0</v>
      </c>
      <c r="Z336" s="2">
        <v>0</v>
      </c>
      <c r="AA336" s="2">
        <v>1</v>
      </c>
      <c r="AB336" s="2">
        <v>0</v>
      </c>
      <c r="AC336" s="2">
        <v>0</v>
      </c>
    </row>
    <row r="337" spans="1:29">
      <c r="A337" s="2">
        <v>341</v>
      </c>
      <c r="B337" t="s">
        <v>1132</v>
      </c>
      <c r="C337" t="s">
        <v>1133</v>
      </c>
      <c r="D337" t="s">
        <v>1162</v>
      </c>
      <c r="F337" t="s">
        <v>1136</v>
      </c>
      <c r="G337">
        <v>15.360799999999999</v>
      </c>
      <c r="H337" s="2">
        <v>0</v>
      </c>
      <c r="I337" s="2">
        <v>0</v>
      </c>
      <c r="J337" s="2">
        <v>0</v>
      </c>
      <c r="K337" s="6">
        <f t="shared" si="11"/>
        <v>15.360799999999999</v>
      </c>
      <c r="L337" s="7">
        <v>0.7</v>
      </c>
      <c r="M337" s="10">
        <f t="shared" si="12"/>
        <v>21.943999999999999</v>
      </c>
      <c r="N337" t="s">
        <v>30</v>
      </c>
      <c r="O337" t="s">
        <v>30</v>
      </c>
      <c r="P337" t="s">
        <v>51</v>
      </c>
      <c r="Q337" t="s">
        <v>107</v>
      </c>
      <c r="R337" t="s">
        <v>37</v>
      </c>
      <c r="T337" s="2">
        <v>1</v>
      </c>
      <c r="U337" s="2">
        <v>1</v>
      </c>
      <c r="V337" s="2">
        <v>1</v>
      </c>
      <c r="W337" s="2">
        <v>1</v>
      </c>
      <c r="X337" s="2">
        <v>1</v>
      </c>
      <c r="Y337" s="2">
        <v>1</v>
      </c>
      <c r="Z337" s="2">
        <v>0</v>
      </c>
      <c r="AA337" s="2">
        <v>1</v>
      </c>
      <c r="AB337" s="2">
        <v>0</v>
      </c>
      <c r="AC337" s="2">
        <v>0</v>
      </c>
    </row>
    <row r="338" spans="1:29">
      <c r="A338" s="2">
        <v>344</v>
      </c>
      <c r="B338" s="2">
        <v>252650415</v>
      </c>
      <c r="C338" s="2">
        <v>252650415</v>
      </c>
      <c r="D338" t="s">
        <v>886</v>
      </c>
      <c r="E338" t="s">
        <v>887</v>
      </c>
      <c r="F338" t="s">
        <v>75</v>
      </c>
      <c r="G338">
        <v>15.6</v>
      </c>
      <c r="H338" s="2">
        <v>0</v>
      </c>
      <c r="I338" s="2">
        <v>0</v>
      </c>
      <c r="J338" s="2">
        <v>0</v>
      </c>
      <c r="K338" s="6">
        <f t="shared" si="11"/>
        <v>15.6</v>
      </c>
      <c r="L338" s="7">
        <v>0.7</v>
      </c>
      <c r="M338" s="10">
        <f t="shared" si="12"/>
        <v>22.285714285714288</v>
      </c>
      <c r="N338" t="s">
        <v>30</v>
      </c>
      <c r="O338" t="s">
        <v>30</v>
      </c>
      <c r="P338" t="s">
        <v>37</v>
      </c>
      <c r="Q338" t="s">
        <v>581</v>
      </c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2">
        <v>0</v>
      </c>
      <c r="Z338" s="2">
        <v>0</v>
      </c>
      <c r="AA338" s="2">
        <v>1</v>
      </c>
      <c r="AB338" s="2">
        <v>0</v>
      </c>
      <c r="AC338" s="2">
        <v>0</v>
      </c>
    </row>
    <row r="339" spans="1:29">
      <c r="A339" s="2">
        <v>779</v>
      </c>
      <c r="B339" s="2">
        <v>252800956</v>
      </c>
      <c r="C339" s="2">
        <v>252800956</v>
      </c>
      <c r="D339" t="s">
        <v>1019</v>
      </c>
      <c r="E339" t="s">
        <v>1020</v>
      </c>
      <c r="F339" t="s">
        <v>875</v>
      </c>
      <c r="G339" s="3">
        <v>15.72</v>
      </c>
      <c r="H339" s="2">
        <v>0</v>
      </c>
      <c r="I339" s="2">
        <v>0</v>
      </c>
      <c r="J339" s="2">
        <v>0</v>
      </c>
      <c r="K339" s="6">
        <f t="shared" si="11"/>
        <v>15.72</v>
      </c>
      <c r="L339" s="7">
        <v>0.59</v>
      </c>
      <c r="M339" s="10">
        <f t="shared" si="12"/>
        <v>26.644067796610173</v>
      </c>
      <c r="N339" t="s">
        <v>30</v>
      </c>
      <c r="O339" t="s">
        <v>30</v>
      </c>
      <c r="P339" t="s">
        <v>30</v>
      </c>
      <c r="Q339" t="s">
        <v>581</v>
      </c>
      <c r="R339" t="s">
        <v>766</v>
      </c>
      <c r="T339" s="2">
        <v>1</v>
      </c>
      <c r="U339" s="2">
        <v>1</v>
      </c>
      <c r="V339" s="2">
        <v>1</v>
      </c>
      <c r="W339" s="2">
        <v>1</v>
      </c>
      <c r="X339" s="2">
        <v>1</v>
      </c>
      <c r="Y339" s="2">
        <v>1</v>
      </c>
      <c r="Z339" s="2">
        <v>0</v>
      </c>
      <c r="AA339" s="2">
        <v>1</v>
      </c>
      <c r="AB339" s="2">
        <v>0</v>
      </c>
      <c r="AC339" s="2">
        <v>0</v>
      </c>
    </row>
    <row r="340" spans="1:29">
      <c r="A340" s="2">
        <v>584</v>
      </c>
      <c r="B340" s="2">
        <v>242201306</v>
      </c>
      <c r="C340" s="2">
        <v>242201306</v>
      </c>
      <c r="D340" t="s">
        <v>428</v>
      </c>
      <c r="E340" s="2">
        <v>7455611</v>
      </c>
      <c r="F340" t="s">
        <v>50</v>
      </c>
      <c r="G340" s="3">
        <f>+VLOOKUP(B340,'[1]master_prod_15todos(30-11-2 (2)'!$B$2:$AF$470,31,FALSE)</f>
        <v>15.78</v>
      </c>
      <c r="H340" s="2">
        <v>0</v>
      </c>
      <c r="I340" s="2">
        <v>0</v>
      </c>
      <c r="J340" s="2">
        <v>0</v>
      </c>
      <c r="K340" s="6">
        <f t="shared" si="11"/>
        <v>15.78</v>
      </c>
      <c r="L340" s="7">
        <f>+VLOOKUP(B340,'[1]master_prod_15todos(30-11-2 (2)'!$B$2:$AG$470,32,FALSE)</f>
        <v>0.7</v>
      </c>
      <c r="M340" s="10">
        <f t="shared" si="12"/>
        <v>22.542857142857144</v>
      </c>
      <c r="N340" t="s">
        <v>30</v>
      </c>
      <c r="O340" t="s">
        <v>30</v>
      </c>
      <c r="P340" t="s">
        <v>37</v>
      </c>
      <c r="Q340" t="s">
        <v>581</v>
      </c>
      <c r="T340" s="2">
        <v>1</v>
      </c>
      <c r="U340" s="2">
        <v>1</v>
      </c>
      <c r="V340" s="2">
        <v>1</v>
      </c>
      <c r="W340" s="2">
        <v>1</v>
      </c>
      <c r="X340" s="2">
        <v>1</v>
      </c>
      <c r="Y340" s="2">
        <v>1</v>
      </c>
      <c r="Z340" s="2">
        <v>0</v>
      </c>
      <c r="AA340" s="2">
        <v>1</v>
      </c>
      <c r="AB340" s="2">
        <v>0</v>
      </c>
      <c r="AC340" s="2">
        <v>0</v>
      </c>
    </row>
    <row r="341" spans="1:29">
      <c r="A341" s="2">
        <v>226</v>
      </c>
      <c r="B341" s="2">
        <v>242201305</v>
      </c>
      <c r="C341" s="2">
        <v>242201305</v>
      </c>
      <c r="D341" t="s">
        <v>426</v>
      </c>
      <c r="E341" s="2">
        <v>7455610</v>
      </c>
      <c r="F341" t="s">
        <v>50</v>
      </c>
      <c r="G341" s="3">
        <f>+VLOOKUP(B341,'[1]master_prod_15todos(30-11-2 (2)'!$B$2:$AF$470,31,FALSE)</f>
        <v>15.7895</v>
      </c>
      <c r="H341" s="2">
        <v>0</v>
      </c>
      <c r="I341" s="2">
        <v>0</v>
      </c>
      <c r="J341" s="2">
        <v>0</v>
      </c>
      <c r="K341" s="6">
        <f t="shared" si="11"/>
        <v>15.7895</v>
      </c>
      <c r="L341" s="7">
        <f>+VLOOKUP(B341,'[1]master_prod_15todos(30-11-2 (2)'!$B$2:$AG$470,32,FALSE)</f>
        <v>0.7</v>
      </c>
      <c r="M341" s="10">
        <f t="shared" si="12"/>
        <v>22.556428571428572</v>
      </c>
      <c r="N341" t="s">
        <v>30</v>
      </c>
      <c r="O341" t="s">
        <v>30</v>
      </c>
      <c r="P341" t="s">
        <v>30</v>
      </c>
      <c r="Q341" t="s">
        <v>76</v>
      </c>
      <c r="R341" t="s">
        <v>77</v>
      </c>
      <c r="T341" s="2">
        <v>1</v>
      </c>
      <c r="U341" s="2">
        <v>1</v>
      </c>
      <c r="V341" s="2">
        <v>1</v>
      </c>
      <c r="W341" s="2">
        <v>1</v>
      </c>
      <c r="X341" s="2">
        <v>0</v>
      </c>
      <c r="Y341" s="2">
        <v>1</v>
      </c>
      <c r="Z341" s="2">
        <v>0</v>
      </c>
      <c r="AA341" s="2">
        <v>1</v>
      </c>
      <c r="AB341" s="2">
        <v>0</v>
      </c>
      <c r="AC341" s="2">
        <v>0</v>
      </c>
    </row>
    <row r="342" spans="1:29">
      <c r="A342" s="2">
        <v>718</v>
      </c>
      <c r="B342" s="2">
        <v>243000101</v>
      </c>
      <c r="C342" s="2">
        <v>243000101</v>
      </c>
      <c r="D342" t="s">
        <v>577</v>
      </c>
      <c r="F342" t="s">
        <v>578</v>
      </c>
      <c r="G342">
        <v>15.7895</v>
      </c>
      <c r="H342" s="2">
        <v>0</v>
      </c>
      <c r="I342" s="2">
        <v>0</v>
      </c>
      <c r="J342" s="2">
        <v>0</v>
      </c>
      <c r="K342" s="6">
        <f t="shared" si="11"/>
        <v>15.7895</v>
      </c>
      <c r="L342" s="7">
        <v>0.65</v>
      </c>
      <c r="M342" s="10">
        <f t="shared" si="12"/>
        <v>24.291538461538462</v>
      </c>
      <c r="N342" t="s">
        <v>30</v>
      </c>
      <c r="O342" t="s">
        <v>30</v>
      </c>
      <c r="P342" t="s">
        <v>30</v>
      </c>
      <c r="Q342" t="s">
        <v>771</v>
      </c>
      <c r="R342" t="s">
        <v>772</v>
      </c>
      <c r="T342" s="2">
        <v>1</v>
      </c>
      <c r="U342" s="2">
        <v>1</v>
      </c>
      <c r="V342" s="2">
        <v>1</v>
      </c>
      <c r="W342" s="2">
        <v>2</v>
      </c>
      <c r="X342" s="2">
        <v>0</v>
      </c>
      <c r="Y342" s="2">
        <v>1</v>
      </c>
      <c r="Z342" s="2">
        <v>0</v>
      </c>
      <c r="AA342" s="2">
        <v>1</v>
      </c>
      <c r="AB342" s="2">
        <v>0</v>
      </c>
      <c r="AC342" s="2">
        <v>0</v>
      </c>
    </row>
    <row r="343" spans="1:29">
      <c r="A343" s="2">
        <v>712</v>
      </c>
      <c r="B343" s="2">
        <v>240850111</v>
      </c>
      <c r="C343" s="2">
        <v>240850111</v>
      </c>
      <c r="D343" t="s">
        <v>226</v>
      </c>
      <c r="E343" t="s">
        <v>223</v>
      </c>
      <c r="F343" t="s">
        <v>100</v>
      </c>
      <c r="G343" s="3">
        <f>+VLOOKUP(B343,'[1]master_prod_15todos(30-11-2 (2)'!$B$2:$AF$470,31,FALSE)</f>
        <v>16.25</v>
      </c>
      <c r="H343" s="2">
        <v>0</v>
      </c>
      <c r="I343" s="2">
        <v>0</v>
      </c>
      <c r="J343" s="2">
        <v>0</v>
      </c>
      <c r="K343" s="6">
        <f t="shared" si="11"/>
        <v>16.25</v>
      </c>
      <c r="L343" s="7">
        <f>+VLOOKUP(B343,'[1]master_prod_15todos(30-11-2 (2)'!$B$2:$AG$470,32,FALSE)</f>
        <v>0.7</v>
      </c>
      <c r="M343" s="10">
        <f t="shared" si="12"/>
        <v>23.214285714285715</v>
      </c>
      <c r="N343" t="s">
        <v>30</v>
      </c>
      <c r="O343" t="s">
        <v>30</v>
      </c>
      <c r="P343" t="s">
        <v>30</v>
      </c>
      <c r="Q343" t="s">
        <v>771</v>
      </c>
      <c r="R343" t="s">
        <v>772</v>
      </c>
      <c r="T343" s="2">
        <v>1</v>
      </c>
      <c r="U343" s="2">
        <v>1</v>
      </c>
      <c r="V343" s="2">
        <v>1</v>
      </c>
      <c r="W343" s="2">
        <v>1</v>
      </c>
      <c r="X343" s="2">
        <v>0</v>
      </c>
      <c r="Y343" s="2">
        <v>1</v>
      </c>
      <c r="Z343" s="2">
        <v>0</v>
      </c>
      <c r="AA343" s="2">
        <v>1</v>
      </c>
      <c r="AB343" s="2">
        <v>0</v>
      </c>
      <c r="AC343" s="2">
        <v>0</v>
      </c>
    </row>
    <row r="344" spans="1:29">
      <c r="A344" s="2">
        <v>822</v>
      </c>
      <c r="B344" s="2">
        <v>252800929</v>
      </c>
      <c r="C344" s="2">
        <v>252800929</v>
      </c>
      <c r="D344" t="s">
        <v>966</v>
      </c>
      <c r="E344" t="s">
        <v>967</v>
      </c>
      <c r="F344" t="s">
        <v>875</v>
      </c>
      <c r="G344" s="3">
        <v>16.440000000000001</v>
      </c>
      <c r="H344" s="2">
        <v>0</v>
      </c>
      <c r="I344" s="2">
        <v>0</v>
      </c>
      <c r="J344" s="2">
        <v>0</v>
      </c>
      <c r="K344" s="6">
        <f t="shared" si="11"/>
        <v>16.440000000000001</v>
      </c>
      <c r="L344" s="7">
        <v>0.59</v>
      </c>
      <c r="M344" s="10">
        <f t="shared" si="12"/>
        <v>27.864406779661021</v>
      </c>
      <c r="N344" t="s">
        <v>142</v>
      </c>
      <c r="O344" t="s">
        <v>142</v>
      </c>
      <c r="P344" t="s">
        <v>142</v>
      </c>
      <c r="Q344" t="s">
        <v>775</v>
      </c>
      <c r="T344" s="2">
        <v>1</v>
      </c>
      <c r="U344" s="2">
        <v>1</v>
      </c>
      <c r="V344" s="2">
        <v>1</v>
      </c>
      <c r="W344" s="2">
        <v>1</v>
      </c>
      <c r="X344" s="2">
        <v>1</v>
      </c>
      <c r="Y344" s="2">
        <v>1</v>
      </c>
      <c r="Z344" s="2">
        <v>0</v>
      </c>
      <c r="AA344" s="2">
        <v>1</v>
      </c>
      <c r="AB344">
        <v>0.8</v>
      </c>
      <c r="AC344">
        <v>0.15310000000000001</v>
      </c>
    </row>
    <row r="345" spans="1:29">
      <c r="A345" s="2">
        <v>828</v>
      </c>
      <c r="B345" s="2">
        <v>252800930</v>
      </c>
      <c r="C345" s="2">
        <v>252800930</v>
      </c>
      <c r="D345" t="s">
        <v>968</v>
      </c>
      <c r="E345" t="s">
        <v>969</v>
      </c>
      <c r="F345" t="s">
        <v>875</v>
      </c>
      <c r="G345" s="3">
        <v>16.440000000000001</v>
      </c>
      <c r="H345" s="2">
        <v>0</v>
      </c>
      <c r="I345" s="2">
        <v>0</v>
      </c>
      <c r="J345" s="2">
        <v>0</v>
      </c>
      <c r="K345" s="6">
        <f t="shared" si="11"/>
        <v>16.440000000000001</v>
      </c>
      <c r="L345" s="7">
        <v>0.59</v>
      </c>
      <c r="M345" s="10">
        <f t="shared" si="12"/>
        <v>27.864406779661021</v>
      </c>
      <c r="N345" t="s">
        <v>30</v>
      </c>
      <c r="O345" t="s">
        <v>30</v>
      </c>
      <c r="P345" t="s">
        <v>37</v>
      </c>
      <c r="Q345" t="s">
        <v>405</v>
      </c>
      <c r="R345" t="s">
        <v>778</v>
      </c>
      <c r="T345" s="2">
        <v>1</v>
      </c>
      <c r="U345" s="2">
        <v>1</v>
      </c>
      <c r="V345" s="2">
        <v>1</v>
      </c>
      <c r="W345" s="2">
        <v>1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</row>
    <row r="346" spans="1:29">
      <c r="A346" s="2">
        <v>829</v>
      </c>
      <c r="B346" s="2">
        <v>252800931</v>
      </c>
      <c r="C346" s="2">
        <v>252800931</v>
      </c>
      <c r="D346" t="s">
        <v>970</v>
      </c>
      <c r="E346" t="s">
        <v>971</v>
      </c>
      <c r="F346" t="s">
        <v>875</v>
      </c>
      <c r="G346" s="3">
        <v>16.440000000000001</v>
      </c>
      <c r="H346" s="2">
        <v>0</v>
      </c>
      <c r="I346" s="2">
        <v>0</v>
      </c>
      <c r="J346" s="2">
        <v>0</v>
      </c>
      <c r="K346" s="6">
        <f t="shared" si="11"/>
        <v>16.440000000000001</v>
      </c>
      <c r="L346" s="7">
        <v>0.59</v>
      </c>
      <c r="M346" s="10">
        <f t="shared" si="12"/>
        <v>27.864406779661021</v>
      </c>
      <c r="N346" t="s">
        <v>30</v>
      </c>
      <c r="O346" t="s">
        <v>30</v>
      </c>
      <c r="P346" t="s">
        <v>51</v>
      </c>
      <c r="Q346" t="s">
        <v>81</v>
      </c>
      <c r="R346" t="s">
        <v>781</v>
      </c>
      <c r="T346" s="2">
        <v>1</v>
      </c>
      <c r="U346" s="2">
        <v>1</v>
      </c>
      <c r="V346" s="2">
        <v>1</v>
      </c>
      <c r="W346" s="2">
        <v>1</v>
      </c>
      <c r="X346" s="2">
        <v>0</v>
      </c>
      <c r="Y346" s="2">
        <v>1</v>
      </c>
      <c r="Z346" s="2">
        <v>0</v>
      </c>
      <c r="AA346" s="2">
        <v>1</v>
      </c>
      <c r="AB346">
        <v>0.6</v>
      </c>
      <c r="AC346" s="2">
        <v>2</v>
      </c>
    </row>
    <row r="347" spans="1:29">
      <c r="A347" s="2">
        <v>824</v>
      </c>
      <c r="B347" s="2">
        <v>252800932</v>
      </c>
      <c r="C347" s="2">
        <v>252800932</v>
      </c>
      <c r="D347" t="s">
        <v>972</v>
      </c>
      <c r="E347" t="s">
        <v>973</v>
      </c>
      <c r="F347" t="s">
        <v>875</v>
      </c>
      <c r="G347" s="3">
        <v>16.440000000000001</v>
      </c>
      <c r="H347" s="2">
        <v>0</v>
      </c>
      <c r="I347" s="2">
        <v>0</v>
      </c>
      <c r="J347" s="2">
        <v>0</v>
      </c>
      <c r="K347" s="6">
        <f t="shared" si="11"/>
        <v>16.440000000000001</v>
      </c>
      <c r="L347" s="7">
        <v>0.59</v>
      </c>
      <c r="M347" s="10">
        <f t="shared" si="12"/>
        <v>27.864406779661021</v>
      </c>
      <c r="N347" t="s">
        <v>374</v>
      </c>
      <c r="O347" t="s">
        <v>30</v>
      </c>
      <c r="P347" t="s">
        <v>374</v>
      </c>
      <c r="Q347" t="s">
        <v>94</v>
      </c>
      <c r="R347" t="s">
        <v>784</v>
      </c>
      <c r="T347" s="2">
        <v>1</v>
      </c>
      <c r="U347" s="2">
        <v>1</v>
      </c>
      <c r="V347" s="2">
        <v>1</v>
      </c>
      <c r="W347" s="2">
        <v>1</v>
      </c>
      <c r="X347" s="2">
        <v>0</v>
      </c>
      <c r="Y347" s="2">
        <v>1</v>
      </c>
      <c r="Z347" s="2">
        <v>0</v>
      </c>
      <c r="AA347" s="2">
        <v>1</v>
      </c>
      <c r="AB347" s="2">
        <v>0</v>
      </c>
      <c r="AC347" s="2">
        <v>0</v>
      </c>
    </row>
    <row r="348" spans="1:29">
      <c r="A348" s="2">
        <v>825</v>
      </c>
      <c r="B348" s="2">
        <v>252800934</v>
      </c>
      <c r="C348" s="2">
        <v>252800934</v>
      </c>
      <c r="D348" t="s">
        <v>976</v>
      </c>
      <c r="E348" t="s">
        <v>977</v>
      </c>
      <c r="F348" t="s">
        <v>875</v>
      </c>
      <c r="G348" s="3">
        <v>16.440000000000001</v>
      </c>
      <c r="H348" s="2">
        <v>0</v>
      </c>
      <c r="I348" s="2">
        <v>0</v>
      </c>
      <c r="J348" s="2">
        <v>0</v>
      </c>
      <c r="K348" s="6">
        <f t="shared" si="11"/>
        <v>16.440000000000001</v>
      </c>
      <c r="L348" s="7">
        <v>0.59</v>
      </c>
      <c r="M348" s="10">
        <f t="shared" si="12"/>
        <v>27.864406779661021</v>
      </c>
      <c r="N348" t="s">
        <v>374</v>
      </c>
      <c r="O348" t="s">
        <v>30</v>
      </c>
      <c r="P348" t="s">
        <v>37</v>
      </c>
      <c r="Q348" t="s">
        <v>237</v>
      </c>
      <c r="R348" t="s">
        <v>787</v>
      </c>
      <c r="T348" s="2">
        <v>1</v>
      </c>
      <c r="U348" s="2">
        <v>1</v>
      </c>
      <c r="V348" s="2">
        <v>1</v>
      </c>
      <c r="W348" s="2">
        <v>1</v>
      </c>
      <c r="X348" s="2">
        <v>0</v>
      </c>
      <c r="Y348" s="2">
        <v>1</v>
      </c>
      <c r="Z348" s="2">
        <v>0</v>
      </c>
      <c r="AA348" s="2">
        <v>1</v>
      </c>
      <c r="AB348" s="2">
        <v>0</v>
      </c>
      <c r="AC348" s="2">
        <v>0</v>
      </c>
    </row>
    <row r="349" spans="1:29">
      <c r="A349" s="2">
        <v>781</v>
      </c>
      <c r="B349" s="2">
        <v>252800957</v>
      </c>
      <c r="C349" s="2">
        <v>252800957</v>
      </c>
      <c r="D349" t="s">
        <v>1021</v>
      </c>
      <c r="E349" t="s">
        <v>1022</v>
      </c>
      <c r="F349" t="s">
        <v>875</v>
      </c>
      <c r="G349" s="3">
        <v>16.440000000000001</v>
      </c>
      <c r="H349" s="2">
        <v>0</v>
      </c>
      <c r="I349" s="2">
        <v>0</v>
      </c>
      <c r="J349" s="2">
        <v>0</v>
      </c>
      <c r="K349" s="6">
        <f t="shared" si="11"/>
        <v>16.440000000000001</v>
      </c>
      <c r="L349" s="7">
        <v>0.59</v>
      </c>
      <c r="M349" s="10">
        <f t="shared" si="12"/>
        <v>27.864406779661021</v>
      </c>
      <c r="N349" t="s">
        <v>374</v>
      </c>
      <c r="O349" t="s">
        <v>30</v>
      </c>
      <c r="P349" t="s">
        <v>37</v>
      </c>
      <c r="Q349" t="s">
        <v>94</v>
      </c>
      <c r="T349" s="2">
        <v>1</v>
      </c>
      <c r="U349" s="2">
        <v>1</v>
      </c>
      <c r="V349" s="2">
        <v>1</v>
      </c>
      <c r="W349" s="2">
        <v>1</v>
      </c>
      <c r="X349" s="2">
        <v>0</v>
      </c>
      <c r="Y349" s="2">
        <v>1</v>
      </c>
      <c r="Z349" s="2">
        <v>0</v>
      </c>
      <c r="AA349" s="2">
        <v>1</v>
      </c>
      <c r="AB349" s="2">
        <v>0</v>
      </c>
      <c r="AC349" s="2">
        <v>0</v>
      </c>
    </row>
    <row r="350" spans="1:29">
      <c r="A350" s="2">
        <v>780</v>
      </c>
      <c r="B350" s="2">
        <v>252800958</v>
      </c>
      <c r="C350" s="2">
        <v>252800958</v>
      </c>
      <c r="D350" t="s">
        <v>1023</v>
      </c>
      <c r="E350" t="s">
        <v>1024</v>
      </c>
      <c r="F350" t="s">
        <v>875</v>
      </c>
      <c r="G350" s="3">
        <v>16.440000000000001</v>
      </c>
      <c r="H350" s="2">
        <v>0</v>
      </c>
      <c r="I350" s="2">
        <v>0</v>
      </c>
      <c r="J350" s="2">
        <v>0</v>
      </c>
      <c r="K350" s="6">
        <f t="shared" si="11"/>
        <v>16.440000000000001</v>
      </c>
      <c r="L350" s="7">
        <v>0.59</v>
      </c>
      <c r="M350" s="10">
        <f t="shared" si="12"/>
        <v>27.864406779661021</v>
      </c>
      <c r="N350" t="s">
        <v>30</v>
      </c>
      <c r="O350" t="s">
        <v>30</v>
      </c>
      <c r="P350" t="s">
        <v>30</v>
      </c>
      <c r="Q350" t="s">
        <v>237</v>
      </c>
      <c r="R350" t="s">
        <v>237</v>
      </c>
      <c r="T350" s="2">
        <v>1</v>
      </c>
      <c r="U350" s="2">
        <v>1</v>
      </c>
      <c r="V350" s="2">
        <v>1</v>
      </c>
      <c r="W350" s="2">
        <v>1</v>
      </c>
      <c r="X350" s="2">
        <v>0</v>
      </c>
      <c r="Y350" s="2">
        <v>1</v>
      </c>
      <c r="Z350" s="2">
        <v>0</v>
      </c>
      <c r="AA350" s="2">
        <v>1</v>
      </c>
      <c r="AB350" s="2">
        <v>0</v>
      </c>
      <c r="AC350" s="2">
        <v>0</v>
      </c>
    </row>
    <row r="351" spans="1:29">
      <c r="A351" s="2">
        <v>559</v>
      </c>
      <c r="B351" s="2">
        <v>241250219</v>
      </c>
      <c r="C351" s="2">
        <v>241250219</v>
      </c>
      <c r="D351" t="s">
        <v>285</v>
      </c>
      <c r="E351" t="s">
        <v>286</v>
      </c>
      <c r="F351" t="s">
        <v>282</v>
      </c>
      <c r="G351" s="3">
        <f>+VLOOKUP(B351,'[1]master_prod_15todos(30-11-2 (2)'!$B$2:$AF$470,31,FALSE)</f>
        <v>16.96</v>
      </c>
      <c r="H351" s="2">
        <v>0</v>
      </c>
      <c r="I351" s="2">
        <v>0</v>
      </c>
      <c r="J351" s="2">
        <v>0</v>
      </c>
      <c r="K351" s="6">
        <f t="shared" si="11"/>
        <v>16.96</v>
      </c>
      <c r="L351" s="7">
        <f>+VLOOKUP(B351,'[1]master_prod_15todos(30-11-2 (2)'!$B$2:$AG$470,32,FALSE)</f>
        <v>0.9</v>
      </c>
      <c r="M351" s="10">
        <f t="shared" si="12"/>
        <v>18.844444444444445</v>
      </c>
      <c r="N351" t="s">
        <v>30</v>
      </c>
      <c r="O351" t="s">
        <v>30</v>
      </c>
      <c r="P351" t="s">
        <v>30</v>
      </c>
      <c r="Q351" t="s">
        <v>94</v>
      </c>
      <c r="T351" s="2">
        <v>1</v>
      </c>
      <c r="U351" s="2">
        <v>1</v>
      </c>
      <c r="V351" s="2">
        <v>1</v>
      </c>
      <c r="W351" s="2">
        <v>1</v>
      </c>
      <c r="X351" s="2">
        <v>0</v>
      </c>
      <c r="Y351" s="2">
        <v>1</v>
      </c>
      <c r="Z351" s="2">
        <v>0</v>
      </c>
      <c r="AA351" s="2">
        <v>1</v>
      </c>
      <c r="AB351" s="2">
        <v>0</v>
      </c>
      <c r="AC351" s="2">
        <v>0</v>
      </c>
    </row>
    <row r="352" spans="1:29">
      <c r="A352" s="2">
        <v>224</v>
      </c>
      <c r="B352" s="2">
        <v>242201570</v>
      </c>
      <c r="C352" s="2">
        <v>242201570</v>
      </c>
      <c r="D352" t="s">
        <v>470</v>
      </c>
      <c r="E352" s="2">
        <v>1109</v>
      </c>
      <c r="F352" t="s">
        <v>403</v>
      </c>
      <c r="G352" s="2">
        <v>17</v>
      </c>
      <c r="H352" s="2">
        <v>0</v>
      </c>
      <c r="I352" s="2">
        <v>0</v>
      </c>
      <c r="J352" s="2">
        <v>0</v>
      </c>
      <c r="K352" s="6">
        <f t="shared" si="11"/>
        <v>17</v>
      </c>
      <c r="L352" s="7">
        <v>0.46</v>
      </c>
      <c r="M352" s="10">
        <f t="shared" si="12"/>
        <v>36.95652173913043</v>
      </c>
      <c r="N352" t="s">
        <v>51</v>
      </c>
      <c r="O352" t="s">
        <v>51</v>
      </c>
      <c r="P352" t="s">
        <v>345</v>
      </c>
      <c r="Q352" t="s">
        <v>237</v>
      </c>
      <c r="T352" s="2">
        <v>50</v>
      </c>
      <c r="U352" s="2">
        <v>50</v>
      </c>
      <c r="V352" s="2">
        <v>1</v>
      </c>
      <c r="W352" s="2">
        <v>1</v>
      </c>
      <c r="X352" s="2">
        <v>0</v>
      </c>
      <c r="Y352" s="2">
        <v>1</v>
      </c>
      <c r="Z352" s="2">
        <v>0</v>
      </c>
      <c r="AA352" s="2">
        <v>1</v>
      </c>
      <c r="AB352" s="2">
        <v>0</v>
      </c>
      <c r="AC352" s="2">
        <v>0</v>
      </c>
    </row>
    <row r="353" spans="1:29">
      <c r="A353" s="2">
        <v>225</v>
      </c>
      <c r="B353" s="2">
        <v>242201670</v>
      </c>
      <c r="C353" s="2">
        <v>242201670</v>
      </c>
      <c r="D353" t="s">
        <v>475</v>
      </c>
      <c r="E353" s="2">
        <v>1109</v>
      </c>
      <c r="F353" t="s">
        <v>403</v>
      </c>
      <c r="G353" s="2">
        <v>17</v>
      </c>
      <c r="H353" s="2">
        <v>0</v>
      </c>
      <c r="I353" s="2">
        <v>0</v>
      </c>
      <c r="J353" s="2">
        <v>0</v>
      </c>
      <c r="K353" s="6">
        <f t="shared" si="11"/>
        <v>17</v>
      </c>
      <c r="L353" s="7">
        <v>0.46</v>
      </c>
      <c r="M353" s="10">
        <f t="shared" si="12"/>
        <v>36.95652173913043</v>
      </c>
      <c r="N353" t="s">
        <v>51</v>
      </c>
      <c r="O353" t="s">
        <v>51</v>
      </c>
      <c r="P353" t="s">
        <v>37</v>
      </c>
      <c r="Q353" t="s">
        <v>348</v>
      </c>
      <c r="R353" t="s">
        <v>797</v>
      </c>
      <c r="T353" s="2">
        <v>1</v>
      </c>
      <c r="U353" s="2">
        <v>50</v>
      </c>
      <c r="V353" s="2">
        <v>1</v>
      </c>
      <c r="W353" s="2">
        <v>1</v>
      </c>
      <c r="X353" s="2">
        <v>0</v>
      </c>
      <c r="Y353" s="2">
        <v>1</v>
      </c>
      <c r="Z353" s="2">
        <v>0</v>
      </c>
      <c r="AA353" s="2">
        <v>1</v>
      </c>
      <c r="AB353">
        <v>0.7</v>
      </c>
      <c r="AC353">
        <v>0.71430000000000005</v>
      </c>
    </row>
    <row r="354" spans="1:29">
      <c r="A354" s="2">
        <v>738</v>
      </c>
      <c r="B354" s="2">
        <v>242201770</v>
      </c>
      <c r="C354" s="2">
        <v>242201770</v>
      </c>
      <c r="D354" t="s">
        <v>480</v>
      </c>
      <c r="E354" s="2">
        <v>1109</v>
      </c>
      <c r="F354" t="s">
        <v>403</v>
      </c>
      <c r="G354" s="2">
        <v>17</v>
      </c>
      <c r="H354" s="2">
        <v>0</v>
      </c>
      <c r="I354" s="2">
        <v>0</v>
      </c>
      <c r="J354" s="2">
        <v>0</v>
      </c>
      <c r="K354" s="6">
        <f t="shared" si="11"/>
        <v>17</v>
      </c>
      <c r="L354" s="7">
        <v>0.46</v>
      </c>
      <c r="M354" s="10">
        <f t="shared" si="12"/>
        <v>36.95652173913043</v>
      </c>
      <c r="N354" t="s">
        <v>51</v>
      </c>
      <c r="O354" t="s">
        <v>51</v>
      </c>
      <c r="P354" t="s">
        <v>37</v>
      </c>
      <c r="Q354" t="s">
        <v>348</v>
      </c>
      <c r="R354" t="s">
        <v>799</v>
      </c>
      <c r="T354" s="2">
        <v>1</v>
      </c>
      <c r="U354" s="2">
        <v>50</v>
      </c>
      <c r="V354" s="2">
        <v>1</v>
      </c>
      <c r="W354" s="2">
        <v>1</v>
      </c>
      <c r="X354" s="2">
        <v>0</v>
      </c>
      <c r="Y354" s="2">
        <v>1</v>
      </c>
      <c r="Z354" s="2">
        <v>0</v>
      </c>
      <c r="AA354" s="2">
        <v>1</v>
      </c>
      <c r="AB354">
        <v>0.7</v>
      </c>
      <c r="AC354">
        <v>0.71430000000000005</v>
      </c>
    </row>
    <row r="355" spans="1:29">
      <c r="A355" s="2">
        <v>607</v>
      </c>
      <c r="B355" s="2">
        <v>250600301</v>
      </c>
      <c r="C355" s="2">
        <v>250600301</v>
      </c>
      <c r="D355" t="s">
        <v>764</v>
      </c>
      <c r="F355" t="s">
        <v>219</v>
      </c>
      <c r="G355" s="3">
        <v>17.16</v>
      </c>
      <c r="H355" s="2">
        <v>0</v>
      </c>
      <c r="I355" s="2">
        <v>0</v>
      </c>
      <c r="J355" s="2">
        <v>0</v>
      </c>
      <c r="K355" s="6">
        <f t="shared" si="11"/>
        <v>17.16</v>
      </c>
      <c r="L355" s="7">
        <v>0.65</v>
      </c>
      <c r="M355" s="10">
        <f t="shared" si="12"/>
        <v>26.4</v>
      </c>
      <c r="N355" t="s">
        <v>30</v>
      </c>
      <c r="O355" t="s">
        <v>30</v>
      </c>
      <c r="P355" t="s">
        <v>37</v>
      </c>
      <c r="Q355" t="s">
        <v>94</v>
      </c>
      <c r="R355" t="s">
        <v>802</v>
      </c>
      <c r="T355" s="2">
        <v>1</v>
      </c>
      <c r="U355" s="2">
        <v>1</v>
      </c>
      <c r="V355" s="2">
        <v>1</v>
      </c>
      <c r="W355" s="2">
        <v>1</v>
      </c>
      <c r="X355" s="2">
        <v>0</v>
      </c>
      <c r="Y355" s="2">
        <v>1</v>
      </c>
      <c r="Z355" s="2">
        <v>0</v>
      </c>
      <c r="AA355" s="2">
        <v>1</v>
      </c>
      <c r="AB355" s="2">
        <v>0</v>
      </c>
      <c r="AC355" s="2">
        <v>0</v>
      </c>
    </row>
    <row r="356" spans="1:29">
      <c r="A356" s="2">
        <v>244</v>
      </c>
      <c r="B356" s="2">
        <v>250600305</v>
      </c>
      <c r="C356" s="2">
        <v>250600305</v>
      </c>
      <c r="D356" t="s">
        <v>767</v>
      </c>
      <c r="F356" t="s">
        <v>100</v>
      </c>
      <c r="G356" s="3">
        <v>17.16</v>
      </c>
      <c r="H356" s="2">
        <v>0</v>
      </c>
      <c r="I356" s="2">
        <v>0</v>
      </c>
      <c r="J356" s="2">
        <v>0</v>
      </c>
      <c r="K356" s="6">
        <f t="shared" si="11"/>
        <v>17.16</v>
      </c>
      <c r="L356" s="7">
        <v>0.55999921678430997</v>
      </c>
      <c r="M356" s="10">
        <f t="shared" si="12"/>
        <v>30.642900000000122</v>
      </c>
      <c r="N356" t="s">
        <v>51</v>
      </c>
      <c r="O356" t="s">
        <v>51</v>
      </c>
      <c r="P356" t="s">
        <v>37</v>
      </c>
      <c r="Q356" t="s">
        <v>348</v>
      </c>
      <c r="R356" t="s">
        <v>804</v>
      </c>
      <c r="T356" s="2">
        <v>1</v>
      </c>
      <c r="U356" s="2">
        <v>50</v>
      </c>
      <c r="V356" s="2">
        <v>1</v>
      </c>
      <c r="W356" s="2">
        <v>1</v>
      </c>
      <c r="X356" s="2">
        <v>0</v>
      </c>
      <c r="Y356" s="2">
        <v>1</v>
      </c>
      <c r="Z356" s="2">
        <v>0</v>
      </c>
      <c r="AA356" s="2">
        <v>1</v>
      </c>
      <c r="AB356">
        <v>0.7</v>
      </c>
      <c r="AC356">
        <v>0.71430000000000005</v>
      </c>
    </row>
    <row r="357" spans="1:29">
      <c r="A357" s="2">
        <v>134</v>
      </c>
      <c r="B357" s="2">
        <v>241951323</v>
      </c>
      <c r="C357" s="2">
        <v>241951323</v>
      </c>
      <c r="D357" t="s">
        <v>372</v>
      </c>
      <c r="E357">
        <v>8888000000</v>
      </c>
      <c r="F357" t="s">
        <v>75</v>
      </c>
      <c r="G357" s="3">
        <f>+VLOOKUP(B357,'[1]master_prod_15todos(30-11-2 (2)'!$B$2:$AF$470,31,FALSE)</f>
        <v>17.5</v>
      </c>
      <c r="H357" s="2">
        <v>0</v>
      </c>
      <c r="I357" s="2">
        <v>0</v>
      </c>
      <c r="J357" s="2">
        <v>0</v>
      </c>
      <c r="K357" s="6">
        <f t="shared" si="11"/>
        <v>17.5</v>
      </c>
      <c r="L357" s="7">
        <f>+VLOOKUP(B357,'[1]master_prod_15todos(30-11-2 (2)'!$B$2:$AG$470,32,FALSE)</f>
        <v>0.75</v>
      </c>
      <c r="M357" s="10">
        <f t="shared" si="12"/>
        <v>23.333333333333332</v>
      </c>
      <c r="N357" t="s">
        <v>51</v>
      </c>
      <c r="O357" t="s">
        <v>51</v>
      </c>
      <c r="P357" t="s">
        <v>51</v>
      </c>
      <c r="Q357" t="s">
        <v>237</v>
      </c>
      <c r="R357" t="s">
        <v>237</v>
      </c>
      <c r="T357" s="2">
        <v>1</v>
      </c>
      <c r="U357" s="2">
        <v>1</v>
      </c>
      <c r="V357" s="2">
        <v>1</v>
      </c>
      <c r="W357" s="2">
        <v>1</v>
      </c>
      <c r="X357" s="2">
        <v>0</v>
      </c>
      <c r="Y357" s="2">
        <v>1</v>
      </c>
      <c r="Z357" s="2">
        <v>0</v>
      </c>
      <c r="AA357" s="2">
        <v>1</v>
      </c>
      <c r="AB357" s="2">
        <v>0</v>
      </c>
      <c r="AC357" s="2">
        <v>0</v>
      </c>
    </row>
    <row r="358" spans="1:29">
      <c r="A358" s="2">
        <v>222</v>
      </c>
      <c r="B358" s="2">
        <v>242202306</v>
      </c>
      <c r="C358" s="2">
        <v>242202306</v>
      </c>
      <c r="D358" t="s">
        <v>484</v>
      </c>
      <c r="E358" s="2">
        <v>1110</v>
      </c>
      <c r="F358" t="s">
        <v>403</v>
      </c>
      <c r="G358" s="2">
        <v>18</v>
      </c>
      <c r="H358" s="2">
        <v>0</v>
      </c>
      <c r="I358" s="2">
        <v>0</v>
      </c>
      <c r="J358" s="2">
        <v>0</v>
      </c>
      <c r="K358" s="6">
        <f t="shared" si="11"/>
        <v>18</v>
      </c>
      <c r="L358" s="7">
        <v>0.46000040888924998</v>
      </c>
      <c r="M358" s="10">
        <f t="shared" si="12"/>
        <v>39.130400000000201</v>
      </c>
      <c r="N358" t="s">
        <v>51</v>
      </c>
      <c r="O358" t="s">
        <v>30</v>
      </c>
      <c r="P358" t="s">
        <v>51</v>
      </c>
      <c r="Q358" t="s">
        <v>401</v>
      </c>
      <c r="R358" t="s">
        <v>808</v>
      </c>
      <c r="T358" s="2">
        <v>1</v>
      </c>
      <c r="U358" s="2">
        <v>1</v>
      </c>
      <c r="V358" s="2">
        <v>1</v>
      </c>
      <c r="W358" s="2">
        <v>1</v>
      </c>
      <c r="X358" s="2">
        <v>0</v>
      </c>
      <c r="Y358" s="2">
        <v>0</v>
      </c>
      <c r="Z358" s="2">
        <v>0</v>
      </c>
      <c r="AA358" s="2">
        <v>1</v>
      </c>
      <c r="AB358" s="2">
        <v>0</v>
      </c>
      <c r="AC358" s="2">
        <v>0</v>
      </c>
    </row>
    <row r="359" spans="1:29">
      <c r="A359" s="2">
        <v>704</v>
      </c>
      <c r="B359" s="2">
        <v>242202310</v>
      </c>
      <c r="C359" s="2">
        <v>242202310</v>
      </c>
      <c r="D359" t="s">
        <v>485</v>
      </c>
      <c r="E359" s="2">
        <v>1110</v>
      </c>
      <c r="F359" t="s">
        <v>403</v>
      </c>
      <c r="G359" s="2">
        <v>18</v>
      </c>
      <c r="H359" s="2">
        <v>0</v>
      </c>
      <c r="I359" s="2">
        <v>0</v>
      </c>
      <c r="J359" s="2">
        <v>0</v>
      </c>
      <c r="K359" s="6">
        <f t="shared" si="11"/>
        <v>18</v>
      </c>
      <c r="L359" s="7">
        <v>0.46</v>
      </c>
      <c r="M359" s="10">
        <f t="shared" si="12"/>
        <v>39.130434782608695</v>
      </c>
      <c r="N359" t="s">
        <v>71</v>
      </c>
      <c r="O359" t="s">
        <v>71</v>
      </c>
      <c r="P359" t="s">
        <v>276</v>
      </c>
      <c r="Q359" t="s">
        <v>810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2">
        <v>0</v>
      </c>
      <c r="AA359" s="2">
        <v>1</v>
      </c>
      <c r="AB359" s="2">
        <v>0</v>
      </c>
      <c r="AC359" s="2">
        <v>0</v>
      </c>
    </row>
    <row r="360" spans="1:29">
      <c r="A360" s="2">
        <v>223</v>
      </c>
      <c r="B360" s="2">
        <v>242202311</v>
      </c>
      <c r="C360" s="2">
        <v>242202311</v>
      </c>
      <c r="D360" t="s">
        <v>486</v>
      </c>
      <c r="E360" s="2">
        <v>1210</v>
      </c>
      <c r="F360" t="s">
        <v>403</v>
      </c>
      <c r="G360" s="2">
        <v>18</v>
      </c>
      <c r="H360" s="2">
        <v>0</v>
      </c>
      <c r="I360" s="2">
        <v>0</v>
      </c>
      <c r="J360" s="2">
        <v>0</v>
      </c>
      <c r="K360" s="6">
        <f t="shared" si="11"/>
        <v>18</v>
      </c>
      <c r="L360" s="7">
        <v>0.46000040888924998</v>
      </c>
      <c r="M360" s="10">
        <f t="shared" si="12"/>
        <v>39.130400000000201</v>
      </c>
      <c r="N360" t="s">
        <v>51</v>
      </c>
      <c r="O360" t="s">
        <v>51</v>
      </c>
      <c r="P360" t="s">
        <v>276</v>
      </c>
      <c r="Q360" t="s">
        <v>810</v>
      </c>
      <c r="T360" s="2">
        <v>1</v>
      </c>
      <c r="U360" s="2">
        <v>1</v>
      </c>
      <c r="V360" s="2">
        <v>1</v>
      </c>
      <c r="W360" s="2">
        <v>1</v>
      </c>
      <c r="X360" s="2">
        <v>0</v>
      </c>
      <c r="Y360" s="2">
        <v>0</v>
      </c>
      <c r="Z360" s="2">
        <v>0</v>
      </c>
      <c r="AA360" s="2">
        <v>1</v>
      </c>
      <c r="AB360" s="2">
        <v>0</v>
      </c>
      <c r="AC360" s="2">
        <v>0</v>
      </c>
    </row>
    <row r="361" spans="1:29">
      <c r="A361" s="2">
        <v>603</v>
      </c>
      <c r="B361" s="2">
        <v>242202312</v>
      </c>
      <c r="C361" s="2">
        <v>242202312</v>
      </c>
      <c r="D361" t="s">
        <v>487</v>
      </c>
      <c r="E361" s="2">
        <v>1110</v>
      </c>
      <c r="F361" t="s">
        <v>403</v>
      </c>
      <c r="G361" s="2">
        <v>18</v>
      </c>
      <c r="H361" s="2">
        <v>0</v>
      </c>
      <c r="I361" s="2">
        <v>0</v>
      </c>
      <c r="J361" s="2">
        <v>0</v>
      </c>
      <c r="K361" s="6">
        <f t="shared" si="11"/>
        <v>18</v>
      </c>
      <c r="L361" s="7">
        <v>0.46</v>
      </c>
      <c r="M361" s="10">
        <f t="shared" si="12"/>
        <v>39.130434782608695</v>
      </c>
      <c r="N361" t="s">
        <v>71</v>
      </c>
      <c r="O361" t="s">
        <v>71</v>
      </c>
      <c r="P361" t="s">
        <v>71</v>
      </c>
      <c r="Q361" t="s">
        <v>810</v>
      </c>
      <c r="R361" t="s">
        <v>810</v>
      </c>
      <c r="T361" s="2">
        <v>1</v>
      </c>
      <c r="U361" s="2">
        <v>1</v>
      </c>
      <c r="V361" s="2">
        <v>1</v>
      </c>
      <c r="W361" s="2">
        <v>1</v>
      </c>
      <c r="X361" s="2">
        <v>1</v>
      </c>
      <c r="Y361" s="2">
        <v>1</v>
      </c>
      <c r="Z361" s="2">
        <v>0</v>
      </c>
      <c r="AA361" s="2">
        <v>1</v>
      </c>
      <c r="AB361" s="2">
        <v>0</v>
      </c>
      <c r="AC361" s="2">
        <v>0</v>
      </c>
    </row>
    <row r="362" spans="1:29">
      <c r="A362" s="2">
        <v>769</v>
      </c>
      <c r="B362" s="2">
        <v>252800959</v>
      </c>
      <c r="C362" s="2">
        <v>252800959</v>
      </c>
      <c r="D362" t="s">
        <v>1025</v>
      </c>
      <c r="E362" t="s">
        <v>1026</v>
      </c>
      <c r="F362" t="s">
        <v>875</v>
      </c>
      <c r="G362" s="2">
        <v>18</v>
      </c>
      <c r="H362" s="2">
        <v>0</v>
      </c>
      <c r="I362" s="2">
        <v>0</v>
      </c>
      <c r="J362" s="2">
        <v>0</v>
      </c>
      <c r="K362" s="6">
        <f t="shared" si="11"/>
        <v>18</v>
      </c>
      <c r="L362" s="7">
        <v>0.59</v>
      </c>
      <c r="M362" s="10">
        <f t="shared" si="12"/>
        <v>30.508474576271187</v>
      </c>
      <c r="N362" t="s">
        <v>374</v>
      </c>
      <c r="O362" t="s">
        <v>374</v>
      </c>
      <c r="P362" t="s">
        <v>374</v>
      </c>
      <c r="Q362" t="s">
        <v>810</v>
      </c>
      <c r="R362" t="s">
        <v>815</v>
      </c>
      <c r="T362" s="2">
        <v>1</v>
      </c>
      <c r="U362" s="2">
        <v>25</v>
      </c>
      <c r="V362" s="2">
        <v>1</v>
      </c>
      <c r="W362" s="2">
        <v>1</v>
      </c>
      <c r="X362" s="2">
        <v>1</v>
      </c>
      <c r="Y362" s="2">
        <v>1</v>
      </c>
      <c r="Z362" s="2">
        <v>0</v>
      </c>
      <c r="AA362" s="2">
        <v>1</v>
      </c>
      <c r="AB362" s="2">
        <v>0</v>
      </c>
      <c r="AC362" s="2">
        <v>0</v>
      </c>
    </row>
    <row r="363" spans="1:29">
      <c r="A363" s="2">
        <v>743</v>
      </c>
      <c r="B363" s="2">
        <v>242400902</v>
      </c>
      <c r="C363" s="2">
        <v>242400902</v>
      </c>
      <c r="D363" t="s">
        <v>568</v>
      </c>
      <c r="F363" t="s">
        <v>565</v>
      </c>
      <c r="G363">
        <v>18.291599999999999</v>
      </c>
      <c r="H363" s="2">
        <v>0</v>
      </c>
      <c r="I363" s="2">
        <v>0</v>
      </c>
      <c r="J363" s="2">
        <v>0</v>
      </c>
      <c r="K363" s="6">
        <f t="shared" si="11"/>
        <v>18.291599999999999</v>
      </c>
      <c r="L363" s="7">
        <v>0.65</v>
      </c>
      <c r="M363" s="10">
        <f t="shared" si="12"/>
        <v>28.140923076923073</v>
      </c>
      <c r="N363" t="s">
        <v>71</v>
      </c>
      <c r="O363" t="s">
        <v>71</v>
      </c>
      <c r="P363" t="s">
        <v>276</v>
      </c>
      <c r="Q363" t="s">
        <v>810</v>
      </c>
      <c r="T363" s="2">
        <v>1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0</v>
      </c>
      <c r="AA363" s="2">
        <v>1</v>
      </c>
      <c r="AB363" s="2">
        <v>0</v>
      </c>
      <c r="AC363" s="2">
        <v>0</v>
      </c>
    </row>
    <row r="364" spans="1:29">
      <c r="A364" s="2">
        <v>773</v>
      </c>
      <c r="B364" s="2">
        <v>252800946</v>
      </c>
      <c r="C364" s="2">
        <v>252800946</v>
      </c>
      <c r="D364" t="s">
        <v>1000</v>
      </c>
      <c r="E364" t="s">
        <v>1001</v>
      </c>
      <c r="F364" t="s">
        <v>875</v>
      </c>
      <c r="G364" s="3">
        <v>18.36</v>
      </c>
      <c r="H364" s="2">
        <v>0</v>
      </c>
      <c r="I364" s="2">
        <v>0</v>
      </c>
      <c r="J364" s="2">
        <v>0</v>
      </c>
      <c r="K364" s="6">
        <f t="shared" si="11"/>
        <v>18.36</v>
      </c>
      <c r="L364" s="7">
        <v>0.6</v>
      </c>
      <c r="M364" s="10">
        <f t="shared" si="12"/>
        <v>30.6</v>
      </c>
      <c r="N364" t="s">
        <v>71</v>
      </c>
      <c r="O364" t="s">
        <v>71</v>
      </c>
      <c r="P364" t="s">
        <v>276</v>
      </c>
      <c r="Q364" t="s">
        <v>810</v>
      </c>
      <c r="T364" s="2">
        <v>50</v>
      </c>
      <c r="U364" s="2">
        <v>1</v>
      </c>
      <c r="V364" s="2">
        <v>1</v>
      </c>
      <c r="W364" s="2">
        <v>1</v>
      </c>
      <c r="X364" s="2">
        <v>1</v>
      </c>
      <c r="Y364" s="2">
        <v>1</v>
      </c>
      <c r="Z364" s="2">
        <v>0</v>
      </c>
      <c r="AA364" s="2">
        <v>1</v>
      </c>
      <c r="AB364" s="2">
        <v>0</v>
      </c>
      <c r="AC364" s="2">
        <v>0</v>
      </c>
    </row>
    <row r="365" spans="1:29">
      <c r="A365" s="2">
        <v>794</v>
      </c>
      <c r="B365" s="2">
        <v>252800925</v>
      </c>
      <c r="C365" s="2">
        <v>252800925</v>
      </c>
      <c r="D365" t="s">
        <v>958</v>
      </c>
      <c r="E365" t="s">
        <v>959</v>
      </c>
      <c r="F365" t="s">
        <v>875</v>
      </c>
      <c r="G365" s="3">
        <v>18.48</v>
      </c>
      <c r="H365" s="2">
        <v>0</v>
      </c>
      <c r="I365" s="2">
        <v>0</v>
      </c>
      <c r="J365" s="2">
        <v>0</v>
      </c>
      <c r="K365" s="6">
        <f t="shared" si="11"/>
        <v>18.48</v>
      </c>
      <c r="L365" s="7">
        <v>0.59</v>
      </c>
      <c r="M365" s="10">
        <f t="shared" si="12"/>
        <v>31.322033898305087</v>
      </c>
      <c r="N365" t="s">
        <v>374</v>
      </c>
      <c r="O365" t="s">
        <v>374</v>
      </c>
      <c r="P365" t="s">
        <v>820</v>
      </c>
      <c r="Q365" t="s">
        <v>810</v>
      </c>
      <c r="R365" t="s">
        <v>821</v>
      </c>
      <c r="T365" s="2">
        <v>1</v>
      </c>
      <c r="U365" s="2">
        <v>25</v>
      </c>
      <c r="V365" s="2">
        <v>1</v>
      </c>
      <c r="W365" s="2">
        <v>1</v>
      </c>
      <c r="X365" s="2">
        <v>1</v>
      </c>
      <c r="Y365" s="2">
        <v>1</v>
      </c>
      <c r="Z365" s="2">
        <v>0</v>
      </c>
      <c r="AA365" s="2">
        <v>1</v>
      </c>
      <c r="AB365">
        <v>0.5</v>
      </c>
      <c r="AC365">
        <v>1.0544</v>
      </c>
    </row>
    <row r="366" spans="1:29">
      <c r="A366" s="2">
        <v>831</v>
      </c>
      <c r="B366" s="2">
        <v>252800927</v>
      </c>
      <c r="C366" s="2">
        <v>252800927</v>
      </c>
      <c r="D366" t="s">
        <v>962</v>
      </c>
      <c r="E366" t="s">
        <v>963</v>
      </c>
      <c r="F366" t="s">
        <v>875</v>
      </c>
      <c r="G366" s="3">
        <v>18.48</v>
      </c>
      <c r="H366" s="2">
        <v>0</v>
      </c>
      <c r="I366" s="2">
        <v>0</v>
      </c>
      <c r="J366" s="2">
        <v>0</v>
      </c>
      <c r="K366" s="6">
        <f t="shared" si="11"/>
        <v>18.48</v>
      </c>
      <c r="L366" s="7">
        <v>0.59</v>
      </c>
      <c r="M366" s="10">
        <f t="shared" si="12"/>
        <v>31.322033898305087</v>
      </c>
      <c r="N366" t="s">
        <v>30</v>
      </c>
      <c r="O366" t="s">
        <v>30</v>
      </c>
      <c r="P366" t="s">
        <v>101</v>
      </c>
      <c r="Q366" t="s">
        <v>810</v>
      </c>
      <c r="R366" t="s">
        <v>823</v>
      </c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2">
        <v>1</v>
      </c>
      <c r="Z366" s="2">
        <v>0</v>
      </c>
      <c r="AA366" s="2">
        <v>1</v>
      </c>
      <c r="AB366" s="2">
        <v>0</v>
      </c>
      <c r="AC366" s="2">
        <v>0</v>
      </c>
    </row>
    <row r="367" spans="1:29">
      <c r="A367" s="2">
        <v>826</v>
      </c>
      <c r="B367" s="2">
        <v>252800935</v>
      </c>
      <c r="C367" s="2">
        <v>252800935</v>
      </c>
      <c r="D367" t="s">
        <v>978</v>
      </c>
      <c r="E367" t="s">
        <v>979</v>
      </c>
      <c r="F367" t="s">
        <v>875</v>
      </c>
      <c r="G367" s="3">
        <v>18.48</v>
      </c>
      <c r="H367" s="2">
        <v>0</v>
      </c>
      <c r="I367" s="2">
        <v>0</v>
      </c>
      <c r="J367" s="2">
        <v>0</v>
      </c>
      <c r="K367" s="6">
        <f t="shared" si="11"/>
        <v>18.48</v>
      </c>
      <c r="L367" s="7">
        <v>0.59</v>
      </c>
      <c r="M367" s="10">
        <f t="shared" si="12"/>
        <v>31.322033898305087</v>
      </c>
      <c r="N367" t="s">
        <v>30</v>
      </c>
      <c r="O367" t="s">
        <v>30</v>
      </c>
      <c r="P367" t="s">
        <v>51</v>
      </c>
      <c r="Q367" t="s">
        <v>810</v>
      </c>
      <c r="R367" t="s">
        <v>827</v>
      </c>
      <c r="T367" s="2">
        <v>1</v>
      </c>
      <c r="U367" s="2">
        <v>1</v>
      </c>
      <c r="V367" s="2">
        <v>1</v>
      </c>
      <c r="W367" s="2">
        <v>1</v>
      </c>
      <c r="X367" s="2">
        <v>1</v>
      </c>
      <c r="Y367" s="2">
        <v>1</v>
      </c>
      <c r="Z367" s="2">
        <v>0</v>
      </c>
      <c r="AA367" s="2">
        <v>1</v>
      </c>
      <c r="AB367" s="3">
        <v>0.23</v>
      </c>
      <c r="AC367">
        <v>5.8316999999999997</v>
      </c>
    </row>
    <row r="368" spans="1:29">
      <c r="A368" s="2">
        <v>775</v>
      </c>
      <c r="B368" s="2">
        <v>252800947</v>
      </c>
      <c r="C368" s="2">
        <v>252800947</v>
      </c>
      <c r="D368" t="s">
        <v>1002</v>
      </c>
      <c r="E368" t="s">
        <v>1003</v>
      </c>
      <c r="F368" t="s">
        <v>875</v>
      </c>
      <c r="G368" s="3">
        <v>18.72</v>
      </c>
      <c r="H368" s="2">
        <v>0</v>
      </c>
      <c r="I368" s="2">
        <v>0</v>
      </c>
      <c r="J368" s="2">
        <v>0</v>
      </c>
      <c r="K368" s="6">
        <f t="shared" si="11"/>
        <v>18.72</v>
      </c>
      <c r="L368" s="7">
        <v>0.6</v>
      </c>
      <c r="M368" s="10">
        <f t="shared" si="12"/>
        <v>31.2</v>
      </c>
      <c r="N368" t="s">
        <v>30</v>
      </c>
      <c r="O368" t="s">
        <v>30</v>
      </c>
      <c r="P368" t="s">
        <v>30</v>
      </c>
      <c r="Q368" t="s">
        <v>53</v>
      </c>
      <c r="R368" t="s">
        <v>53</v>
      </c>
      <c r="T368" s="2">
        <v>1</v>
      </c>
      <c r="U368" s="2">
        <v>1</v>
      </c>
      <c r="V368" s="2">
        <v>1</v>
      </c>
      <c r="W368" s="2">
        <v>1</v>
      </c>
      <c r="X368" s="2">
        <v>0</v>
      </c>
      <c r="Y368" s="2">
        <v>1</v>
      </c>
      <c r="Z368" s="2">
        <v>0</v>
      </c>
      <c r="AA368" s="2">
        <v>1</v>
      </c>
      <c r="AB368" s="2">
        <v>0</v>
      </c>
      <c r="AC368" s="2">
        <v>0</v>
      </c>
    </row>
    <row r="369" spans="1:29">
      <c r="A369" s="2">
        <v>772</v>
      </c>
      <c r="B369" s="2">
        <v>252800948</v>
      </c>
      <c r="C369" s="2">
        <v>252800948</v>
      </c>
      <c r="D369" t="s">
        <v>1004</v>
      </c>
      <c r="E369" t="s">
        <v>1005</v>
      </c>
      <c r="F369" t="s">
        <v>875</v>
      </c>
      <c r="G369" s="3">
        <v>18.72</v>
      </c>
      <c r="H369" s="2">
        <v>0</v>
      </c>
      <c r="I369" s="2">
        <v>0</v>
      </c>
      <c r="J369" s="2">
        <v>0</v>
      </c>
      <c r="K369" s="6">
        <f t="shared" si="11"/>
        <v>18.72</v>
      </c>
      <c r="L369" s="7">
        <v>0.6</v>
      </c>
      <c r="M369" s="10">
        <f t="shared" si="12"/>
        <v>31.2</v>
      </c>
      <c r="N369" t="s">
        <v>29</v>
      </c>
      <c r="O369" t="s">
        <v>29</v>
      </c>
      <c r="P369" t="s">
        <v>29</v>
      </c>
      <c r="Q369" t="s">
        <v>66</v>
      </c>
      <c r="R369" t="s">
        <v>66</v>
      </c>
      <c r="T369" s="2">
        <v>1</v>
      </c>
      <c r="U369" s="2">
        <v>1</v>
      </c>
      <c r="V369" s="2">
        <v>1</v>
      </c>
      <c r="W369" s="2">
        <v>1</v>
      </c>
      <c r="X369" s="2">
        <v>1</v>
      </c>
      <c r="Y369" s="2">
        <v>0</v>
      </c>
      <c r="Z369" s="2">
        <v>0</v>
      </c>
      <c r="AA369" s="2">
        <v>1</v>
      </c>
      <c r="AB369" s="2">
        <v>0</v>
      </c>
      <c r="AC369" s="2">
        <v>0</v>
      </c>
    </row>
    <row r="370" spans="1:29">
      <c r="A370" s="2">
        <v>768</v>
      </c>
      <c r="B370" s="2">
        <v>252800955</v>
      </c>
      <c r="C370" s="2">
        <v>252800955</v>
      </c>
      <c r="D370" t="s">
        <v>1017</v>
      </c>
      <c r="E370" t="s">
        <v>1018</v>
      </c>
      <c r="F370" t="s">
        <v>875</v>
      </c>
      <c r="G370" s="3">
        <v>18.72</v>
      </c>
      <c r="H370" s="2">
        <v>0</v>
      </c>
      <c r="I370" s="2">
        <v>0</v>
      </c>
      <c r="J370" s="2">
        <v>0</v>
      </c>
      <c r="K370" s="6">
        <f t="shared" si="11"/>
        <v>18.72</v>
      </c>
      <c r="L370" s="7">
        <v>0.59</v>
      </c>
      <c r="M370" s="10">
        <f t="shared" si="12"/>
        <v>31.728813559322035</v>
      </c>
      <c r="N370" t="s">
        <v>35</v>
      </c>
      <c r="O370" t="s">
        <v>30</v>
      </c>
      <c r="P370" t="s">
        <v>37</v>
      </c>
      <c r="Q370" t="s">
        <v>521</v>
      </c>
      <c r="T370" s="2">
        <v>1</v>
      </c>
      <c r="U370" s="2">
        <v>1</v>
      </c>
      <c r="V370" s="2">
        <v>1</v>
      </c>
      <c r="W370" s="2">
        <v>1</v>
      </c>
      <c r="X370" s="2">
        <v>1</v>
      </c>
      <c r="Y370" s="2">
        <v>1</v>
      </c>
      <c r="Z370" s="2">
        <v>0</v>
      </c>
      <c r="AA370" s="2">
        <v>1</v>
      </c>
      <c r="AB370" s="2">
        <v>0</v>
      </c>
      <c r="AC370" s="2">
        <v>0</v>
      </c>
    </row>
    <row r="371" spans="1:29">
      <c r="A371" s="2">
        <v>672</v>
      </c>
      <c r="B371" s="2">
        <v>251850602</v>
      </c>
      <c r="C371" s="2">
        <v>251850602</v>
      </c>
      <c r="D371" t="s">
        <v>789</v>
      </c>
      <c r="E371">
        <v>5194.5029999999997</v>
      </c>
      <c r="F371" t="s">
        <v>790</v>
      </c>
      <c r="G371" s="3">
        <v>19.63</v>
      </c>
      <c r="H371" s="2">
        <v>0</v>
      </c>
      <c r="I371" s="2">
        <v>0</v>
      </c>
      <c r="J371" s="2">
        <v>0</v>
      </c>
      <c r="K371" s="6">
        <f t="shared" si="11"/>
        <v>19.63</v>
      </c>
      <c r="L371" s="7">
        <v>0.5</v>
      </c>
      <c r="M371" s="10">
        <f t="shared" si="12"/>
        <v>39.26</v>
      </c>
      <c r="N371" t="s">
        <v>30</v>
      </c>
      <c r="O371" t="s">
        <v>30</v>
      </c>
      <c r="P371" t="s">
        <v>35</v>
      </c>
      <c r="Q371" t="s">
        <v>521</v>
      </c>
      <c r="T371" s="2">
        <v>1</v>
      </c>
      <c r="U371" s="2">
        <v>1</v>
      </c>
      <c r="V371" s="2">
        <v>1</v>
      </c>
      <c r="W371" s="2">
        <v>1</v>
      </c>
      <c r="X371" s="2">
        <v>1</v>
      </c>
      <c r="Y371" s="2">
        <v>1</v>
      </c>
      <c r="Z371" s="2">
        <v>0</v>
      </c>
      <c r="AA371" s="2">
        <v>1</v>
      </c>
      <c r="AB371" s="2">
        <v>0</v>
      </c>
      <c r="AC371" s="2">
        <v>0</v>
      </c>
    </row>
    <row r="372" spans="1:29">
      <c r="A372" s="2">
        <v>832</v>
      </c>
      <c r="B372" s="2">
        <v>252800928</v>
      </c>
      <c r="C372" s="2">
        <v>252800928</v>
      </c>
      <c r="D372" t="s">
        <v>964</v>
      </c>
      <c r="E372" t="s">
        <v>965</v>
      </c>
      <c r="F372" t="s">
        <v>875</v>
      </c>
      <c r="G372" s="3">
        <v>19.68</v>
      </c>
      <c r="H372" s="2">
        <v>0</v>
      </c>
      <c r="I372" s="2">
        <v>0</v>
      </c>
      <c r="J372" s="2">
        <v>0</v>
      </c>
      <c r="K372" s="6">
        <f t="shared" si="11"/>
        <v>19.68</v>
      </c>
      <c r="L372" s="7">
        <v>0.59</v>
      </c>
      <c r="M372" s="10">
        <f t="shared" si="12"/>
        <v>33.355932203389834</v>
      </c>
      <c r="N372" t="s">
        <v>35</v>
      </c>
      <c r="O372" t="s">
        <v>35</v>
      </c>
      <c r="P372" t="s">
        <v>35</v>
      </c>
      <c r="Q372" t="s">
        <v>688</v>
      </c>
      <c r="R372" t="s">
        <v>837</v>
      </c>
      <c r="T372" s="2">
        <v>1</v>
      </c>
      <c r="U372" s="2">
        <v>1</v>
      </c>
      <c r="V372" s="2">
        <v>1</v>
      </c>
      <c r="W372" s="2">
        <v>1</v>
      </c>
      <c r="X372" s="2">
        <v>1</v>
      </c>
      <c r="Y372" s="2">
        <v>1</v>
      </c>
      <c r="Z372" s="2">
        <v>0</v>
      </c>
      <c r="AA372" s="2">
        <v>1</v>
      </c>
      <c r="AB372" s="2">
        <v>0</v>
      </c>
      <c r="AC372" s="2">
        <v>0</v>
      </c>
    </row>
    <row r="373" spans="1:29">
      <c r="A373" s="2">
        <v>133</v>
      </c>
      <c r="B373" s="2">
        <v>241951322</v>
      </c>
      <c r="C373" s="2">
        <v>241951322</v>
      </c>
      <c r="D373" t="s">
        <v>371</v>
      </c>
      <c r="E373" s="2">
        <v>4183505</v>
      </c>
      <c r="F373" t="s">
        <v>224</v>
      </c>
      <c r="G373" s="3">
        <f>+VLOOKUP(B373,'[1]master_prod_15todos(30-11-2 (2)'!$B$2:$AF$470,31,FALSE)</f>
        <v>19.762499999999999</v>
      </c>
      <c r="H373" s="2">
        <v>0</v>
      </c>
      <c r="I373" s="2">
        <v>0</v>
      </c>
      <c r="J373" s="2">
        <v>0</v>
      </c>
      <c r="K373" s="6">
        <f t="shared" si="11"/>
        <v>19.762499999999999</v>
      </c>
      <c r="L373" s="7">
        <f>+VLOOKUP(B373,'[1]master_prod_15todos(30-11-2 (2)'!$B$2:$AG$470,32,FALSE)</f>
        <v>0.75</v>
      </c>
      <c r="M373" s="10">
        <f t="shared" si="12"/>
        <v>26.349999999999998</v>
      </c>
      <c r="N373" t="s">
        <v>35</v>
      </c>
      <c r="O373" t="s">
        <v>30</v>
      </c>
      <c r="P373" t="s">
        <v>35</v>
      </c>
      <c r="Q373" t="s">
        <v>688</v>
      </c>
      <c r="R373" t="s">
        <v>837</v>
      </c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2">
        <v>1</v>
      </c>
      <c r="Z373" s="2">
        <v>0</v>
      </c>
      <c r="AA373" s="2">
        <v>1</v>
      </c>
      <c r="AB373" s="2">
        <v>0</v>
      </c>
      <c r="AC373" s="2">
        <v>0</v>
      </c>
    </row>
    <row r="374" spans="1:29">
      <c r="A374" s="2">
        <v>795</v>
      </c>
      <c r="B374" s="2">
        <v>252800926</v>
      </c>
      <c r="C374" s="2">
        <v>252800926</v>
      </c>
      <c r="D374" t="s">
        <v>960</v>
      </c>
      <c r="E374" t="s">
        <v>961</v>
      </c>
      <c r="F374" t="s">
        <v>875</v>
      </c>
      <c r="G374">
        <v>19.8</v>
      </c>
      <c r="H374" s="2">
        <v>0</v>
      </c>
      <c r="I374" s="2">
        <v>0</v>
      </c>
      <c r="J374" s="2">
        <v>0</v>
      </c>
      <c r="K374" s="6">
        <f t="shared" si="11"/>
        <v>19.8</v>
      </c>
      <c r="L374" s="7">
        <v>0.6</v>
      </c>
      <c r="M374" s="10">
        <f t="shared" si="12"/>
        <v>33</v>
      </c>
      <c r="N374" t="s">
        <v>841</v>
      </c>
      <c r="O374" t="s">
        <v>841</v>
      </c>
      <c r="P374" t="s">
        <v>841</v>
      </c>
      <c r="Q374" t="s">
        <v>842</v>
      </c>
      <c r="R374" t="s">
        <v>843</v>
      </c>
      <c r="T374" s="2">
        <v>1</v>
      </c>
      <c r="U374" s="2">
        <v>34</v>
      </c>
      <c r="V374" s="2">
        <v>1</v>
      </c>
      <c r="W374" s="2">
        <v>1</v>
      </c>
      <c r="X374" s="2">
        <v>1</v>
      </c>
      <c r="Y374" s="2">
        <v>0</v>
      </c>
      <c r="Z374" s="2">
        <v>0</v>
      </c>
      <c r="AA374" s="2">
        <v>1</v>
      </c>
      <c r="AB374" s="2">
        <v>0</v>
      </c>
      <c r="AC374" s="2">
        <v>0</v>
      </c>
    </row>
    <row r="375" spans="1:29">
      <c r="A375" s="2">
        <v>739</v>
      </c>
      <c r="B375" s="2">
        <v>242201771</v>
      </c>
      <c r="C375" s="2">
        <v>242201771</v>
      </c>
      <c r="D375" t="s">
        <v>481</v>
      </c>
      <c r="E375" s="2">
        <v>1209</v>
      </c>
      <c r="F375" t="s">
        <v>403</v>
      </c>
      <c r="G375" s="2">
        <v>20</v>
      </c>
      <c r="H375" s="2">
        <v>0</v>
      </c>
      <c r="I375" s="2">
        <v>0</v>
      </c>
      <c r="J375" s="2">
        <v>0</v>
      </c>
      <c r="K375" s="6">
        <f t="shared" si="11"/>
        <v>20</v>
      </c>
      <c r="L375" s="7">
        <v>0.46</v>
      </c>
      <c r="M375" s="10">
        <f t="shared" si="12"/>
        <v>43.478260869565219</v>
      </c>
      <c r="N375" t="s">
        <v>841</v>
      </c>
      <c r="O375" t="s">
        <v>841</v>
      </c>
      <c r="P375" t="s">
        <v>841</v>
      </c>
      <c r="Q375" t="s">
        <v>842</v>
      </c>
      <c r="R375" t="s">
        <v>845</v>
      </c>
      <c r="T375" s="2">
        <v>1</v>
      </c>
      <c r="U375" s="2">
        <v>34</v>
      </c>
      <c r="V375" s="2">
        <v>1</v>
      </c>
      <c r="W375" s="2">
        <v>1</v>
      </c>
      <c r="X375" s="2">
        <v>1</v>
      </c>
      <c r="Y375" s="2">
        <v>0</v>
      </c>
      <c r="Z375" s="2">
        <v>0</v>
      </c>
      <c r="AA375" s="2">
        <v>1</v>
      </c>
      <c r="AB375" s="2">
        <v>0</v>
      </c>
      <c r="AC375" s="2">
        <v>0</v>
      </c>
    </row>
    <row r="376" spans="1:29">
      <c r="A376" s="2">
        <v>912</v>
      </c>
      <c r="B376" s="2">
        <v>272100261</v>
      </c>
      <c r="C376" s="2">
        <v>272100261</v>
      </c>
      <c r="D376" t="s">
        <v>1117</v>
      </c>
      <c r="F376" t="s">
        <v>446</v>
      </c>
      <c r="G376" s="2">
        <v>20</v>
      </c>
      <c r="H376" s="2">
        <v>0</v>
      </c>
      <c r="I376" s="2">
        <v>0</v>
      </c>
      <c r="J376" s="2">
        <v>0</v>
      </c>
      <c r="K376" s="6">
        <f t="shared" si="11"/>
        <v>20</v>
      </c>
      <c r="L376" s="7">
        <v>0.66</v>
      </c>
      <c r="M376" s="10">
        <f t="shared" si="12"/>
        <v>30.303030303030301</v>
      </c>
      <c r="N376" t="s">
        <v>30</v>
      </c>
      <c r="O376" t="s">
        <v>30</v>
      </c>
      <c r="P376" t="s">
        <v>30</v>
      </c>
      <c r="Q376" t="s">
        <v>81</v>
      </c>
      <c r="R376" t="s">
        <v>848</v>
      </c>
      <c r="T376" s="2">
        <v>1</v>
      </c>
      <c r="U376" s="2">
        <v>1</v>
      </c>
      <c r="V376" s="2">
        <v>1</v>
      </c>
      <c r="W376" s="2">
        <v>1</v>
      </c>
      <c r="X376" s="2">
        <v>1</v>
      </c>
      <c r="Y376" s="2">
        <v>0</v>
      </c>
      <c r="Z376" s="2">
        <v>0</v>
      </c>
      <c r="AA376" s="2">
        <v>1</v>
      </c>
      <c r="AB376" s="2">
        <v>0</v>
      </c>
      <c r="AC376" s="2">
        <v>0</v>
      </c>
    </row>
    <row r="377" spans="1:29">
      <c r="A377" s="2">
        <v>910</v>
      </c>
      <c r="B377" s="2">
        <v>272100350</v>
      </c>
      <c r="C377" s="2">
        <v>272100350</v>
      </c>
      <c r="D377" t="s">
        <v>1119</v>
      </c>
      <c r="E377" s="2">
        <v>1</v>
      </c>
      <c r="F377" t="s">
        <v>446</v>
      </c>
      <c r="G377" s="2">
        <v>20</v>
      </c>
      <c r="H377" s="2">
        <v>0</v>
      </c>
      <c r="I377" s="2">
        <v>0</v>
      </c>
      <c r="J377" s="2">
        <v>0</v>
      </c>
      <c r="K377" s="6">
        <f t="shared" si="11"/>
        <v>20</v>
      </c>
      <c r="L377" s="7">
        <v>0.5</v>
      </c>
      <c r="M377" s="10">
        <f t="shared" si="12"/>
        <v>40</v>
      </c>
      <c r="N377" t="s">
        <v>30</v>
      </c>
      <c r="O377" t="s">
        <v>30</v>
      </c>
      <c r="P377" t="s">
        <v>37</v>
      </c>
      <c r="Q377" t="s">
        <v>87</v>
      </c>
      <c r="T377" s="2">
        <v>1</v>
      </c>
      <c r="U377" s="2">
        <v>1</v>
      </c>
      <c r="V377" s="2">
        <v>1</v>
      </c>
      <c r="W377" s="2">
        <v>1</v>
      </c>
      <c r="X377" s="2">
        <v>0</v>
      </c>
      <c r="Y377" s="2">
        <v>1</v>
      </c>
      <c r="Z377" s="2">
        <v>0</v>
      </c>
      <c r="AA377" s="2">
        <v>1</v>
      </c>
      <c r="AB377" s="2">
        <v>0</v>
      </c>
      <c r="AC377" s="2">
        <v>0</v>
      </c>
    </row>
    <row r="378" spans="1:29">
      <c r="A378" s="2">
        <v>827</v>
      </c>
      <c r="B378" s="2">
        <v>252800936</v>
      </c>
      <c r="C378" s="2">
        <v>252800936</v>
      </c>
      <c r="D378" t="s">
        <v>980</v>
      </c>
      <c r="E378" t="s">
        <v>981</v>
      </c>
      <c r="F378" t="s">
        <v>875</v>
      </c>
      <c r="G378" s="3">
        <v>20.04</v>
      </c>
      <c r="H378" s="2">
        <v>0</v>
      </c>
      <c r="I378" s="2">
        <v>0</v>
      </c>
      <c r="J378" s="2">
        <v>0</v>
      </c>
      <c r="K378" s="6">
        <f t="shared" si="11"/>
        <v>20.04</v>
      </c>
      <c r="L378" s="7">
        <v>0.59</v>
      </c>
      <c r="M378" s="10">
        <f t="shared" si="12"/>
        <v>33.966101694915253</v>
      </c>
      <c r="N378" t="s">
        <v>51</v>
      </c>
      <c r="O378" t="s">
        <v>30</v>
      </c>
      <c r="P378" t="s">
        <v>51</v>
      </c>
      <c r="Q378" t="s">
        <v>87</v>
      </c>
      <c r="T378" s="2">
        <v>1</v>
      </c>
      <c r="U378" s="2">
        <v>1</v>
      </c>
      <c r="V378" s="2">
        <v>1</v>
      </c>
      <c r="W378" s="2">
        <v>1</v>
      </c>
      <c r="X378" s="2">
        <v>0</v>
      </c>
      <c r="Y378" s="2">
        <v>1</v>
      </c>
      <c r="Z378" s="2">
        <v>0</v>
      </c>
      <c r="AA378" s="2">
        <v>1</v>
      </c>
      <c r="AB378" s="2">
        <v>0</v>
      </c>
      <c r="AC378" s="2">
        <v>0</v>
      </c>
    </row>
    <row r="379" spans="1:29">
      <c r="A379" s="2">
        <v>294</v>
      </c>
      <c r="B379" s="2">
        <v>240550611</v>
      </c>
      <c r="C379" s="2">
        <v>240550611</v>
      </c>
      <c r="D379" t="s">
        <v>127</v>
      </c>
      <c r="E379" s="2">
        <v>8884711006</v>
      </c>
      <c r="F379" t="s">
        <v>75</v>
      </c>
      <c r="G379" s="3">
        <f>+VLOOKUP(B379,'[1]master_prod_15todos(30-11-2 (2)'!$B$2:$AF$470,31,FALSE)</f>
        <v>20.100000000000001</v>
      </c>
      <c r="H379" s="2">
        <v>0</v>
      </c>
      <c r="I379" s="2">
        <v>0</v>
      </c>
      <c r="J379" s="2">
        <v>0</v>
      </c>
      <c r="K379" s="6">
        <f t="shared" si="11"/>
        <v>20.100000000000001</v>
      </c>
      <c r="L379" s="7">
        <f>+VLOOKUP(B379,'[1]master_prod_15todos(30-11-2 (2)'!$B$2:$AG$470,32,FALSE)</f>
        <v>0.75</v>
      </c>
      <c r="M379" s="10">
        <f t="shared" si="12"/>
        <v>26.8</v>
      </c>
      <c r="N379" t="s">
        <v>30</v>
      </c>
      <c r="O379" t="s">
        <v>30</v>
      </c>
      <c r="P379" t="s">
        <v>57</v>
      </c>
      <c r="Q379" t="s">
        <v>58</v>
      </c>
      <c r="R379" t="s">
        <v>853</v>
      </c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1</v>
      </c>
      <c r="Z379" s="2">
        <v>0</v>
      </c>
      <c r="AA379" s="2">
        <v>1</v>
      </c>
      <c r="AB379" s="2">
        <v>0</v>
      </c>
      <c r="AC379" s="2">
        <v>0</v>
      </c>
    </row>
    <row r="380" spans="1:29">
      <c r="A380" s="2">
        <v>642</v>
      </c>
      <c r="B380" t="s">
        <v>1132</v>
      </c>
      <c r="C380" t="s">
        <v>1132</v>
      </c>
      <c r="D380" t="s">
        <v>127</v>
      </c>
      <c r="E380" s="2">
        <v>8884711006</v>
      </c>
      <c r="F380" t="s">
        <v>446</v>
      </c>
      <c r="G380">
        <v>20.100000000000001</v>
      </c>
      <c r="H380" s="2">
        <v>0</v>
      </c>
      <c r="I380" s="2">
        <v>0</v>
      </c>
      <c r="J380" s="2">
        <v>0</v>
      </c>
      <c r="K380" s="6">
        <f t="shared" si="11"/>
        <v>20.100000000000001</v>
      </c>
      <c r="L380" s="7">
        <v>0.55000000000000004</v>
      </c>
      <c r="M380" s="10">
        <f t="shared" si="12"/>
        <v>36.545454545454547</v>
      </c>
      <c r="N380" t="s">
        <v>245</v>
      </c>
      <c r="O380" t="s">
        <v>30</v>
      </c>
      <c r="P380" t="s">
        <v>245</v>
      </c>
      <c r="Q380" t="s">
        <v>76</v>
      </c>
      <c r="R380" t="s">
        <v>77</v>
      </c>
      <c r="T380" s="2">
        <v>1</v>
      </c>
      <c r="U380" s="2">
        <v>1</v>
      </c>
      <c r="V380" s="2">
        <v>1</v>
      </c>
      <c r="W380" s="2">
        <v>1</v>
      </c>
      <c r="X380" s="2">
        <v>0</v>
      </c>
      <c r="Y380" s="2">
        <v>0</v>
      </c>
      <c r="Z380" s="2">
        <v>0</v>
      </c>
      <c r="AA380" s="2">
        <v>1</v>
      </c>
      <c r="AB380" s="2">
        <v>0</v>
      </c>
      <c r="AC380" s="2">
        <v>0</v>
      </c>
    </row>
    <row r="381" spans="1:29">
      <c r="A381" s="2">
        <v>774</v>
      </c>
      <c r="B381" s="2">
        <v>252800949</v>
      </c>
      <c r="C381" s="2">
        <v>252800949</v>
      </c>
      <c r="D381" t="s">
        <v>1006</v>
      </c>
      <c r="E381" t="s">
        <v>1007</v>
      </c>
      <c r="F381" t="s">
        <v>875</v>
      </c>
      <c r="G381" s="3">
        <v>20.16</v>
      </c>
      <c r="H381" s="2">
        <v>0</v>
      </c>
      <c r="I381" s="2">
        <v>0</v>
      </c>
      <c r="J381" s="2">
        <v>0</v>
      </c>
      <c r="K381" s="6">
        <f t="shared" si="11"/>
        <v>20.16</v>
      </c>
      <c r="L381" s="7">
        <v>0.6</v>
      </c>
      <c r="M381" s="10">
        <f t="shared" si="12"/>
        <v>33.6</v>
      </c>
      <c r="N381" t="s">
        <v>62</v>
      </c>
      <c r="O381" t="s">
        <v>62</v>
      </c>
      <c r="P381" t="s">
        <v>37</v>
      </c>
      <c r="Q381" t="s">
        <v>58</v>
      </c>
      <c r="R381" t="s">
        <v>857</v>
      </c>
      <c r="T381" s="2">
        <v>1</v>
      </c>
      <c r="U381" s="2">
        <v>36</v>
      </c>
      <c r="V381" s="2">
        <v>1</v>
      </c>
      <c r="W381" s="2">
        <v>1</v>
      </c>
      <c r="X381" s="2">
        <v>1</v>
      </c>
      <c r="Y381" s="2">
        <v>1</v>
      </c>
      <c r="Z381" s="2">
        <v>0</v>
      </c>
      <c r="AA381" s="2">
        <v>1</v>
      </c>
      <c r="AB381" s="2">
        <v>0</v>
      </c>
      <c r="AC381" s="2">
        <v>0</v>
      </c>
    </row>
    <row r="382" spans="1:29">
      <c r="A382" s="2">
        <v>323</v>
      </c>
      <c r="B382" s="2">
        <v>252800127</v>
      </c>
      <c r="C382" s="2">
        <v>252800127</v>
      </c>
      <c r="D382" t="s">
        <v>926</v>
      </c>
      <c r="E382" t="s">
        <v>927</v>
      </c>
      <c r="F382" t="s">
        <v>304</v>
      </c>
      <c r="G382" s="3">
        <v>20.37</v>
      </c>
      <c r="H382" s="2">
        <v>0</v>
      </c>
      <c r="I382" s="2">
        <v>0</v>
      </c>
      <c r="J382" s="2">
        <v>0</v>
      </c>
      <c r="K382" s="6">
        <f t="shared" si="11"/>
        <v>20.37</v>
      </c>
      <c r="L382" s="7">
        <v>0.55000000000000004</v>
      </c>
      <c r="M382" s="10">
        <f t="shared" si="12"/>
        <v>37.036363636363632</v>
      </c>
      <c r="N382" t="s">
        <v>57</v>
      </c>
      <c r="O382" t="s">
        <v>57</v>
      </c>
      <c r="P382" t="s">
        <v>57</v>
      </c>
      <c r="Q382" t="s">
        <v>58</v>
      </c>
      <c r="R382" t="s">
        <v>860</v>
      </c>
      <c r="T382" s="2">
        <v>1</v>
      </c>
      <c r="U382" s="2">
        <v>12</v>
      </c>
      <c r="V382" s="2">
        <v>1</v>
      </c>
      <c r="W382" s="2">
        <v>1</v>
      </c>
      <c r="X382" s="2">
        <v>1</v>
      </c>
      <c r="Y382" s="2">
        <v>1</v>
      </c>
      <c r="Z382" s="2">
        <v>0</v>
      </c>
      <c r="AA382" s="2">
        <v>1</v>
      </c>
      <c r="AB382" s="2">
        <v>0</v>
      </c>
      <c r="AC382" s="2">
        <v>0</v>
      </c>
    </row>
    <row r="383" spans="1:29">
      <c r="A383" s="2">
        <v>851</v>
      </c>
      <c r="B383" s="2">
        <v>252850046</v>
      </c>
      <c r="C383" s="2">
        <v>252850046</v>
      </c>
      <c r="D383" t="s">
        <v>1033</v>
      </c>
      <c r="E383" s="2">
        <v>5424</v>
      </c>
      <c r="F383" t="s">
        <v>75</v>
      </c>
      <c r="G383">
        <v>20.371700000000001</v>
      </c>
      <c r="H383" s="2">
        <v>0</v>
      </c>
      <c r="I383" s="2">
        <v>0</v>
      </c>
      <c r="J383" s="2">
        <v>0</v>
      </c>
      <c r="K383" s="6">
        <f t="shared" si="11"/>
        <v>20.371700000000001</v>
      </c>
      <c r="L383" s="7">
        <v>0.64</v>
      </c>
      <c r="M383" s="10">
        <f t="shared" si="12"/>
        <v>31.830781250000001</v>
      </c>
      <c r="N383" t="s">
        <v>57</v>
      </c>
      <c r="O383" t="s">
        <v>57</v>
      </c>
      <c r="P383" t="s">
        <v>37</v>
      </c>
      <c r="Q383" t="s">
        <v>58</v>
      </c>
      <c r="R383" t="s">
        <v>861</v>
      </c>
      <c r="T383" s="2">
        <v>1</v>
      </c>
      <c r="U383" s="2">
        <v>12</v>
      </c>
      <c r="V383" s="2">
        <v>1</v>
      </c>
      <c r="W383" s="2">
        <v>1</v>
      </c>
      <c r="X383" s="2">
        <v>1</v>
      </c>
      <c r="Y383" s="2">
        <v>1</v>
      </c>
      <c r="Z383" s="2">
        <v>0</v>
      </c>
      <c r="AA383" s="2">
        <v>1</v>
      </c>
      <c r="AB383" s="2">
        <v>0</v>
      </c>
      <c r="AC383" s="2">
        <v>0</v>
      </c>
    </row>
    <row r="384" spans="1:29">
      <c r="A384" s="2">
        <v>92</v>
      </c>
      <c r="B384" s="2">
        <v>241250319</v>
      </c>
      <c r="C384" s="2">
        <v>241250319</v>
      </c>
      <c r="D384" t="s">
        <v>290</v>
      </c>
      <c r="E384" s="2">
        <v>2112350</v>
      </c>
      <c r="F384" t="s">
        <v>288</v>
      </c>
      <c r="G384" s="3">
        <f>+VLOOKUP(B384,'[1]master_prod_15todos(30-11-2 (2)'!$B$2:$AF$470,31,FALSE)</f>
        <v>20.475000000000001</v>
      </c>
      <c r="H384" s="2">
        <v>0</v>
      </c>
      <c r="I384" s="2">
        <v>0</v>
      </c>
      <c r="J384" s="2">
        <v>0</v>
      </c>
      <c r="K384" s="6">
        <f t="shared" si="11"/>
        <v>20.475000000000001</v>
      </c>
      <c r="L384" s="7">
        <f>+VLOOKUP(B384,'[1]master_prod_15todos(30-11-2 (2)'!$B$2:$AG$470,32,FALSE)</f>
        <v>0.9</v>
      </c>
      <c r="M384" s="10">
        <f t="shared" si="12"/>
        <v>22.75</v>
      </c>
      <c r="N384" t="s">
        <v>62</v>
      </c>
      <c r="O384" t="s">
        <v>62</v>
      </c>
      <c r="P384" t="s">
        <v>62</v>
      </c>
      <c r="Q384" t="s">
        <v>58</v>
      </c>
      <c r="R384" t="s">
        <v>59</v>
      </c>
      <c r="T384" s="2">
        <v>1</v>
      </c>
      <c r="U384" s="2">
        <v>1</v>
      </c>
      <c r="V384" s="2">
        <v>1</v>
      </c>
      <c r="W384" s="2">
        <v>1</v>
      </c>
      <c r="X384" s="2">
        <v>1</v>
      </c>
      <c r="Y384" s="2">
        <v>1</v>
      </c>
      <c r="Z384" s="2">
        <v>0</v>
      </c>
      <c r="AA384" s="2">
        <v>1</v>
      </c>
      <c r="AB384" s="2">
        <v>0</v>
      </c>
      <c r="AC384" s="2">
        <v>0</v>
      </c>
    </row>
    <row r="385" spans="1:29">
      <c r="A385" s="2">
        <v>646</v>
      </c>
      <c r="B385" s="2">
        <v>240550612</v>
      </c>
      <c r="C385" s="2">
        <v>240550612</v>
      </c>
      <c r="D385" t="s">
        <v>128</v>
      </c>
      <c r="E385" s="2">
        <v>8884711253</v>
      </c>
      <c r="F385" t="s">
        <v>75</v>
      </c>
      <c r="G385" s="3">
        <f>+VLOOKUP(B385,'[1]master_prod_15todos(30-11-2 (2)'!$B$2:$AF$470,31,FALSE)</f>
        <v>20.7</v>
      </c>
      <c r="H385" s="2">
        <v>0</v>
      </c>
      <c r="I385" s="2">
        <v>0</v>
      </c>
      <c r="J385" s="2">
        <v>0</v>
      </c>
      <c r="K385" s="6">
        <f t="shared" si="11"/>
        <v>20.7</v>
      </c>
      <c r="L385" s="7">
        <f>+VLOOKUP(B385,'[1]master_prod_15todos(30-11-2 (2)'!$B$2:$AG$470,32,FALSE)</f>
        <v>0.75</v>
      </c>
      <c r="M385" s="10">
        <f t="shared" si="12"/>
        <v>27.599999999999998</v>
      </c>
      <c r="N385" t="s">
        <v>57</v>
      </c>
      <c r="O385" t="s">
        <v>57</v>
      </c>
      <c r="P385" t="s">
        <v>37</v>
      </c>
      <c r="Q385" t="s">
        <v>58</v>
      </c>
      <c r="T385" s="2">
        <v>1</v>
      </c>
      <c r="U385" s="2">
        <v>1</v>
      </c>
      <c r="V385" s="2">
        <v>1</v>
      </c>
      <c r="W385" s="2">
        <v>1</v>
      </c>
      <c r="X385" s="2">
        <v>1</v>
      </c>
      <c r="Y385" s="2">
        <v>1</v>
      </c>
      <c r="Z385" s="2">
        <v>0</v>
      </c>
      <c r="AA385" s="2">
        <v>1</v>
      </c>
      <c r="AB385" s="2">
        <v>0</v>
      </c>
      <c r="AC385" s="2">
        <v>0</v>
      </c>
    </row>
    <row r="386" spans="1:29">
      <c r="A386" s="2">
        <v>295</v>
      </c>
      <c r="B386" t="s">
        <v>1132</v>
      </c>
      <c r="C386" t="s">
        <v>1132</v>
      </c>
      <c r="D386" t="s">
        <v>1160</v>
      </c>
      <c r="E386" s="2">
        <v>8884711253</v>
      </c>
      <c r="F386" t="s">
        <v>64</v>
      </c>
      <c r="G386">
        <v>20.7</v>
      </c>
      <c r="H386" s="2">
        <v>0</v>
      </c>
      <c r="I386" s="2">
        <v>0</v>
      </c>
      <c r="J386" s="2">
        <v>0</v>
      </c>
      <c r="K386" s="6">
        <f t="shared" si="11"/>
        <v>20.7</v>
      </c>
      <c r="L386" s="7">
        <v>0.6</v>
      </c>
      <c r="M386" s="10">
        <f t="shared" si="12"/>
        <v>34.5</v>
      </c>
      <c r="N386" t="s">
        <v>62</v>
      </c>
      <c r="O386" t="s">
        <v>30</v>
      </c>
      <c r="P386" t="s">
        <v>62</v>
      </c>
      <c r="Q386" t="s">
        <v>868</v>
      </c>
      <c r="T386" s="2">
        <v>1</v>
      </c>
      <c r="U386" s="2">
        <v>1</v>
      </c>
      <c r="V386" s="2">
        <v>1</v>
      </c>
      <c r="W386" s="2">
        <v>1</v>
      </c>
      <c r="X386" s="2">
        <v>1</v>
      </c>
      <c r="Y386" s="2">
        <v>1</v>
      </c>
      <c r="Z386" s="2">
        <v>0</v>
      </c>
      <c r="AA386" s="2">
        <v>1</v>
      </c>
      <c r="AB386" s="2">
        <v>0</v>
      </c>
      <c r="AC386" s="2">
        <v>0</v>
      </c>
    </row>
    <row r="387" spans="1:29">
      <c r="A387" s="2">
        <v>652</v>
      </c>
      <c r="B387" s="2">
        <v>252650445</v>
      </c>
      <c r="C387" s="2">
        <v>252650445</v>
      </c>
      <c r="D387" t="s">
        <v>898</v>
      </c>
      <c r="E387" t="s">
        <v>899</v>
      </c>
      <c r="F387" t="s">
        <v>75</v>
      </c>
      <c r="G387" s="3">
        <v>20.83</v>
      </c>
      <c r="H387" s="2">
        <v>0</v>
      </c>
      <c r="I387" s="2">
        <v>0</v>
      </c>
      <c r="J387" s="2">
        <v>0</v>
      </c>
      <c r="K387" s="6">
        <f t="shared" ref="K387:K450" si="13">SUM(G387:J387)</f>
        <v>20.83</v>
      </c>
      <c r="L387" s="7">
        <v>0.59</v>
      </c>
      <c r="M387" s="10">
        <f t="shared" si="12"/>
        <v>35.305084745762713</v>
      </c>
      <c r="N387" t="s">
        <v>245</v>
      </c>
      <c r="O387" t="s">
        <v>30</v>
      </c>
      <c r="P387" t="s">
        <v>37</v>
      </c>
      <c r="Q387" t="s">
        <v>76</v>
      </c>
      <c r="T387" s="2">
        <v>1</v>
      </c>
      <c r="U387" s="2">
        <v>1</v>
      </c>
      <c r="V387" s="2">
        <v>1</v>
      </c>
      <c r="W387" s="2">
        <v>1</v>
      </c>
      <c r="X387" s="2">
        <v>1</v>
      </c>
      <c r="Y387" s="2">
        <v>1</v>
      </c>
      <c r="Z387" s="2">
        <v>0</v>
      </c>
      <c r="AA387" s="2">
        <v>1</v>
      </c>
      <c r="AB387">
        <v>0.6</v>
      </c>
      <c r="AC387">
        <v>9.0207999999999995</v>
      </c>
    </row>
    <row r="388" spans="1:29">
      <c r="A388" s="2">
        <v>820</v>
      </c>
      <c r="B388" s="2">
        <v>252800923</v>
      </c>
      <c r="C388" s="2">
        <v>252800923</v>
      </c>
      <c r="D388" t="s">
        <v>954</v>
      </c>
      <c r="E388" t="s">
        <v>955</v>
      </c>
      <c r="F388" t="s">
        <v>875</v>
      </c>
      <c r="G388" s="3">
        <v>20.88</v>
      </c>
      <c r="H388" s="2">
        <v>0</v>
      </c>
      <c r="I388" s="2">
        <v>0</v>
      </c>
      <c r="J388" s="2">
        <v>0</v>
      </c>
      <c r="K388" s="6">
        <f t="shared" si="13"/>
        <v>20.88</v>
      </c>
      <c r="L388" s="7">
        <v>0.59</v>
      </c>
      <c r="M388" s="10">
        <f t="shared" ref="M388:M451" si="14">+K388/L388</f>
        <v>35.389830508474574</v>
      </c>
      <c r="N388" t="s">
        <v>57</v>
      </c>
      <c r="O388" t="s">
        <v>57</v>
      </c>
      <c r="P388" t="s">
        <v>57</v>
      </c>
      <c r="Q388" t="s">
        <v>58</v>
      </c>
      <c r="T388" s="2">
        <v>1</v>
      </c>
      <c r="U388" s="2">
        <v>1</v>
      </c>
      <c r="V388" s="2">
        <v>1</v>
      </c>
      <c r="W388" s="2">
        <v>1</v>
      </c>
      <c r="X388" s="2">
        <v>1</v>
      </c>
      <c r="Y388" s="2">
        <v>1</v>
      </c>
      <c r="Z388" s="2">
        <v>0</v>
      </c>
      <c r="AA388" s="2">
        <v>1</v>
      </c>
      <c r="AB388" s="2">
        <v>0</v>
      </c>
      <c r="AC388" s="2">
        <v>0</v>
      </c>
    </row>
    <row r="389" spans="1:29">
      <c r="A389" s="2">
        <v>821</v>
      </c>
      <c r="B389" s="2">
        <v>252800924</v>
      </c>
      <c r="C389" s="2">
        <v>252800924</v>
      </c>
      <c r="D389" t="s">
        <v>956</v>
      </c>
      <c r="E389" t="s">
        <v>957</v>
      </c>
      <c r="F389" t="s">
        <v>875</v>
      </c>
      <c r="G389" s="3">
        <v>20.88</v>
      </c>
      <c r="H389" s="2">
        <v>0</v>
      </c>
      <c r="I389" s="2">
        <v>0</v>
      </c>
      <c r="J389" s="2">
        <v>0</v>
      </c>
      <c r="K389" s="6">
        <f t="shared" si="13"/>
        <v>20.88</v>
      </c>
      <c r="L389" s="7">
        <v>0.59</v>
      </c>
      <c r="M389" s="10">
        <f t="shared" si="14"/>
        <v>35.389830508474574</v>
      </c>
      <c r="N389" t="s">
        <v>57</v>
      </c>
      <c r="O389" t="s">
        <v>57</v>
      </c>
      <c r="P389" t="s">
        <v>57</v>
      </c>
      <c r="Q389" t="s">
        <v>94</v>
      </c>
      <c r="T389" s="2">
        <v>1</v>
      </c>
      <c r="U389" s="2">
        <v>12</v>
      </c>
      <c r="V389" s="2">
        <v>1</v>
      </c>
      <c r="W389" s="2">
        <v>1</v>
      </c>
      <c r="X389" s="2">
        <v>1</v>
      </c>
      <c r="Y389" s="2">
        <v>0</v>
      </c>
      <c r="Z389" s="2">
        <v>0</v>
      </c>
      <c r="AA389" s="2">
        <v>1</v>
      </c>
      <c r="AB389" s="2">
        <v>0</v>
      </c>
      <c r="AC389" s="2">
        <v>0</v>
      </c>
    </row>
    <row r="390" spans="1:29">
      <c r="A390" s="2">
        <v>321</v>
      </c>
      <c r="B390" s="2">
        <v>252800621</v>
      </c>
      <c r="C390" s="2">
        <v>252800621</v>
      </c>
      <c r="D390" t="s">
        <v>946</v>
      </c>
      <c r="E390" t="s">
        <v>947</v>
      </c>
      <c r="F390" t="s">
        <v>304</v>
      </c>
      <c r="G390" s="3">
        <v>20.89</v>
      </c>
      <c r="H390" s="2">
        <v>0</v>
      </c>
      <c r="I390" s="2">
        <v>0</v>
      </c>
      <c r="J390" s="2">
        <v>0</v>
      </c>
      <c r="K390" s="6">
        <f t="shared" si="13"/>
        <v>20.89</v>
      </c>
      <c r="L390" s="7">
        <v>0.55000000000000004</v>
      </c>
      <c r="M390" s="10">
        <f t="shared" si="14"/>
        <v>37.981818181818177</v>
      </c>
      <c r="N390" t="s">
        <v>57</v>
      </c>
      <c r="O390" t="s">
        <v>57</v>
      </c>
      <c r="P390" t="s">
        <v>57</v>
      </c>
      <c r="Q390" t="s">
        <v>58</v>
      </c>
      <c r="R390" t="s">
        <v>59</v>
      </c>
      <c r="T390" s="2">
        <v>1</v>
      </c>
      <c r="U390" s="2">
        <v>1</v>
      </c>
      <c r="V390" s="2">
        <v>1</v>
      </c>
      <c r="W390" s="2">
        <v>1</v>
      </c>
      <c r="X390" s="2">
        <v>1</v>
      </c>
      <c r="Y390" s="2">
        <v>1</v>
      </c>
      <c r="Z390" s="2">
        <v>0</v>
      </c>
      <c r="AA390" s="2">
        <v>1</v>
      </c>
      <c r="AB390" s="2">
        <v>0</v>
      </c>
      <c r="AC390" s="2">
        <v>0</v>
      </c>
    </row>
    <row r="391" spans="1:29">
      <c r="A391" s="2">
        <v>90</v>
      </c>
      <c r="B391" s="2">
        <v>241250318</v>
      </c>
      <c r="C391" s="2">
        <v>241250318</v>
      </c>
      <c r="D391" t="s">
        <v>287</v>
      </c>
      <c r="E391" s="2">
        <v>2112349</v>
      </c>
      <c r="F391" t="s">
        <v>288</v>
      </c>
      <c r="G391" s="3">
        <f>+VLOOKUP(B391,'[1]master_prod_15todos(30-11-2 (2)'!$B$2:$AF$470,31,FALSE)</f>
        <v>21.24</v>
      </c>
      <c r="H391" s="2">
        <v>0</v>
      </c>
      <c r="I391" s="2">
        <v>0</v>
      </c>
      <c r="J391" s="2">
        <v>0</v>
      </c>
      <c r="K391" s="6">
        <f t="shared" si="13"/>
        <v>21.24</v>
      </c>
      <c r="L391" s="7">
        <f>+VLOOKUP(B391,'[1]master_prod_15todos(30-11-2 (2)'!$B$2:$AG$470,32,FALSE)</f>
        <v>0.9</v>
      </c>
      <c r="M391" s="10">
        <f t="shared" si="14"/>
        <v>23.599999999999998</v>
      </c>
      <c r="N391" t="s">
        <v>62</v>
      </c>
      <c r="O391" t="s">
        <v>62</v>
      </c>
      <c r="P391" t="s">
        <v>62</v>
      </c>
      <c r="Q391" t="s">
        <v>58</v>
      </c>
      <c r="R391" t="s">
        <v>59</v>
      </c>
      <c r="T391" s="2">
        <v>1</v>
      </c>
      <c r="U391" s="2">
        <v>1</v>
      </c>
      <c r="V391" s="2">
        <v>1</v>
      </c>
      <c r="W391" s="2">
        <v>1</v>
      </c>
      <c r="X391" s="2">
        <v>1</v>
      </c>
      <c r="Y391" s="2">
        <v>1</v>
      </c>
      <c r="Z391" s="2">
        <v>0</v>
      </c>
      <c r="AA391" s="2">
        <v>1</v>
      </c>
      <c r="AB391" s="2">
        <v>0</v>
      </c>
      <c r="AC391" s="2">
        <v>0</v>
      </c>
    </row>
    <row r="392" spans="1:29">
      <c r="A392" s="2">
        <v>586</v>
      </c>
      <c r="B392" s="2">
        <v>241250320</v>
      </c>
      <c r="C392" s="2">
        <v>241250320</v>
      </c>
      <c r="D392" t="s">
        <v>291</v>
      </c>
      <c r="E392" s="2">
        <v>4002782</v>
      </c>
      <c r="F392" t="s">
        <v>292</v>
      </c>
      <c r="G392" s="3">
        <f>+VLOOKUP(B392,'[1]master_prod_15todos(30-11-2 (2)'!$B$2:$AF$470,31,FALSE)</f>
        <v>21.24</v>
      </c>
      <c r="H392" s="2">
        <v>0</v>
      </c>
      <c r="I392" s="2">
        <v>0</v>
      </c>
      <c r="J392" s="2">
        <v>0</v>
      </c>
      <c r="K392" s="6">
        <f t="shared" si="13"/>
        <v>21.24</v>
      </c>
      <c r="L392" s="7">
        <f>+VLOOKUP(B392,'[1]master_prod_15todos(30-11-2 (2)'!$B$2:$AG$470,32,FALSE)</f>
        <v>0.9</v>
      </c>
      <c r="M392" s="10">
        <f t="shared" si="14"/>
        <v>23.599999999999998</v>
      </c>
      <c r="N392" t="s">
        <v>57</v>
      </c>
      <c r="O392" t="s">
        <v>57</v>
      </c>
      <c r="P392" t="s">
        <v>57</v>
      </c>
      <c r="Q392" t="s">
        <v>58</v>
      </c>
      <c r="R392" t="s">
        <v>59</v>
      </c>
      <c r="T392" s="2">
        <v>1</v>
      </c>
      <c r="U392" s="2">
        <v>1</v>
      </c>
      <c r="V392" s="2">
        <v>1</v>
      </c>
      <c r="W392" s="2">
        <v>1</v>
      </c>
      <c r="X392" s="2">
        <v>1</v>
      </c>
      <c r="Y392" s="2">
        <v>1</v>
      </c>
      <c r="Z392" s="2">
        <v>0</v>
      </c>
      <c r="AA392" s="2">
        <v>1</v>
      </c>
      <c r="AB392" s="2">
        <v>0</v>
      </c>
      <c r="AC392" s="2">
        <v>0</v>
      </c>
    </row>
    <row r="393" spans="1:29">
      <c r="A393" s="2">
        <v>91</v>
      </c>
      <c r="B393" t="s">
        <v>1132</v>
      </c>
      <c r="C393" t="s">
        <v>1132</v>
      </c>
      <c r="D393" t="s">
        <v>1137</v>
      </c>
      <c r="E393" s="2">
        <v>4002782</v>
      </c>
      <c r="F393" t="s">
        <v>292</v>
      </c>
      <c r="G393" s="3">
        <v>21.24</v>
      </c>
      <c r="H393" s="2">
        <v>0</v>
      </c>
      <c r="I393" s="2">
        <v>0</v>
      </c>
      <c r="J393" s="2">
        <v>0</v>
      </c>
      <c r="K393" s="6">
        <f t="shared" si="13"/>
        <v>21.24</v>
      </c>
      <c r="L393" s="7">
        <v>0.6</v>
      </c>
      <c r="M393" s="10">
        <f t="shared" si="14"/>
        <v>35.4</v>
      </c>
      <c r="N393" t="s">
        <v>62</v>
      </c>
      <c r="O393" t="s">
        <v>62</v>
      </c>
      <c r="P393" t="s">
        <v>882</v>
      </c>
      <c r="Q393" t="s">
        <v>58</v>
      </c>
      <c r="R393" t="s">
        <v>883</v>
      </c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2">
        <v>1</v>
      </c>
      <c r="Z393" s="2">
        <v>0</v>
      </c>
      <c r="AA393" s="2">
        <v>1</v>
      </c>
      <c r="AB393" s="2">
        <v>0</v>
      </c>
      <c r="AC393" s="2">
        <v>0</v>
      </c>
    </row>
    <row r="394" spans="1:29">
      <c r="A394" s="2">
        <v>120</v>
      </c>
      <c r="B394" s="2">
        <v>241950102</v>
      </c>
      <c r="C394" s="2">
        <v>241950102</v>
      </c>
      <c r="D394" t="s">
        <v>338</v>
      </c>
      <c r="E394" t="s">
        <v>339</v>
      </c>
      <c r="F394" t="s">
        <v>340</v>
      </c>
      <c r="G394" s="3">
        <f>+VLOOKUP(B394,'[1]master_prod_15todos(30-11-2 (2)'!$B$2:$AF$470,31,FALSE)</f>
        <v>21.875</v>
      </c>
      <c r="H394" s="2">
        <v>0</v>
      </c>
      <c r="I394" s="2">
        <v>0</v>
      </c>
      <c r="J394" s="2">
        <v>0</v>
      </c>
      <c r="K394" s="6">
        <f t="shared" si="13"/>
        <v>21.875</v>
      </c>
      <c r="L394" s="7">
        <f>+VLOOKUP(B394,'[1]master_prod_15todos(30-11-2 (2)'!$B$2:$AG$470,32,FALSE)</f>
        <v>0.85</v>
      </c>
      <c r="M394" s="10">
        <f t="shared" si="14"/>
        <v>25.735294117647058</v>
      </c>
      <c r="N394" t="s">
        <v>62</v>
      </c>
      <c r="O394" t="s">
        <v>62</v>
      </c>
      <c r="P394" t="s">
        <v>62</v>
      </c>
      <c r="Q394" t="s">
        <v>58</v>
      </c>
      <c r="R394" t="s">
        <v>59</v>
      </c>
      <c r="T394" s="2">
        <v>1</v>
      </c>
      <c r="U394" s="2">
        <v>1</v>
      </c>
      <c r="V394" s="2">
        <v>1</v>
      </c>
      <c r="W394" s="2">
        <v>1</v>
      </c>
      <c r="X394" s="2">
        <v>1</v>
      </c>
      <c r="Y394" s="2">
        <v>1</v>
      </c>
      <c r="Z394" s="2">
        <v>0</v>
      </c>
      <c r="AA394" s="2">
        <v>1</v>
      </c>
      <c r="AB394" s="2">
        <v>0</v>
      </c>
      <c r="AC394" s="2">
        <v>0</v>
      </c>
    </row>
    <row r="395" spans="1:29">
      <c r="A395" s="2">
        <v>715</v>
      </c>
      <c r="B395" s="2">
        <v>241950217</v>
      </c>
      <c r="C395" s="2">
        <v>241950217</v>
      </c>
      <c r="D395" t="s">
        <v>356</v>
      </c>
      <c r="E395" t="s">
        <v>357</v>
      </c>
      <c r="F395" t="s">
        <v>340</v>
      </c>
      <c r="G395" s="3">
        <f>+VLOOKUP(B395,'[1]master_prod_15todos(30-11-2 (2)'!$B$2:$AF$470,31,FALSE)</f>
        <v>21.875</v>
      </c>
      <c r="H395" s="2">
        <v>0</v>
      </c>
      <c r="I395" s="2">
        <v>0</v>
      </c>
      <c r="J395" s="2">
        <v>0</v>
      </c>
      <c r="K395" s="6">
        <f t="shared" si="13"/>
        <v>21.875</v>
      </c>
      <c r="L395" s="7">
        <f>+VLOOKUP(B395,'[1]master_prod_15todos(30-11-2 (2)'!$B$2:$AG$470,32,FALSE)</f>
        <v>0.8</v>
      </c>
      <c r="M395" s="10">
        <f t="shared" si="14"/>
        <v>27.34375</v>
      </c>
      <c r="N395" t="s">
        <v>62</v>
      </c>
      <c r="O395" t="s">
        <v>62</v>
      </c>
      <c r="P395" t="s">
        <v>62</v>
      </c>
      <c r="Q395" t="s">
        <v>58</v>
      </c>
      <c r="R395" t="s">
        <v>888</v>
      </c>
      <c r="T395" s="2">
        <v>1</v>
      </c>
      <c r="U395" s="2">
        <v>36</v>
      </c>
      <c r="V395" s="2">
        <v>1</v>
      </c>
      <c r="W395" s="2">
        <v>1</v>
      </c>
      <c r="X395" s="2">
        <v>1</v>
      </c>
      <c r="Y395" s="2">
        <v>1</v>
      </c>
      <c r="Z395" s="2">
        <v>0</v>
      </c>
      <c r="AA395" s="2">
        <v>1</v>
      </c>
      <c r="AB395" s="2">
        <v>0</v>
      </c>
      <c r="AC395" s="2">
        <v>0</v>
      </c>
    </row>
    <row r="396" spans="1:29">
      <c r="A396" s="2">
        <v>776</v>
      </c>
      <c r="B396" s="2">
        <v>252800950</v>
      </c>
      <c r="C396" s="2">
        <v>252800950</v>
      </c>
      <c r="D396" t="s">
        <v>1008</v>
      </c>
      <c r="E396" t="s">
        <v>1009</v>
      </c>
      <c r="F396" t="s">
        <v>875</v>
      </c>
      <c r="G396">
        <v>22.8</v>
      </c>
      <c r="H396" s="2">
        <v>0</v>
      </c>
      <c r="I396" s="2">
        <v>0</v>
      </c>
      <c r="J396" s="2">
        <v>0</v>
      </c>
      <c r="K396" s="6">
        <f t="shared" si="13"/>
        <v>22.8</v>
      </c>
      <c r="L396" s="7">
        <v>0.6</v>
      </c>
      <c r="M396" s="10">
        <f t="shared" si="14"/>
        <v>38</v>
      </c>
      <c r="N396" t="s">
        <v>62</v>
      </c>
      <c r="O396" t="s">
        <v>62</v>
      </c>
      <c r="P396" t="s">
        <v>62</v>
      </c>
      <c r="Q396" t="s">
        <v>58</v>
      </c>
      <c r="R396" t="s">
        <v>889</v>
      </c>
      <c r="T396" s="2">
        <v>1</v>
      </c>
      <c r="U396" s="2">
        <v>36</v>
      </c>
      <c r="V396" s="2">
        <v>36</v>
      </c>
      <c r="W396" s="2">
        <v>1</v>
      </c>
      <c r="X396" s="2">
        <v>1</v>
      </c>
      <c r="Y396" s="2">
        <v>0</v>
      </c>
      <c r="Z396" s="2">
        <v>0</v>
      </c>
      <c r="AA396" s="2">
        <v>1</v>
      </c>
      <c r="AB396" s="2">
        <v>0</v>
      </c>
      <c r="AC396" s="2">
        <v>0</v>
      </c>
    </row>
    <row r="397" spans="1:29">
      <c r="A397" s="2">
        <v>759</v>
      </c>
      <c r="B397" t="s">
        <v>1132</v>
      </c>
      <c r="C397" t="s">
        <v>1132</v>
      </c>
      <c r="D397" t="s">
        <v>1190</v>
      </c>
      <c r="E397" t="s">
        <v>1009</v>
      </c>
      <c r="F397" t="s">
        <v>875</v>
      </c>
      <c r="G397">
        <v>22.8</v>
      </c>
      <c r="H397" s="2">
        <v>0</v>
      </c>
      <c r="I397" s="2">
        <v>0</v>
      </c>
      <c r="J397" s="2">
        <v>0</v>
      </c>
      <c r="K397" s="6">
        <f t="shared" si="13"/>
        <v>22.8</v>
      </c>
      <c r="L397" s="7">
        <v>0.6</v>
      </c>
      <c r="M397" s="10">
        <f t="shared" si="14"/>
        <v>38</v>
      </c>
      <c r="N397" t="s">
        <v>40</v>
      </c>
      <c r="O397" t="s">
        <v>40</v>
      </c>
      <c r="P397" t="s">
        <v>40</v>
      </c>
      <c r="Q397" t="s">
        <v>58</v>
      </c>
      <c r="R397" t="s">
        <v>893</v>
      </c>
      <c r="T397" s="2">
        <v>1</v>
      </c>
      <c r="U397" s="2">
        <v>24</v>
      </c>
      <c r="V397" s="2">
        <v>1</v>
      </c>
      <c r="W397" s="2">
        <v>1</v>
      </c>
      <c r="X397" s="2">
        <v>1</v>
      </c>
      <c r="Y397" s="2">
        <v>1</v>
      </c>
      <c r="Z397" s="2">
        <v>0</v>
      </c>
      <c r="AA397" s="2">
        <v>1</v>
      </c>
      <c r="AB397" s="2">
        <v>0</v>
      </c>
      <c r="AC397" s="2">
        <v>0</v>
      </c>
    </row>
    <row r="398" spans="1:29">
      <c r="A398" s="2">
        <v>119</v>
      </c>
      <c r="B398" s="2">
        <v>241951202</v>
      </c>
      <c r="C398" s="2">
        <v>241951202</v>
      </c>
      <c r="D398" t="s">
        <v>364</v>
      </c>
      <c r="E398" t="s">
        <v>365</v>
      </c>
      <c r="F398" t="s">
        <v>340</v>
      </c>
      <c r="G398" s="3">
        <f>+VLOOKUP(B398,'[1]master_prod_15todos(30-11-2 (2)'!$B$2:$AF$470,31,FALSE)</f>
        <v>23.026299999999999</v>
      </c>
      <c r="H398" s="2">
        <v>0</v>
      </c>
      <c r="I398" s="2">
        <v>0</v>
      </c>
      <c r="J398" s="2">
        <v>0</v>
      </c>
      <c r="K398" s="6">
        <f t="shared" si="13"/>
        <v>23.026299999999999</v>
      </c>
      <c r="L398" s="7">
        <f>+VLOOKUP(B398,'[1]master_prod_15todos(30-11-2 (2)'!$B$2:$AG$470,32,FALSE)</f>
        <v>0.85</v>
      </c>
      <c r="M398" s="10">
        <f t="shared" si="14"/>
        <v>27.089764705882352</v>
      </c>
      <c r="O398" t="s">
        <v>62</v>
      </c>
      <c r="Q398" t="s">
        <v>58</v>
      </c>
      <c r="T398" s="2">
        <v>1</v>
      </c>
      <c r="U398" s="2">
        <v>1</v>
      </c>
      <c r="V398" s="2">
        <v>1</v>
      </c>
      <c r="W398" s="2">
        <v>1</v>
      </c>
      <c r="X398" s="2">
        <v>1</v>
      </c>
      <c r="Y398" s="2">
        <v>1</v>
      </c>
      <c r="Z398" s="2">
        <v>0</v>
      </c>
      <c r="AA398" s="2">
        <v>0</v>
      </c>
      <c r="AB398" s="2">
        <v>0</v>
      </c>
      <c r="AC398" s="2">
        <v>0</v>
      </c>
    </row>
    <row r="399" spans="1:29">
      <c r="A399" s="2">
        <v>590</v>
      </c>
      <c r="B399" s="2">
        <v>240900101</v>
      </c>
      <c r="C399" s="2">
        <v>240900101</v>
      </c>
      <c r="D399" t="s">
        <v>242</v>
      </c>
      <c r="E399" s="2">
        <v>5367</v>
      </c>
      <c r="F399" t="s">
        <v>89</v>
      </c>
      <c r="G399" s="3">
        <f>+VLOOKUP(B399,'[1]master_prod_15todos(30-11-2 (2)'!$B$2:$AF$470,31,FALSE)</f>
        <v>23.12</v>
      </c>
      <c r="H399" s="2">
        <v>0</v>
      </c>
      <c r="I399" s="2">
        <v>0</v>
      </c>
      <c r="J399" s="2">
        <v>0</v>
      </c>
      <c r="K399" s="6">
        <f t="shared" si="13"/>
        <v>23.12</v>
      </c>
      <c r="L399" s="7">
        <f>+VLOOKUP(B399,'[1]master_prod_15todos(30-11-2 (2)'!$B$2:$AG$470,32,FALSE)</f>
        <v>0.8</v>
      </c>
      <c r="M399" s="10">
        <f t="shared" si="14"/>
        <v>28.9</v>
      </c>
      <c r="N399" t="s">
        <v>62</v>
      </c>
      <c r="O399" t="s">
        <v>62</v>
      </c>
      <c r="P399" t="s">
        <v>62</v>
      </c>
      <c r="Q399" t="s">
        <v>58</v>
      </c>
      <c r="R399" t="s">
        <v>59</v>
      </c>
      <c r="T399" s="2">
        <v>1</v>
      </c>
      <c r="U399" s="2">
        <v>1</v>
      </c>
      <c r="V399" s="2">
        <v>1</v>
      </c>
      <c r="W399" s="2">
        <v>1</v>
      </c>
      <c r="X399" s="2">
        <v>1</v>
      </c>
      <c r="Y399" s="2">
        <v>1</v>
      </c>
      <c r="Z399" s="2">
        <v>0</v>
      </c>
      <c r="AA399" s="2">
        <v>0</v>
      </c>
      <c r="AB399" s="2">
        <v>0</v>
      </c>
      <c r="AC399" s="2">
        <v>0</v>
      </c>
    </row>
    <row r="400" spans="1:29">
      <c r="A400" s="2">
        <v>128</v>
      </c>
      <c r="B400" s="2">
        <v>251950906</v>
      </c>
      <c r="C400" s="2">
        <v>251950906</v>
      </c>
      <c r="D400" t="s">
        <v>800</v>
      </c>
      <c r="E400" t="s">
        <v>801</v>
      </c>
      <c r="F400" t="s">
        <v>361</v>
      </c>
      <c r="G400" s="3">
        <v>23.75</v>
      </c>
      <c r="H400" s="2">
        <v>0</v>
      </c>
      <c r="I400" s="2">
        <v>0</v>
      </c>
      <c r="J400" s="2">
        <v>0</v>
      </c>
      <c r="K400" s="6">
        <f t="shared" si="13"/>
        <v>23.75</v>
      </c>
      <c r="L400" s="7">
        <v>6.25E-2</v>
      </c>
      <c r="M400" s="10">
        <f t="shared" si="14"/>
        <v>380</v>
      </c>
      <c r="N400" t="s">
        <v>245</v>
      </c>
      <c r="O400" t="s">
        <v>245</v>
      </c>
      <c r="P400" t="s">
        <v>37</v>
      </c>
      <c r="Q400" t="s">
        <v>58</v>
      </c>
      <c r="R400" t="s">
        <v>898</v>
      </c>
      <c r="T400" s="2">
        <v>1</v>
      </c>
      <c r="U400" s="2">
        <v>6</v>
      </c>
      <c r="V400" s="2">
        <v>1</v>
      </c>
      <c r="W400" s="2">
        <v>1</v>
      </c>
      <c r="X400" s="2">
        <v>1</v>
      </c>
      <c r="Y400" s="2">
        <v>1</v>
      </c>
      <c r="Z400" s="2">
        <v>0</v>
      </c>
      <c r="AA400" s="2">
        <v>1</v>
      </c>
      <c r="AB400" s="2">
        <v>0</v>
      </c>
      <c r="AC400" s="2">
        <v>0</v>
      </c>
    </row>
    <row r="401" spans="1:29">
      <c r="A401" s="2">
        <v>615</v>
      </c>
      <c r="B401" s="2">
        <v>252650045</v>
      </c>
      <c r="C401" s="2">
        <v>252650045</v>
      </c>
      <c r="D401" t="s">
        <v>872</v>
      </c>
      <c r="E401" s="2">
        <v>8886261753</v>
      </c>
      <c r="F401" t="s">
        <v>75</v>
      </c>
      <c r="G401" s="3">
        <v>24.13</v>
      </c>
      <c r="H401" s="2">
        <v>0</v>
      </c>
      <c r="I401" s="2">
        <v>0</v>
      </c>
      <c r="J401" s="2">
        <v>0</v>
      </c>
      <c r="K401" s="6">
        <f t="shared" si="13"/>
        <v>24.13</v>
      </c>
      <c r="L401" s="7">
        <v>0.55000000000000004</v>
      </c>
      <c r="M401" s="10">
        <f t="shared" si="14"/>
        <v>43.872727272727268</v>
      </c>
      <c r="N401" t="s">
        <v>40</v>
      </c>
      <c r="O401" t="s">
        <v>40</v>
      </c>
      <c r="P401" t="s">
        <v>40</v>
      </c>
      <c r="Q401" t="s">
        <v>58</v>
      </c>
      <c r="R401" t="s">
        <v>59</v>
      </c>
      <c r="T401" s="2">
        <v>24</v>
      </c>
      <c r="U401" s="2">
        <v>24</v>
      </c>
      <c r="V401" s="2">
        <v>24</v>
      </c>
      <c r="W401" s="2">
        <v>1</v>
      </c>
      <c r="X401" s="2">
        <v>0</v>
      </c>
      <c r="Y401" s="2">
        <v>1</v>
      </c>
      <c r="Z401" s="2">
        <v>0</v>
      </c>
      <c r="AA401" s="2">
        <v>1</v>
      </c>
      <c r="AB401" s="2">
        <v>0</v>
      </c>
      <c r="AC401" s="2">
        <v>0</v>
      </c>
    </row>
    <row r="402" spans="1:29">
      <c r="A402" s="2">
        <v>114</v>
      </c>
      <c r="B402" s="2">
        <v>240450305</v>
      </c>
      <c r="C402" s="2">
        <v>240450305</v>
      </c>
      <c r="D402" t="s">
        <v>88</v>
      </c>
      <c r="E402" s="2">
        <v>1685</v>
      </c>
      <c r="F402" t="s">
        <v>89</v>
      </c>
      <c r="G402" s="3">
        <f>+VLOOKUP(B402,'[1]master_prod_15todos(30-11-2 (2)'!$B$2:$AF$470,31,FALSE)</f>
        <v>24.389500000000002</v>
      </c>
      <c r="H402" s="2">
        <v>0</v>
      </c>
      <c r="I402" s="2">
        <v>0</v>
      </c>
      <c r="J402" s="2">
        <v>0</v>
      </c>
      <c r="K402" s="6">
        <f t="shared" si="13"/>
        <v>24.389500000000002</v>
      </c>
      <c r="L402" s="7">
        <f>+VLOOKUP(B402,'[1]master_prod_15todos(30-11-2 (2)'!$B$2:$AG$470,32,FALSE)</f>
        <v>0.8</v>
      </c>
      <c r="M402" s="10">
        <f t="shared" si="14"/>
        <v>30.486875000000001</v>
      </c>
      <c r="O402" t="s">
        <v>345</v>
      </c>
      <c r="Q402" t="s">
        <v>66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>
      <c r="A403" s="2">
        <v>115</v>
      </c>
      <c r="B403" s="2">
        <v>272100150</v>
      </c>
      <c r="C403" s="2">
        <v>272100150</v>
      </c>
      <c r="D403" t="s">
        <v>1111</v>
      </c>
      <c r="E403" t="s">
        <v>1112</v>
      </c>
      <c r="F403" t="s">
        <v>384</v>
      </c>
      <c r="G403" s="2">
        <v>25</v>
      </c>
      <c r="H403" s="2">
        <v>0</v>
      </c>
      <c r="I403" s="2">
        <v>0</v>
      </c>
      <c r="J403" s="2">
        <v>0</v>
      </c>
      <c r="K403" s="6">
        <f t="shared" si="13"/>
        <v>25</v>
      </c>
      <c r="L403" s="7">
        <v>0.46000022080010999</v>
      </c>
      <c r="M403" s="10">
        <f t="shared" si="14"/>
        <v>54.347799999999523</v>
      </c>
      <c r="N403" t="s">
        <v>62</v>
      </c>
      <c r="O403" t="s">
        <v>62</v>
      </c>
      <c r="P403" t="s">
        <v>62</v>
      </c>
      <c r="Q403" t="s">
        <v>94</v>
      </c>
      <c r="R403" t="s">
        <v>905</v>
      </c>
      <c r="T403" s="2">
        <v>1</v>
      </c>
      <c r="U403" s="2">
        <v>36</v>
      </c>
      <c r="V403" s="2">
        <v>1</v>
      </c>
      <c r="W403" s="2">
        <v>1</v>
      </c>
      <c r="X403" s="2">
        <v>1</v>
      </c>
      <c r="Y403" s="2">
        <v>1</v>
      </c>
      <c r="Z403" s="2">
        <v>0</v>
      </c>
      <c r="AA403" s="2">
        <v>1</v>
      </c>
      <c r="AB403" s="2">
        <v>0</v>
      </c>
      <c r="AC403" s="2">
        <v>0</v>
      </c>
    </row>
    <row r="404" spans="1:29">
      <c r="A404" s="2">
        <v>724</v>
      </c>
      <c r="B404" s="2">
        <v>252800426</v>
      </c>
      <c r="C404" s="2">
        <v>252800426</v>
      </c>
      <c r="D404" t="s">
        <v>935</v>
      </c>
      <c r="E404" t="s">
        <v>936</v>
      </c>
      <c r="F404" t="s">
        <v>875</v>
      </c>
      <c r="G404">
        <v>25.2</v>
      </c>
      <c r="H404" s="2">
        <v>0</v>
      </c>
      <c r="I404" s="2">
        <v>0</v>
      </c>
      <c r="J404" s="2">
        <v>0</v>
      </c>
      <c r="K404" s="6">
        <f t="shared" si="13"/>
        <v>25.2</v>
      </c>
      <c r="L404" s="7">
        <v>0.6</v>
      </c>
      <c r="M404" s="10">
        <f t="shared" si="14"/>
        <v>42</v>
      </c>
      <c r="N404" t="s">
        <v>62</v>
      </c>
      <c r="O404" t="s">
        <v>62</v>
      </c>
      <c r="P404" t="s">
        <v>62</v>
      </c>
      <c r="Q404" t="s">
        <v>58</v>
      </c>
      <c r="R404" t="s">
        <v>59</v>
      </c>
      <c r="T404" s="2">
        <v>1</v>
      </c>
      <c r="U404" s="2">
        <v>1</v>
      </c>
      <c r="V404" s="2">
        <v>1</v>
      </c>
      <c r="W404" s="2">
        <v>1</v>
      </c>
      <c r="X404" s="2">
        <v>1</v>
      </c>
      <c r="Y404" s="2">
        <v>1</v>
      </c>
      <c r="Z404" s="2">
        <v>0</v>
      </c>
      <c r="AA404" s="2">
        <v>1</v>
      </c>
      <c r="AB404" s="2">
        <v>0</v>
      </c>
      <c r="AC404" s="2">
        <v>0</v>
      </c>
    </row>
    <row r="405" spans="1:29">
      <c r="A405" s="2">
        <v>145</v>
      </c>
      <c r="B405" s="2">
        <v>242200701</v>
      </c>
      <c r="C405" s="2">
        <v>242200701</v>
      </c>
      <c r="D405" t="s">
        <v>402</v>
      </c>
      <c r="E405" s="2">
        <v>2050</v>
      </c>
      <c r="F405" t="s">
        <v>403</v>
      </c>
      <c r="G405" s="3">
        <f>+VLOOKUP(B405,'[1]master_prod_15todos(30-11-2 (2)'!$B$2:$AF$470,31,FALSE)</f>
        <v>26</v>
      </c>
      <c r="H405" s="2">
        <v>0</v>
      </c>
      <c r="I405" s="2">
        <v>0</v>
      </c>
      <c r="J405" s="2">
        <v>0</v>
      </c>
      <c r="K405" s="6">
        <f t="shared" si="13"/>
        <v>26</v>
      </c>
      <c r="L405" s="7">
        <f>+VLOOKUP(B405,'[1]master_prod_15todos(30-11-2 (2)'!$B$2:$AG$470,32,FALSE)</f>
        <v>0.82330000000000003</v>
      </c>
      <c r="M405" s="10">
        <f t="shared" si="14"/>
        <v>31.580225920077734</v>
      </c>
      <c r="N405" t="s">
        <v>40</v>
      </c>
      <c r="O405" t="s">
        <v>40</v>
      </c>
      <c r="P405" t="s">
        <v>40</v>
      </c>
      <c r="Q405" t="s">
        <v>58</v>
      </c>
      <c r="R405" t="s">
        <v>59</v>
      </c>
      <c r="T405" s="2">
        <v>1</v>
      </c>
      <c r="U405" s="2">
        <v>1</v>
      </c>
      <c r="V405" s="2">
        <v>1</v>
      </c>
      <c r="W405" s="2">
        <v>1</v>
      </c>
      <c r="X405" s="2">
        <v>1</v>
      </c>
      <c r="Y405" s="2">
        <v>1</v>
      </c>
      <c r="Z405" s="2">
        <v>0</v>
      </c>
      <c r="AA405" s="2">
        <v>1</v>
      </c>
      <c r="AB405" s="2">
        <v>0</v>
      </c>
      <c r="AC405" s="2">
        <v>0</v>
      </c>
    </row>
    <row r="406" spans="1:29">
      <c r="A406" s="2">
        <v>144</v>
      </c>
      <c r="B406" s="2">
        <v>242200702</v>
      </c>
      <c r="C406" s="2">
        <v>242200702</v>
      </c>
      <c r="D406" t="s">
        <v>406</v>
      </c>
      <c r="E406" s="2">
        <v>2050</v>
      </c>
      <c r="F406" t="s">
        <v>403</v>
      </c>
      <c r="G406" s="3">
        <f>+VLOOKUP(B406,'[1]master_prod_15todos(30-11-2 (2)'!$B$2:$AF$470,31,FALSE)</f>
        <v>26</v>
      </c>
      <c r="H406" s="2">
        <v>0</v>
      </c>
      <c r="I406" s="2">
        <v>0</v>
      </c>
      <c r="J406" s="2">
        <v>0</v>
      </c>
      <c r="K406" s="6">
        <f t="shared" si="13"/>
        <v>26</v>
      </c>
      <c r="L406" s="7">
        <f>+VLOOKUP(B406,'[1]master_prod_15todos(30-11-2 (2)'!$B$2:$AG$470,32,FALSE)</f>
        <v>0.82330000000000003</v>
      </c>
      <c r="M406" s="10">
        <f t="shared" si="14"/>
        <v>31.580225920077734</v>
      </c>
      <c r="N406" t="s">
        <v>62</v>
      </c>
      <c r="O406" t="s">
        <v>62</v>
      </c>
      <c r="P406" t="s">
        <v>62</v>
      </c>
      <c r="Q406" t="s">
        <v>58</v>
      </c>
      <c r="R406" t="s">
        <v>911</v>
      </c>
      <c r="T406" s="2">
        <v>1</v>
      </c>
      <c r="U406" s="2">
        <v>1</v>
      </c>
      <c r="V406" s="2">
        <v>1</v>
      </c>
      <c r="W406" s="2">
        <v>1</v>
      </c>
      <c r="X406" s="2">
        <v>1</v>
      </c>
      <c r="Y406" s="2">
        <v>1</v>
      </c>
      <c r="Z406" s="2">
        <v>0</v>
      </c>
      <c r="AA406" s="2">
        <v>1</v>
      </c>
      <c r="AB406" s="2">
        <v>0</v>
      </c>
      <c r="AC406" s="2">
        <v>0</v>
      </c>
    </row>
    <row r="407" spans="1:29">
      <c r="A407" s="2">
        <v>143</v>
      </c>
      <c r="B407" s="2">
        <v>242200703</v>
      </c>
      <c r="C407" s="2">
        <v>242200703</v>
      </c>
      <c r="D407" t="s">
        <v>407</v>
      </c>
      <c r="E407" s="2">
        <v>2050</v>
      </c>
      <c r="F407" t="s">
        <v>403</v>
      </c>
      <c r="G407" s="3">
        <f>+VLOOKUP(B407,'[1]master_prod_15todos(30-11-2 (2)'!$B$2:$AF$470,31,FALSE)</f>
        <v>26</v>
      </c>
      <c r="H407" s="2">
        <v>0</v>
      </c>
      <c r="I407" s="2">
        <v>0</v>
      </c>
      <c r="J407" s="2">
        <v>0</v>
      </c>
      <c r="K407" s="6">
        <f t="shared" si="13"/>
        <v>26</v>
      </c>
      <c r="L407" s="7">
        <f>+VLOOKUP(B407,'[1]master_prod_15todos(30-11-2 (2)'!$B$2:$AG$470,32,FALSE)</f>
        <v>0.82330000000000003</v>
      </c>
      <c r="M407" s="10">
        <f t="shared" si="14"/>
        <v>31.580225920077734</v>
      </c>
      <c r="N407" t="s">
        <v>30</v>
      </c>
      <c r="O407" t="s">
        <v>30</v>
      </c>
      <c r="P407" t="s">
        <v>30</v>
      </c>
      <c r="Q407" t="s">
        <v>260</v>
      </c>
      <c r="R407" t="s">
        <v>261</v>
      </c>
      <c r="T407" s="2">
        <v>1</v>
      </c>
      <c r="U407" s="2">
        <v>1</v>
      </c>
      <c r="V407" s="2">
        <v>1</v>
      </c>
      <c r="W407" s="2">
        <v>1</v>
      </c>
      <c r="X407" s="2">
        <v>0</v>
      </c>
      <c r="Y407" s="2">
        <v>1</v>
      </c>
      <c r="Z407" s="2">
        <v>0</v>
      </c>
      <c r="AA407" s="2">
        <v>1</v>
      </c>
      <c r="AB407" s="2">
        <v>0</v>
      </c>
      <c r="AC407" s="2">
        <v>0</v>
      </c>
    </row>
    <row r="408" spans="1:29">
      <c r="A408" s="2">
        <v>146</v>
      </c>
      <c r="B408" s="2">
        <v>242200704</v>
      </c>
      <c r="C408" s="2">
        <v>242200704</v>
      </c>
      <c r="D408" t="s">
        <v>408</v>
      </c>
      <c r="E408" s="2">
        <v>2050</v>
      </c>
      <c r="F408" t="s">
        <v>403</v>
      </c>
      <c r="G408" s="3">
        <f>+VLOOKUP(B408,'[1]master_prod_15todos(30-11-2 (2)'!$B$2:$AF$470,31,FALSE)</f>
        <v>26</v>
      </c>
      <c r="H408" s="2">
        <v>0</v>
      </c>
      <c r="I408" s="2">
        <v>0</v>
      </c>
      <c r="J408" s="2">
        <v>0</v>
      </c>
      <c r="K408" s="6">
        <f t="shared" si="13"/>
        <v>26</v>
      </c>
      <c r="L408" s="7">
        <f>+VLOOKUP(B408,'[1]master_prod_15todos(30-11-2 (2)'!$B$2:$AG$470,32,FALSE)</f>
        <v>0.82330000000000003</v>
      </c>
      <c r="M408" s="10">
        <f t="shared" si="14"/>
        <v>31.580225920077734</v>
      </c>
      <c r="N408" t="s">
        <v>57</v>
      </c>
      <c r="O408" t="s">
        <v>57</v>
      </c>
      <c r="P408" t="s">
        <v>57</v>
      </c>
      <c r="Q408" t="s">
        <v>58</v>
      </c>
      <c r="R408" t="s">
        <v>916</v>
      </c>
      <c r="T408" s="2">
        <v>1</v>
      </c>
      <c r="U408" s="2">
        <v>12</v>
      </c>
      <c r="V408" s="2">
        <v>1</v>
      </c>
      <c r="W408" s="2">
        <v>1</v>
      </c>
      <c r="X408" s="2">
        <v>1</v>
      </c>
      <c r="Y408" s="2">
        <v>1</v>
      </c>
      <c r="Z408" s="2">
        <v>0</v>
      </c>
      <c r="AA408" s="2">
        <v>1</v>
      </c>
      <c r="AB408" s="2">
        <v>0</v>
      </c>
      <c r="AC408" s="2">
        <v>0</v>
      </c>
    </row>
    <row r="409" spans="1:29">
      <c r="A409" s="2">
        <v>331</v>
      </c>
      <c r="B409" s="2">
        <v>252800419</v>
      </c>
      <c r="C409" s="2">
        <v>252800419</v>
      </c>
      <c r="D409" t="s">
        <v>933</v>
      </c>
      <c r="E409" t="s">
        <v>934</v>
      </c>
      <c r="F409" t="s">
        <v>304</v>
      </c>
      <c r="G409" s="3">
        <v>26.08</v>
      </c>
      <c r="H409" s="2">
        <v>0</v>
      </c>
      <c r="I409" s="2">
        <v>0</v>
      </c>
      <c r="J409" s="2">
        <v>0</v>
      </c>
      <c r="K409" s="6">
        <f t="shared" si="13"/>
        <v>26.08</v>
      </c>
      <c r="L409" s="7">
        <v>0.59</v>
      </c>
      <c r="M409" s="10">
        <f t="shared" si="14"/>
        <v>44.20338983050847</v>
      </c>
      <c r="N409" t="s">
        <v>57</v>
      </c>
      <c r="O409" t="s">
        <v>57</v>
      </c>
      <c r="P409" t="s">
        <v>57</v>
      </c>
      <c r="Q409" t="s">
        <v>58</v>
      </c>
      <c r="T409" s="2">
        <v>1</v>
      </c>
      <c r="U409" s="2">
        <v>12</v>
      </c>
      <c r="V409" s="2">
        <v>1</v>
      </c>
      <c r="W409" s="2">
        <v>1</v>
      </c>
      <c r="X409" s="2">
        <v>1</v>
      </c>
      <c r="Y409" s="2">
        <v>1</v>
      </c>
      <c r="Z409" s="2">
        <v>0</v>
      </c>
      <c r="AA409" s="2">
        <v>1</v>
      </c>
      <c r="AB409" s="2">
        <v>0</v>
      </c>
      <c r="AC409" s="2">
        <v>0</v>
      </c>
    </row>
    <row r="410" spans="1:29">
      <c r="A410" s="2">
        <v>49</v>
      </c>
      <c r="B410" s="2">
        <v>240900102</v>
      </c>
      <c r="C410" s="2">
        <v>240900102</v>
      </c>
      <c r="D410" t="s">
        <v>243</v>
      </c>
      <c r="E410" t="s">
        <v>244</v>
      </c>
      <c r="F410" t="s">
        <v>85</v>
      </c>
      <c r="G410" s="3">
        <f>+VLOOKUP(B410,'[1]master_prod_15todos(30-11-2 (2)'!$B$2:$AF$470,31,FALSE)</f>
        <v>26.56</v>
      </c>
      <c r="H410" s="2">
        <v>0</v>
      </c>
      <c r="I410" s="2">
        <v>0</v>
      </c>
      <c r="J410" s="2">
        <v>0</v>
      </c>
      <c r="K410" s="6">
        <f t="shared" si="13"/>
        <v>26.56</v>
      </c>
      <c r="L410" s="7">
        <f>+VLOOKUP(B410,'[1]master_prod_15todos(30-11-2 (2)'!$B$2:$AG$470,32,FALSE)</f>
        <v>0.7</v>
      </c>
      <c r="M410" s="10">
        <f t="shared" si="14"/>
        <v>37.942857142857143</v>
      </c>
      <c r="N410" t="s">
        <v>62</v>
      </c>
      <c r="O410" t="s">
        <v>62</v>
      </c>
      <c r="P410" t="s">
        <v>62</v>
      </c>
      <c r="Q410" t="s">
        <v>58</v>
      </c>
      <c r="R410" t="s">
        <v>921</v>
      </c>
      <c r="T410" s="2">
        <v>1</v>
      </c>
      <c r="U410" s="2">
        <v>36</v>
      </c>
      <c r="V410" s="2">
        <v>1</v>
      </c>
      <c r="W410" s="2">
        <v>1</v>
      </c>
      <c r="X410" s="2">
        <v>1</v>
      </c>
      <c r="Y410" s="2">
        <v>0</v>
      </c>
      <c r="Z410" s="2">
        <v>0</v>
      </c>
      <c r="AA410" s="2">
        <v>1</v>
      </c>
      <c r="AB410" s="2">
        <v>0</v>
      </c>
      <c r="AC410" s="2">
        <v>0</v>
      </c>
    </row>
    <row r="411" spans="1:29">
      <c r="A411" s="2">
        <v>847</v>
      </c>
      <c r="B411" s="2">
        <v>252600169</v>
      </c>
      <c r="C411" s="2">
        <v>252600169</v>
      </c>
      <c r="D411" t="s">
        <v>863</v>
      </c>
      <c r="E411" t="s">
        <v>864</v>
      </c>
      <c r="F411" t="s">
        <v>75</v>
      </c>
      <c r="G411">
        <v>27.5</v>
      </c>
      <c r="H411" s="2">
        <v>0</v>
      </c>
      <c r="I411" s="2">
        <v>0</v>
      </c>
      <c r="J411" s="2">
        <v>0</v>
      </c>
      <c r="K411" s="6">
        <f t="shared" si="13"/>
        <v>27.5</v>
      </c>
      <c r="L411" s="7">
        <v>0.45</v>
      </c>
      <c r="M411" s="10">
        <f t="shared" si="14"/>
        <v>61.111111111111107</v>
      </c>
      <c r="N411" t="s">
        <v>30</v>
      </c>
      <c r="O411" t="s">
        <v>30</v>
      </c>
      <c r="P411" t="s">
        <v>30</v>
      </c>
      <c r="Q411" t="s">
        <v>76</v>
      </c>
      <c r="R411" t="s">
        <v>77</v>
      </c>
      <c r="T411" s="2">
        <v>1</v>
      </c>
      <c r="U411" s="2">
        <v>1</v>
      </c>
      <c r="V411" s="2">
        <v>1</v>
      </c>
      <c r="W411" s="2">
        <v>1</v>
      </c>
      <c r="X411" s="2">
        <v>1</v>
      </c>
      <c r="Y411" s="2">
        <v>1</v>
      </c>
      <c r="Z411" s="2">
        <v>0</v>
      </c>
      <c r="AA411" s="2">
        <v>1</v>
      </c>
      <c r="AB411" s="2">
        <v>0</v>
      </c>
      <c r="AC411" s="2">
        <v>0</v>
      </c>
    </row>
    <row r="412" spans="1:29">
      <c r="A412" s="2">
        <v>132</v>
      </c>
      <c r="B412" s="2">
        <v>241951319</v>
      </c>
      <c r="C412" s="2">
        <v>241951319</v>
      </c>
      <c r="D412" t="s">
        <v>369</v>
      </c>
      <c r="E412" s="2">
        <v>4285005</v>
      </c>
      <c r="F412" t="s">
        <v>224</v>
      </c>
      <c r="G412" s="3">
        <f>+VLOOKUP(B412,'[1]master_prod_15todos(30-11-2 (2)'!$B$2:$AF$470,31,FALSE)</f>
        <v>27.936800000000002</v>
      </c>
      <c r="H412" s="2">
        <v>0</v>
      </c>
      <c r="I412" s="2">
        <v>0</v>
      </c>
      <c r="J412" s="2">
        <v>0</v>
      </c>
      <c r="K412" s="6">
        <f t="shared" si="13"/>
        <v>27.936800000000002</v>
      </c>
      <c r="L412" s="7">
        <f>+VLOOKUP(B412,'[1]master_prod_15todos(30-11-2 (2)'!$B$2:$AG$470,32,FALSE)</f>
        <v>0.75</v>
      </c>
      <c r="M412" s="10">
        <f t="shared" si="14"/>
        <v>37.249066666666671</v>
      </c>
      <c r="N412" t="s">
        <v>62</v>
      </c>
      <c r="O412" t="s">
        <v>62</v>
      </c>
      <c r="P412" t="s">
        <v>62</v>
      </c>
      <c r="Q412" t="s">
        <v>58</v>
      </c>
      <c r="T412" s="2">
        <v>1</v>
      </c>
      <c r="U412" s="2">
        <v>36</v>
      </c>
      <c r="V412" s="2">
        <v>1</v>
      </c>
      <c r="W412" s="2">
        <v>1</v>
      </c>
      <c r="X412" s="2">
        <v>1</v>
      </c>
      <c r="Y412" s="2">
        <v>1</v>
      </c>
      <c r="Z412" s="2">
        <v>0</v>
      </c>
      <c r="AA412" s="2">
        <v>1</v>
      </c>
      <c r="AB412" s="2">
        <v>0</v>
      </c>
      <c r="AC412" s="2">
        <v>0</v>
      </c>
    </row>
    <row r="413" spans="1:29">
      <c r="A413" s="2">
        <v>131</v>
      </c>
      <c r="B413" s="2">
        <v>241951321</v>
      </c>
      <c r="C413" s="2">
        <v>241951321</v>
      </c>
      <c r="D413" t="s">
        <v>370</v>
      </c>
      <c r="E413" s="2">
        <v>4283505</v>
      </c>
      <c r="F413" t="s">
        <v>224</v>
      </c>
      <c r="G413" s="3">
        <f>+VLOOKUP(B413,'[1]master_prod_15todos(30-11-2 (2)'!$B$2:$AF$470,31,FALSE)</f>
        <v>27.936800000000002</v>
      </c>
      <c r="H413" s="2">
        <v>0</v>
      </c>
      <c r="I413" s="2">
        <v>0</v>
      </c>
      <c r="J413" s="2">
        <v>0</v>
      </c>
      <c r="K413" s="6">
        <f t="shared" si="13"/>
        <v>27.936800000000002</v>
      </c>
      <c r="L413" s="7">
        <f>+VLOOKUP(B413,'[1]master_prod_15todos(30-11-2 (2)'!$B$2:$AG$470,32,FALSE)</f>
        <v>0.75</v>
      </c>
      <c r="M413" s="10">
        <f t="shared" si="14"/>
        <v>37.249066666666671</v>
      </c>
      <c r="N413" t="s">
        <v>57</v>
      </c>
      <c r="O413" t="s">
        <v>57</v>
      </c>
      <c r="P413" t="s">
        <v>57</v>
      </c>
      <c r="Q413" t="s">
        <v>58</v>
      </c>
      <c r="R413" t="s">
        <v>928</v>
      </c>
      <c r="T413" s="2">
        <v>1</v>
      </c>
      <c r="U413" s="2">
        <v>1</v>
      </c>
      <c r="V413" s="2">
        <v>1</v>
      </c>
      <c r="W413" s="2">
        <v>1</v>
      </c>
      <c r="X413" s="2">
        <v>1</v>
      </c>
      <c r="Y413" s="2">
        <v>1</v>
      </c>
      <c r="Z413" s="2">
        <v>0</v>
      </c>
      <c r="AA413" s="2">
        <v>1</v>
      </c>
      <c r="AB413" s="2">
        <v>0</v>
      </c>
      <c r="AC413" s="2">
        <v>0</v>
      </c>
    </row>
    <row r="414" spans="1:29">
      <c r="A414" s="2">
        <v>189</v>
      </c>
      <c r="B414" s="2">
        <v>242200910</v>
      </c>
      <c r="C414" s="2">
        <v>242200910</v>
      </c>
      <c r="D414" t="s">
        <v>413</v>
      </c>
      <c r="E414" t="s">
        <v>414</v>
      </c>
      <c r="F414" t="s">
        <v>403</v>
      </c>
      <c r="G414" s="3">
        <f>+VLOOKUP(B414,'[1]master_prod_15todos(30-11-2 (2)'!$B$2:$AF$470,31,FALSE)</f>
        <v>28</v>
      </c>
      <c r="H414" s="2">
        <v>0</v>
      </c>
      <c r="I414" s="2">
        <v>0</v>
      </c>
      <c r="J414" s="2">
        <v>0</v>
      </c>
      <c r="K414" s="6">
        <f t="shared" si="13"/>
        <v>28</v>
      </c>
      <c r="L414" s="7">
        <f>+VLOOKUP(B414,'[1]master_prod_15todos(30-11-2 (2)'!$B$2:$AG$470,32,FALSE)</f>
        <v>0.6</v>
      </c>
      <c r="M414" s="10">
        <f t="shared" si="14"/>
        <v>46.666666666666671</v>
      </c>
      <c r="N414" t="s">
        <v>62</v>
      </c>
      <c r="O414" t="s">
        <v>62</v>
      </c>
      <c r="P414" t="s">
        <v>62</v>
      </c>
      <c r="Q414" t="s">
        <v>58</v>
      </c>
      <c r="R414" t="s">
        <v>59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2">
        <v>1</v>
      </c>
      <c r="Z414" s="2">
        <v>0</v>
      </c>
      <c r="AA414" s="2">
        <v>1</v>
      </c>
      <c r="AB414" s="2">
        <v>0</v>
      </c>
      <c r="AC414" s="2">
        <v>0</v>
      </c>
    </row>
    <row r="415" spans="1:29">
      <c r="A415" s="2">
        <v>730</v>
      </c>
      <c r="B415" s="2">
        <v>242200911</v>
      </c>
      <c r="C415" s="2">
        <v>242200911</v>
      </c>
      <c r="D415" t="s">
        <v>415</v>
      </c>
      <c r="E415" s="2">
        <v>1348</v>
      </c>
      <c r="F415" t="s">
        <v>403</v>
      </c>
      <c r="G415" s="3">
        <f>+VLOOKUP(B415,'[1]master_prod_15todos(30-11-2 (2)'!$B$2:$AF$470,31,FALSE)</f>
        <v>28</v>
      </c>
      <c r="H415" s="2">
        <v>0</v>
      </c>
      <c r="I415" s="2">
        <v>0</v>
      </c>
      <c r="J415" s="2">
        <v>0</v>
      </c>
      <c r="K415" s="6">
        <f t="shared" si="13"/>
        <v>28</v>
      </c>
      <c r="L415" s="7">
        <f>+VLOOKUP(B415,'[1]master_prod_15todos(30-11-2 (2)'!$B$2:$AG$470,32,FALSE)</f>
        <v>0.6</v>
      </c>
      <c r="M415" s="10">
        <f t="shared" si="14"/>
        <v>46.666666666666671</v>
      </c>
      <c r="N415" t="s">
        <v>40</v>
      </c>
      <c r="O415" t="s">
        <v>40</v>
      </c>
      <c r="P415" t="s">
        <v>40</v>
      </c>
      <c r="Q415" t="s">
        <v>58</v>
      </c>
      <c r="R415" t="s">
        <v>59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2">
        <v>1</v>
      </c>
      <c r="Z415" s="2">
        <v>0</v>
      </c>
      <c r="AA415" s="2">
        <v>1</v>
      </c>
      <c r="AB415" s="2">
        <v>0</v>
      </c>
      <c r="AC415" s="2">
        <v>0</v>
      </c>
    </row>
    <row r="416" spans="1:29">
      <c r="A416" s="2">
        <v>729</v>
      </c>
      <c r="B416" s="2">
        <v>242200912</v>
      </c>
      <c r="C416" s="2">
        <v>242200912</v>
      </c>
      <c r="D416" t="s">
        <v>417</v>
      </c>
      <c r="E416" t="s">
        <v>414</v>
      </c>
      <c r="F416" t="s">
        <v>403</v>
      </c>
      <c r="G416" s="3">
        <f>+VLOOKUP(B416,'[1]master_prod_15todos(30-11-2 (2)'!$B$2:$AF$470,31,FALSE)</f>
        <v>28</v>
      </c>
      <c r="H416" s="2">
        <v>0</v>
      </c>
      <c r="I416" s="2">
        <v>0</v>
      </c>
      <c r="J416" s="2">
        <v>0</v>
      </c>
      <c r="K416" s="6">
        <f t="shared" si="13"/>
        <v>28</v>
      </c>
      <c r="L416" s="7">
        <f>+VLOOKUP(B416,'[1]master_prod_15todos(30-11-2 (2)'!$B$2:$AG$470,32,FALSE)</f>
        <v>0.6</v>
      </c>
      <c r="M416" s="10">
        <f t="shared" si="14"/>
        <v>46.666666666666671</v>
      </c>
      <c r="N416" t="s">
        <v>62</v>
      </c>
      <c r="O416" t="s">
        <v>62</v>
      </c>
      <c r="P416" t="s">
        <v>37</v>
      </c>
      <c r="Q416" t="s">
        <v>58</v>
      </c>
      <c r="T416" s="2">
        <v>1</v>
      </c>
      <c r="U416" s="2">
        <v>36</v>
      </c>
      <c r="V416" s="2">
        <v>1</v>
      </c>
      <c r="W416" s="2">
        <v>1</v>
      </c>
      <c r="X416" s="2">
        <v>1</v>
      </c>
      <c r="Y416" s="2">
        <v>1</v>
      </c>
      <c r="Z416" s="2">
        <v>0</v>
      </c>
      <c r="AA416" s="2">
        <v>1</v>
      </c>
      <c r="AB416" s="2">
        <v>0</v>
      </c>
      <c r="AC416" s="2">
        <v>0</v>
      </c>
    </row>
    <row r="417" spans="1:29">
      <c r="A417" s="2">
        <v>604</v>
      </c>
      <c r="B417" s="2">
        <v>242201315</v>
      </c>
      <c r="C417" s="2">
        <v>242201315</v>
      </c>
      <c r="D417" t="s">
        <v>435</v>
      </c>
      <c r="E417" s="2">
        <v>1115</v>
      </c>
      <c r="F417" t="s">
        <v>403</v>
      </c>
      <c r="G417" s="3">
        <f>+VLOOKUP(B417,'[1]master_prod_15todos(30-11-2 (2)'!$B$2:$AF$470,31,FALSE)</f>
        <v>29</v>
      </c>
      <c r="H417" s="2">
        <v>0</v>
      </c>
      <c r="I417" s="2">
        <v>0</v>
      </c>
      <c r="J417" s="2">
        <v>0</v>
      </c>
      <c r="K417" s="6">
        <f t="shared" si="13"/>
        <v>29</v>
      </c>
      <c r="L417" s="7">
        <f>+VLOOKUP(B417,'[1]master_prod_15todos(30-11-2 (2)'!$B$2:$AG$470,32,FALSE)</f>
        <v>0.6</v>
      </c>
      <c r="M417" s="10">
        <f t="shared" si="14"/>
        <v>48.333333333333336</v>
      </c>
      <c r="N417" t="s">
        <v>57</v>
      </c>
      <c r="O417" t="s">
        <v>30</v>
      </c>
      <c r="P417" t="s">
        <v>57</v>
      </c>
      <c r="Q417" t="s">
        <v>58</v>
      </c>
      <c r="R417" t="s">
        <v>59</v>
      </c>
      <c r="T417" s="2">
        <v>1</v>
      </c>
      <c r="U417" s="2">
        <v>1</v>
      </c>
      <c r="V417" s="2">
        <v>1</v>
      </c>
      <c r="W417" s="2">
        <v>1</v>
      </c>
      <c r="X417" s="2">
        <v>1</v>
      </c>
      <c r="Y417" s="2">
        <v>1</v>
      </c>
      <c r="Z417" s="2">
        <v>0</v>
      </c>
      <c r="AA417" s="2">
        <v>1</v>
      </c>
      <c r="AB417" s="2">
        <v>0</v>
      </c>
      <c r="AC417" s="2">
        <v>0</v>
      </c>
    </row>
    <row r="418" spans="1:29">
      <c r="A418" s="2">
        <v>228</v>
      </c>
      <c r="B418" s="2">
        <v>242201316</v>
      </c>
      <c r="C418" s="2">
        <v>242201316</v>
      </c>
      <c r="D418" t="s">
        <v>436</v>
      </c>
      <c r="E418" s="2">
        <v>1115</v>
      </c>
      <c r="F418" t="s">
        <v>403</v>
      </c>
      <c r="G418" s="3">
        <f>+VLOOKUP(B418,'[1]master_prod_15todos(30-11-2 (2)'!$B$2:$AF$470,31,FALSE)</f>
        <v>29</v>
      </c>
      <c r="H418" s="2">
        <v>0</v>
      </c>
      <c r="I418" s="2">
        <v>0</v>
      </c>
      <c r="J418" s="2">
        <v>0</v>
      </c>
      <c r="K418" s="6">
        <f t="shared" si="13"/>
        <v>29</v>
      </c>
      <c r="L418" s="7">
        <f>+VLOOKUP(B418,'[1]master_prod_15todos(30-11-2 (2)'!$B$2:$AG$470,32,FALSE)</f>
        <v>0.6</v>
      </c>
      <c r="M418" s="10">
        <f t="shared" si="14"/>
        <v>48.333333333333336</v>
      </c>
      <c r="N418" t="s">
        <v>57</v>
      </c>
      <c r="O418" t="s">
        <v>57</v>
      </c>
      <c r="P418" t="s">
        <v>57</v>
      </c>
      <c r="Q418" t="s">
        <v>58</v>
      </c>
      <c r="R418" t="s">
        <v>59</v>
      </c>
      <c r="T418" s="2">
        <v>1</v>
      </c>
      <c r="U418" s="2">
        <v>1</v>
      </c>
      <c r="V418" s="2">
        <v>1</v>
      </c>
      <c r="W418" s="2">
        <v>1</v>
      </c>
      <c r="X418" s="2">
        <v>1</v>
      </c>
      <c r="Y418" s="2">
        <v>1</v>
      </c>
      <c r="Z418" s="2">
        <v>0</v>
      </c>
      <c r="AA418" s="2">
        <v>1</v>
      </c>
      <c r="AB418" s="2">
        <v>0</v>
      </c>
      <c r="AC418" s="2">
        <v>0</v>
      </c>
    </row>
    <row r="419" spans="1:29">
      <c r="A419" s="2">
        <v>227</v>
      </c>
      <c r="B419" s="2">
        <v>242201317</v>
      </c>
      <c r="C419" s="2">
        <v>242201317</v>
      </c>
      <c r="D419" t="s">
        <v>437</v>
      </c>
      <c r="E419" s="2">
        <v>1115</v>
      </c>
      <c r="F419" t="s">
        <v>403</v>
      </c>
      <c r="G419" s="3">
        <f>+VLOOKUP(B419,'[1]master_prod_15todos(30-11-2 (2)'!$B$2:$AF$470,31,FALSE)</f>
        <v>29</v>
      </c>
      <c r="H419" s="2">
        <v>0</v>
      </c>
      <c r="I419" s="2">
        <v>0</v>
      </c>
      <c r="J419" s="2">
        <v>0</v>
      </c>
      <c r="K419" s="6">
        <f t="shared" si="13"/>
        <v>29</v>
      </c>
      <c r="L419" s="7">
        <f>+VLOOKUP(B419,'[1]master_prod_15todos(30-11-2 (2)'!$B$2:$AG$470,32,FALSE)</f>
        <v>0.6</v>
      </c>
      <c r="M419" s="10">
        <f t="shared" si="14"/>
        <v>48.333333333333336</v>
      </c>
      <c r="N419" t="s">
        <v>57</v>
      </c>
      <c r="O419" t="s">
        <v>57</v>
      </c>
      <c r="P419" t="s">
        <v>37</v>
      </c>
      <c r="Q419" t="s">
        <v>58</v>
      </c>
      <c r="R419" t="s">
        <v>941</v>
      </c>
      <c r="T419" s="2">
        <v>1</v>
      </c>
      <c r="U419" s="2">
        <v>12</v>
      </c>
      <c r="V419" s="2">
        <v>1</v>
      </c>
      <c r="W419" s="2">
        <v>1</v>
      </c>
      <c r="X419" s="2">
        <v>0</v>
      </c>
      <c r="Y419" s="2">
        <v>0</v>
      </c>
      <c r="Z419" s="2">
        <v>0</v>
      </c>
      <c r="AA419" s="2">
        <v>1</v>
      </c>
      <c r="AB419" s="2">
        <v>0</v>
      </c>
      <c r="AC419" s="2">
        <v>0</v>
      </c>
    </row>
    <row r="420" spans="1:29">
      <c r="A420" s="2">
        <v>740</v>
      </c>
      <c r="B420" s="2">
        <v>242201318</v>
      </c>
      <c r="C420" s="2">
        <v>242201318</v>
      </c>
      <c r="D420" t="s">
        <v>438</v>
      </c>
      <c r="E420" s="2">
        <v>1115</v>
      </c>
      <c r="F420" t="s">
        <v>403</v>
      </c>
      <c r="G420" s="3">
        <f>+VLOOKUP(B420,'[1]master_prod_15todos(30-11-2 (2)'!$B$2:$AF$470,31,FALSE)</f>
        <v>29</v>
      </c>
      <c r="H420" s="2">
        <v>0</v>
      </c>
      <c r="I420" s="2">
        <v>0</v>
      </c>
      <c r="J420" s="2">
        <v>0</v>
      </c>
      <c r="K420" s="6">
        <f t="shared" si="13"/>
        <v>29</v>
      </c>
      <c r="L420" s="7">
        <f>+VLOOKUP(B420,'[1]master_prod_15todos(30-11-2 (2)'!$B$2:$AG$470,32,FALSE)</f>
        <v>0.55000000000000004</v>
      </c>
      <c r="M420" s="10">
        <f t="shared" si="14"/>
        <v>52.72727272727272</v>
      </c>
      <c r="N420" t="s">
        <v>57</v>
      </c>
      <c r="O420" t="s">
        <v>57</v>
      </c>
      <c r="P420" t="s">
        <v>57</v>
      </c>
      <c r="Q420" t="s">
        <v>58</v>
      </c>
      <c r="R420" t="s">
        <v>944</v>
      </c>
      <c r="T420" s="2">
        <v>1</v>
      </c>
      <c r="U420" s="2">
        <v>12</v>
      </c>
      <c r="V420" s="2">
        <v>1</v>
      </c>
      <c r="W420" s="2">
        <v>1</v>
      </c>
      <c r="X420" s="2">
        <v>1</v>
      </c>
      <c r="Y420" s="2">
        <v>0</v>
      </c>
      <c r="Z420" s="2">
        <v>0</v>
      </c>
      <c r="AA420" s="2">
        <v>1</v>
      </c>
      <c r="AB420" s="2">
        <v>0</v>
      </c>
      <c r="AC420" s="2">
        <v>0</v>
      </c>
    </row>
    <row r="421" spans="1:29">
      <c r="A421" s="2">
        <v>281</v>
      </c>
      <c r="B421" s="2">
        <v>250503320</v>
      </c>
      <c r="C421" s="2">
        <v>250503320</v>
      </c>
      <c r="D421" t="s">
        <v>758</v>
      </c>
      <c r="F421" t="s">
        <v>279</v>
      </c>
      <c r="G421" s="2">
        <v>30</v>
      </c>
      <c r="H421" s="2">
        <v>0</v>
      </c>
      <c r="I421" s="2">
        <v>0</v>
      </c>
      <c r="J421" s="2">
        <v>0</v>
      </c>
      <c r="K421" s="6">
        <f t="shared" si="13"/>
        <v>30</v>
      </c>
      <c r="L421" s="7">
        <v>0.65</v>
      </c>
      <c r="M421" s="10">
        <f t="shared" si="14"/>
        <v>46.153846153846153</v>
      </c>
      <c r="N421" t="s">
        <v>30</v>
      </c>
      <c r="O421" t="s">
        <v>30</v>
      </c>
      <c r="P421" t="s">
        <v>57</v>
      </c>
      <c r="Q421" t="s">
        <v>58</v>
      </c>
      <c r="R421" t="s">
        <v>945</v>
      </c>
      <c r="T421" s="2">
        <v>1</v>
      </c>
      <c r="U421" s="2">
        <v>1</v>
      </c>
      <c r="V421" s="2">
        <v>1</v>
      </c>
      <c r="W421" s="2">
        <v>1</v>
      </c>
      <c r="X421" s="2">
        <v>1</v>
      </c>
      <c r="Y421" s="2">
        <v>1</v>
      </c>
      <c r="Z421" s="2">
        <v>0</v>
      </c>
      <c r="AA421" s="2">
        <v>1</v>
      </c>
      <c r="AB421" s="2">
        <v>0</v>
      </c>
      <c r="AC421" s="2">
        <v>0</v>
      </c>
    </row>
    <row r="422" spans="1:29">
      <c r="A422" s="2">
        <v>766</v>
      </c>
      <c r="B422" s="2">
        <v>250503920</v>
      </c>
      <c r="C422" s="2">
        <v>250503920</v>
      </c>
      <c r="D422" t="s">
        <v>761</v>
      </c>
      <c r="F422" t="s">
        <v>279</v>
      </c>
      <c r="G422" s="2">
        <v>30</v>
      </c>
      <c r="H422" s="2">
        <v>0</v>
      </c>
      <c r="I422" s="2">
        <v>0</v>
      </c>
      <c r="J422" s="2">
        <v>0</v>
      </c>
      <c r="K422" s="6">
        <f t="shared" si="13"/>
        <v>30</v>
      </c>
      <c r="L422" s="7">
        <v>0.64</v>
      </c>
      <c r="M422" s="10">
        <f t="shared" si="14"/>
        <v>46.875</v>
      </c>
      <c r="N422" t="s">
        <v>62</v>
      </c>
      <c r="O422" t="s">
        <v>62</v>
      </c>
      <c r="P422" t="s">
        <v>62</v>
      </c>
      <c r="Q422" t="s">
        <v>94</v>
      </c>
      <c r="R422" t="s">
        <v>948</v>
      </c>
      <c r="T422" s="2">
        <v>1</v>
      </c>
      <c r="U422" s="2">
        <v>1</v>
      </c>
      <c r="V422" s="2">
        <v>1</v>
      </c>
      <c r="W422" s="2">
        <v>1</v>
      </c>
      <c r="X422" s="2">
        <v>1</v>
      </c>
      <c r="Y422" s="2">
        <v>1</v>
      </c>
      <c r="Z422" s="2">
        <v>0</v>
      </c>
      <c r="AA422" s="2">
        <v>1</v>
      </c>
      <c r="AB422" s="2">
        <v>0</v>
      </c>
      <c r="AC422" s="2">
        <v>0</v>
      </c>
    </row>
    <row r="423" spans="1:29">
      <c r="A423" s="2">
        <v>866</v>
      </c>
      <c r="B423" s="2">
        <v>253400633</v>
      </c>
      <c r="C423" s="2">
        <v>253400633</v>
      </c>
      <c r="D423" t="s">
        <v>1082</v>
      </c>
      <c r="E423" s="2">
        <v>512060</v>
      </c>
      <c r="F423" t="s">
        <v>75</v>
      </c>
      <c r="G423" s="3">
        <v>30.25</v>
      </c>
      <c r="H423" s="2">
        <v>0</v>
      </c>
      <c r="I423" s="2">
        <v>0</v>
      </c>
      <c r="J423" s="2">
        <v>0</v>
      </c>
      <c r="K423" s="6">
        <f t="shared" si="13"/>
        <v>30.25</v>
      </c>
      <c r="L423" s="7">
        <v>0.64</v>
      </c>
      <c r="M423" s="10">
        <f t="shared" si="14"/>
        <v>47.265625</v>
      </c>
      <c r="N423" t="s">
        <v>30</v>
      </c>
      <c r="O423" t="s">
        <v>30</v>
      </c>
      <c r="P423" t="s">
        <v>30</v>
      </c>
      <c r="Q423" t="s">
        <v>94</v>
      </c>
      <c r="R423" t="s">
        <v>951</v>
      </c>
      <c r="T423" s="2">
        <v>1</v>
      </c>
      <c r="U423" s="2">
        <v>1</v>
      </c>
      <c r="V423" s="2">
        <v>1</v>
      </c>
      <c r="W423" s="2">
        <v>1</v>
      </c>
      <c r="X423" s="2">
        <v>1</v>
      </c>
      <c r="Y423" s="2">
        <v>1</v>
      </c>
      <c r="Z423" s="2">
        <v>0</v>
      </c>
      <c r="AA423" s="2">
        <v>1</v>
      </c>
      <c r="AB423" s="2">
        <v>0</v>
      </c>
      <c r="AC423" s="2">
        <v>0</v>
      </c>
    </row>
    <row r="424" spans="1:29">
      <c r="A424" s="2">
        <v>758</v>
      </c>
      <c r="B424" s="2">
        <v>252800962</v>
      </c>
      <c r="C424" s="2">
        <v>252800962</v>
      </c>
      <c r="D424" t="s">
        <v>1031</v>
      </c>
      <c r="E424" t="s">
        <v>1032</v>
      </c>
      <c r="F424" t="s">
        <v>875</v>
      </c>
      <c r="G424" s="3">
        <v>30.96</v>
      </c>
      <c r="H424" s="2">
        <v>0</v>
      </c>
      <c r="I424" s="2">
        <v>0</v>
      </c>
      <c r="J424" s="2">
        <v>0</v>
      </c>
      <c r="K424" s="6">
        <f t="shared" si="13"/>
        <v>30.96</v>
      </c>
      <c r="L424" s="7">
        <v>0.6</v>
      </c>
      <c r="M424" s="10">
        <f t="shared" si="14"/>
        <v>51.6</v>
      </c>
      <c r="N424" t="s">
        <v>40</v>
      </c>
      <c r="O424" t="s">
        <v>40</v>
      </c>
      <c r="P424" t="s">
        <v>40</v>
      </c>
      <c r="Q424" t="s">
        <v>58</v>
      </c>
      <c r="R424" t="s">
        <v>59</v>
      </c>
      <c r="T424" s="2">
        <v>1</v>
      </c>
      <c r="U424" s="2">
        <v>1</v>
      </c>
      <c r="V424" s="2">
        <v>1</v>
      </c>
      <c r="W424" s="2">
        <v>1</v>
      </c>
      <c r="X424" s="2">
        <v>1</v>
      </c>
      <c r="Y424" s="2">
        <v>1</v>
      </c>
      <c r="Z424" s="2">
        <v>0</v>
      </c>
      <c r="AA424" s="2">
        <v>1</v>
      </c>
      <c r="AB424" s="2">
        <v>0</v>
      </c>
      <c r="AC424" s="2">
        <v>0</v>
      </c>
    </row>
    <row r="425" spans="1:29">
      <c r="A425" s="2">
        <v>161</v>
      </c>
      <c r="B425" s="2">
        <v>252550101</v>
      </c>
      <c r="C425" s="2">
        <v>252550101</v>
      </c>
      <c r="D425" t="s">
        <v>851</v>
      </c>
      <c r="E425" t="s">
        <v>852</v>
      </c>
      <c r="F425" t="s">
        <v>304</v>
      </c>
      <c r="G425">
        <v>31.307400000000001</v>
      </c>
      <c r="H425" s="2">
        <v>0</v>
      </c>
      <c r="I425" s="2">
        <v>0</v>
      </c>
      <c r="J425" s="2">
        <v>0</v>
      </c>
      <c r="K425" s="6">
        <f t="shared" si="13"/>
        <v>31.307400000000001</v>
      </c>
      <c r="L425" s="7">
        <v>0.28999999999999998</v>
      </c>
      <c r="M425" s="10">
        <f t="shared" si="14"/>
        <v>107.95655172413794</v>
      </c>
      <c r="N425" t="s">
        <v>57</v>
      </c>
      <c r="O425" t="s">
        <v>57</v>
      </c>
      <c r="P425" t="s">
        <v>57</v>
      </c>
      <c r="Q425" t="s">
        <v>58</v>
      </c>
      <c r="R425" t="s">
        <v>59</v>
      </c>
      <c r="T425" s="2">
        <v>1</v>
      </c>
      <c r="U425" s="2">
        <v>1</v>
      </c>
      <c r="V425" s="2">
        <v>1</v>
      </c>
      <c r="W425" s="2">
        <v>1</v>
      </c>
      <c r="X425" s="2">
        <v>1</v>
      </c>
      <c r="Y425" s="2">
        <v>1</v>
      </c>
      <c r="Z425" s="2">
        <v>0</v>
      </c>
      <c r="AA425" s="2">
        <v>1</v>
      </c>
      <c r="AB425" s="2">
        <v>0</v>
      </c>
      <c r="AC425" s="2">
        <v>0</v>
      </c>
    </row>
    <row r="426" spans="1:29">
      <c r="A426" s="2">
        <v>840</v>
      </c>
      <c r="B426" s="2">
        <v>252800941</v>
      </c>
      <c r="C426" s="2">
        <v>252800941</v>
      </c>
      <c r="D426" t="s">
        <v>990</v>
      </c>
      <c r="E426" t="s">
        <v>991</v>
      </c>
      <c r="F426" t="s">
        <v>875</v>
      </c>
      <c r="G426" s="3">
        <v>31.68</v>
      </c>
      <c r="H426" s="2">
        <v>0</v>
      </c>
      <c r="I426" s="2">
        <v>0</v>
      </c>
      <c r="J426" s="2">
        <v>0</v>
      </c>
      <c r="K426" s="6">
        <f t="shared" si="13"/>
        <v>31.68</v>
      </c>
      <c r="L426" s="7">
        <v>0.59</v>
      </c>
      <c r="M426" s="10">
        <f t="shared" si="14"/>
        <v>53.694915254237287</v>
      </c>
      <c r="N426" t="s">
        <v>57</v>
      </c>
      <c r="O426" t="s">
        <v>57</v>
      </c>
      <c r="P426" t="s">
        <v>57</v>
      </c>
      <c r="Q426" t="s">
        <v>58</v>
      </c>
      <c r="R426" t="s">
        <v>59</v>
      </c>
      <c r="T426" s="2">
        <v>1</v>
      </c>
      <c r="U426" s="2">
        <v>1</v>
      </c>
      <c r="V426" s="2">
        <v>1</v>
      </c>
      <c r="W426" s="2">
        <v>5</v>
      </c>
      <c r="X426" s="2">
        <v>1</v>
      </c>
      <c r="Y426" s="2">
        <v>1</v>
      </c>
      <c r="Z426" s="2">
        <v>0</v>
      </c>
      <c r="AA426" s="2">
        <v>1</v>
      </c>
      <c r="AB426" s="2">
        <v>0</v>
      </c>
      <c r="AC426" s="2">
        <v>0</v>
      </c>
    </row>
    <row r="427" spans="1:29">
      <c r="A427" s="2">
        <v>771</v>
      </c>
      <c r="B427" s="2">
        <v>250750116</v>
      </c>
      <c r="C427" s="2">
        <v>250750116</v>
      </c>
      <c r="D427" t="s">
        <v>770</v>
      </c>
      <c r="F427" t="s">
        <v>288</v>
      </c>
      <c r="G427" s="3">
        <v>32.159999999999997</v>
      </c>
      <c r="H427" s="2">
        <v>0</v>
      </c>
      <c r="I427" s="2">
        <v>0</v>
      </c>
      <c r="J427" s="2">
        <v>0</v>
      </c>
      <c r="K427" s="6">
        <f t="shared" si="13"/>
        <v>32.159999999999997</v>
      </c>
      <c r="L427" s="7">
        <v>0.6</v>
      </c>
      <c r="M427" s="10">
        <f t="shared" si="14"/>
        <v>53.599999999999994</v>
      </c>
      <c r="N427" t="s">
        <v>57</v>
      </c>
      <c r="O427" t="s">
        <v>57</v>
      </c>
      <c r="P427" t="s">
        <v>57</v>
      </c>
      <c r="Q427" t="s">
        <v>58</v>
      </c>
      <c r="R427" t="s">
        <v>59</v>
      </c>
      <c r="T427" s="2">
        <v>1</v>
      </c>
      <c r="U427" s="2">
        <v>1</v>
      </c>
      <c r="V427" s="2">
        <v>1</v>
      </c>
      <c r="W427" s="2">
        <v>1</v>
      </c>
      <c r="X427" s="2">
        <v>1</v>
      </c>
      <c r="Y427" s="2">
        <v>1</v>
      </c>
      <c r="Z427" s="2">
        <v>0</v>
      </c>
      <c r="AA427" s="2">
        <v>1</v>
      </c>
      <c r="AB427" s="2">
        <v>0</v>
      </c>
      <c r="AC427" s="2">
        <v>0</v>
      </c>
    </row>
    <row r="428" spans="1:29">
      <c r="A428" s="2">
        <v>842</v>
      </c>
      <c r="B428" s="2">
        <v>252800942</v>
      </c>
      <c r="C428" s="2">
        <v>252800942</v>
      </c>
      <c r="D428" t="s">
        <v>992</v>
      </c>
      <c r="E428" t="s">
        <v>993</v>
      </c>
      <c r="F428" t="s">
        <v>875</v>
      </c>
      <c r="G428" s="3">
        <v>32.159999999999997</v>
      </c>
      <c r="H428" s="2">
        <v>0</v>
      </c>
      <c r="I428" s="2">
        <v>0</v>
      </c>
      <c r="J428" s="2">
        <v>0</v>
      </c>
      <c r="K428" s="6">
        <f t="shared" si="13"/>
        <v>32.159999999999997</v>
      </c>
      <c r="L428" s="7">
        <v>0.59</v>
      </c>
      <c r="M428" s="10">
        <f t="shared" si="14"/>
        <v>54.508474576271183</v>
      </c>
      <c r="N428" t="s">
        <v>57</v>
      </c>
      <c r="O428" t="s">
        <v>57</v>
      </c>
      <c r="P428" t="s">
        <v>57</v>
      </c>
      <c r="Q428" t="s">
        <v>58</v>
      </c>
      <c r="R428" t="s">
        <v>59</v>
      </c>
      <c r="T428" s="2">
        <v>1</v>
      </c>
      <c r="U428" s="2">
        <v>1</v>
      </c>
      <c r="V428" s="2">
        <v>1</v>
      </c>
      <c r="W428" s="2">
        <v>1</v>
      </c>
      <c r="X428" s="2">
        <v>0</v>
      </c>
      <c r="Y428" s="2">
        <v>0</v>
      </c>
      <c r="Z428" s="2">
        <v>0</v>
      </c>
      <c r="AA428" s="2">
        <v>1</v>
      </c>
      <c r="AB428" s="2">
        <v>0</v>
      </c>
      <c r="AC428" s="2">
        <v>0</v>
      </c>
    </row>
    <row r="429" spans="1:29">
      <c r="A429" s="2">
        <v>305</v>
      </c>
      <c r="B429" s="2">
        <v>240550409</v>
      </c>
      <c r="C429" s="2">
        <v>240550409</v>
      </c>
      <c r="D429" t="s">
        <v>117</v>
      </c>
      <c r="E429" s="2">
        <v>570622</v>
      </c>
      <c r="F429" t="s">
        <v>118</v>
      </c>
      <c r="G429" s="3">
        <f>+VLOOKUP(B429,'[1]master_prod_15todos(30-11-2 (2)'!$B$2:$AF$470,31,FALSE)</f>
        <v>32.32</v>
      </c>
      <c r="H429" s="2">
        <v>0</v>
      </c>
      <c r="I429" s="2">
        <v>0</v>
      </c>
      <c r="J429" s="2">
        <v>0</v>
      </c>
      <c r="K429" s="6">
        <f t="shared" si="13"/>
        <v>32.32</v>
      </c>
      <c r="L429" s="7">
        <f>+VLOOKUP(B429,'[1]master_prod_15todos(30-11-2 (2)'!$B$2:$AG$470,32,FALSE)</f>
        <v>0.7</v>
      </c>
      <c r="M429" s="10">
        <f t="shared" si="14"/>
        <v>46.171428571428578</v>
      </c>
      <c r="N429" t="s">
        <v>57</v>
      </c>
      <c r="O429" t="s">
        <v>57</v>
      </c>
      <c r="P429" t="s">
        <v>57</v>
      </c>
      <c r="Q429" t="s">
        <v>58</v>
      </c>
      <c r="R429" t="s">
        <v>59</v>
      </c>
      <c r="T429" s="2">
        <v>1</v>
      </c>
      <c r="U429" s="2">
        <v>1</v>
      </c>
      <c r="V429" s="2">
        <v>1</v>
      </c>
      <c r="W429" s="2">
        <v>1</v>
      </c>
      <c r="X429" s="2">
        <v>1</v>
      </c>
      <c r="Y429" s="2">
        <v>1</v>
      </c>
      <c r="Z429" s="2">
        <v>0</v>
      </c>
      <c r="AA429" s="2">
        <v>1</v>
      </c>
      <c r="AB429" s="2">
        <v>0</v>
      </c>
      <c r="AC429" s="2">
        <v>0</v>
      </c>
    </row>
    <row r="430" spans="1:29">
      <c r="A430" s="2">
        <v>306</v>
      </c>
      <c r="B430" s="2">
        <v>240550419</v>
      </c>
      <c r="C430" s="2">
        <v>240550419</v>
      </c>
      <c r="D430" t="s">
        <v>120</v>
      </c>
      <c r="E430" s="2">
        <v>570624</v>
      </c>
      <c r="F430" t="s">
        <v>118</v>
      </c>
      <c r="G430" s="3">
        <f>+VLOOKUP(B430,'[1]master_prod_15todos(30-11-2 (2)'!$B$2:$AF$470,31,FALSE)</f>
        <v>32.32</v>
      </c>
      <c r="H430" s="2">
        <v>0</v>
      </c>
      <c r="I430" s="2">
        <v>0</v>
      </c>
      <c r="J430" s="2">
        <v>0</v>
      </c>
      <c r="K430" s="6">
        <f t="shared" si="13"/>
        <v>32.32</v>
      </c>
      <c r="L430" s="7">
        <f>+VLOOKUP(B430,'[1]master_prod_15todos(30-11-2 (2)'!$B$2:$AG$470,32,FALSE)</f>
        <v>0.7</v>
      </c>
      <c r="M430" s="10">
        <f t="shared" si="14"/>
        <v>46.171428571428578</v>
      </c>
      <c r="N430" t="s">
        <v>57</v>
      </c>
      <c r="O430" t="s">
        <v>57</v>
      </c>
      <c r="P430" t="s">
        <v>57</v>
      </c>
      <c r="Q430" t="s">
        <v>58</v>
      </c>
      <c r="R430" t="s">
        <v>59</v>
      </c>
      <c r="T430" s="2">
        <v>1</v>
      </c>
      <c r="U430" s="2">
        <v>1</v>
      </c>
      <c r="V430" s="2">
        <v>1</v>
      </c>
      <c r="W430" s="2">
        <v>1</v>
      </c>
      <c r="X430" s="2">
        <v>1</v>
      </c>
      <c r="Y430" s="2">
        <v>1</v>
      </c>
      <c r="Z430" s="2">
        <v>0</v>
      </c>
      <c r="AA430" s="2">
        <v>1</v>
      </c>
      <c r="AB430" s="2">
        <v>0</v>
      </c>
      <c r="AC430" s="2">
        <v>0</v>
      </c>
    </row>
    <row r="431" spans="1:29">
      <c r="A431" s="2">
        <v>835</v>
      </c>
      <c r="B431" s="2">
        <v>252800940</v>
      </c>
      <c r="C431" s="2">
        <v>252800940</v>
      </c>
      <c r="D431" t="s">
        <v>988</v>
      </c>
      <c r="E431" t="s">
        <v>989</v>
      </c>
      <c r="F431" t="s">
        <v>875</v>
      </c>
      <c r="G431" s="3">
        <v>32.520000000000003</v>
      </c>
      <c r="H431" s="2">
        <v>0</v>
      </c>
      <c r="I431" s="2">
        <v>0</v>
      </c>
      <c r="J431" s="2">
        <v>0</v>
      </c>
      <c r="K431" s="6">
        <f t="shared" si="13"/>
        <v>32.520000000000003</v>
      </c>
      <c r="L431" s="7">
        <v>0.59</v>
      </c>
      <c r="M431" s="10">
        <f t="shared" si="14"/>
        <v>55.118644067796616</v>
      </c>
      <c r="N431" t="s">
        <v>57</v>
      </c>
      <c r="O431" t="s">
        <v>57</v>
      </c>
      <c r="P431" t="s">
        <v>57</v>
      </c>
      <c r="Q431" t="s">
        <v>58</v>
      </c>
      <c r="R431" t="s">
        <v>59</v>
      </c>
      <c r="T431" s="2">
        <v>1</v>
      </c>
      <c r="U431" s="2">
        <v>1</v>
      </c>
      <c r="V431" s="2">
        <v>1</v>
      </c>
      <c r="W431" s="2">
        <v>1</v>
      </c>
      <c r="X431" s="2">
        <v>1</v>
      </c>
      <c r="Y431" s="2">
        <v>1</v>
      </c>
      <c r="Z431" s="2">
        <v>0</v>
      </c>
      <c r="AA431" s="2">
        <v>1</v>
      </c>
      <c r="AB431" s="2">
        <v>0</v>
      </c>
      <c r="AC431" s="2">
        <v>0</v>
      </c>
    </row>
    <row r="432" spans="1:29">
      <c r="A432" s="2">
        <v>836</v>
      </c>
      <c r="B432" s="2">
        <v>252800943</v>
      </c>
      <c r="C432" s="2">
        <v>252800943</v>
      </c>
      <c r="D432" t="s">
        <v>994</v>
      </c>
      <c r="E432" t="s">
        <v>995</v>
      </c>
      <c r="F432" t="s">
        <v>875</v>
      </c>
      <c r="G432" s="3">
        <v>32.64</v>
      </c>
      <c r="H432" s="2">
        <v>0</v>
      </c>
      <c r="I432" s="2">
        <v>0</v>
      </c>
      <c r="J432" s="2">
        <v>0</v>
      </c>
      <c r="K432" s="6">
        <f t="shared" si="13"/>
        <v>32.64</v>
      </c>
      <c r="L432" s="7">
        <v>0.59</v>
      </c>
      <c r="M432" s="10">
        <f t="shared" si="14"/>
        <v>55.322033898305087</v>
      </c>
      <c r="N432" t="s">
        <v>57</v>
      </c>
      <c r="O432" t="s">
        <v>57</v>
      </c>
      <c r="P432" t="s">
        <v>57</v>
      </c>
      <c r="Q432" t="s">
        <v>58</v>
      </c>
      <c r="T432" s="2">
        <v>1</v>
      </c>
      <c r="U432" s="2">
        <v>1</v>
      </c>
      <c r="V432" s="2">
        <v>1</v>
      </c>
      <c r="W432" s="2">
        <v>1</v>
      </c>
      <c r="X432" s="2">
        <v>1</v>
      </c>
      <c r="Y432" s="2">
        <v>1</v>
      </c>
      <c r="Z432" s="2">
        <v>0</v>
      </c>
      <c r="AA432" s="2">
        <v>1</v>
      </c>
      <c r="AB432" s="2">
        <v>0</v>
      </c>
      <c r="AC432" s="2">
        <v>0</v>
      </c>
    </row>
    <row r="433" spans="1:29">
      <c r="A433" s="2">
        <v>837</v>
      </c>
      <c r="B433" s="2">
        <v>252800938</v>
      </c>
      <c r="C433" s="2">
        <v>252800938</v>
      </c>
      <c r="D433" t="s">
        <v>984</v>
      </c>
      <c r="E433" t="s">
        <v>985</v>
      </c>
      <c r="F433" t="s">
        <v>875</v>
      </c>
      <c r="G433" s="2">
        <v>33</v>
      </c>
      <c r="H433" s="2">
        <v>0</v>
      </c>
      <c r="I433" s="2">
        <v>0</v>
      </c>
      <c r="J433" s="2">
        <v>0</v>
      </c>
      <c r="K433" s="6">
        <f t="shared" si="13"/>
        <v>33</v>
      </c>
      <c r="L433" s="7">
        <v>0.59</v>
      </c>
      <c r="M433" s="10">
        <f t="shared" si="14"/>
        <v>55.932203389830512</v>
      </c>
      <c r="N433" t="s">
        <v>57</v>
      </c>
      <c r="O433" t="s">
        <v>57</v>
      </c>
      <c r="P433" t="s">
        <v>57</v>
      </c>
      <c r="Q433" t="s">
        <v>58</v>
      </c>
      <c r="R433" t="s">
        <v>59</v>
      </c>
      <c r="T433" s="2">
        <v>1</v>
      </c>
      <c r="U433" s="2">
        <v>1</v>
      </c>
      <c r="V433" s="2">
        <v>1</v>
      </c>
      <c r="W433" s="2">
        <v>1</v>
      </c>
      <c r="X433" s="2">
        <v>1</v>
      </c>
      <c r="Y433" s="2">
        <v>1</v>
      </c>
      <c r="Z433" s="2">
        <v>0</v>
      </c>
      <c r="AA433" s="2">
        <v>1</v>
      </c>
      <c r="AB433" s="2">
        <v>0</v>
      </c>
      <c r="AC433" s="2">
        <v>0</v>
      </c>
    </row>
    <row r="434" spans="1:29">
      <c r="A434" s="2">
        <v>320</v>
      </c>
      <c r="B434" s="2">
        <v>252650419</v>
      </c>
      <c r="C434" s="2">
        <v>252650419</v>
      </c>
      <c r="D434" t="s">
        <v>891</v>
      </c>
      <c r="E434" t="s">
        <v>892</v>
      </c>
      <c r="F434" t="s">
        <v>75</v>
      </c>
      <c r="G434" s="3">
        <v>33.78</v>
      </c>
      <c r="H434" s="2">
        <v>0</v>
      </c>
      <c r="I434" s="2">
        <v>0</v>
      </c>
      <c r="J434" s="2">
        <v>0</v>
      </c>
      <c r="K434" s="6">
        <f t="shared" si="13"/>
        <v>33.78</v>
      </c>
      <c r="L434" s="7">
        <v>0.7</v>
      </c>
      <c r="M434" s="10">
        <f t="shared" si="14"/>
        <v>48.25714285714286</v>
      </c>
      <c r="N434" t="s">
        <v>57</v>
      </c>
      <c r="O434" t="s">
        <v>57</v>
      </c>
      <c r="P434" t="s">
        <v>57</v>
      </c>
      <c r="Q434" t="s">
        <v>58</v>
      </c>
      <c r="R434" t="s">
        <v>59</v>
      </c>
      <c r="T434" s="2">
        <v>1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>
        <v>0</v>
      </c>
      <c r="AA434" s="2">
        <v>1</v>
      </c>
      <c r="AB434" s="2">
        <v>0</v>
      </c>
      <c r="AC434" s="2">
        <v>0</v>
      </c>
    </row>
    <row r="435" spans="1:29">
      <c r="A435" s="2">
        <v>554</v>
      </c>
      <c r="B435" s="2">
        <v>242201320</v>
      </c>
      <c r="C435" s="2">
        <v>242201320</v>
      </c>
      <c r="D435" t="s">
        <v>439</v>
      </c>
      <c r="E435" s="2">
        <v>1116</v>
      </c>
      <c r="F435" t="s">
        <v>403</v>
      </c>
      <c r="G435" s="3">
        <f>+VLOOKUP(B435,'[1]master_prod_15todos(30-11-2 (2)'!$B$2:$AF$470,31,FALSE)</f>
        <v>34</v>
      </c>
      <c r="H435" s="2">
        <v>0</v>
      </c>
      <c r="I435" s="2">
        <v>0</v>
      </c>
      <c r="J435" s="2">
        <v>0</v>
      </c>
      <c r="K435" s="6">
        <f t="shared" si="13"/>
        <v>34</v>
      </c>
      <c r="L435" s="7">
        <f>+VLOOKUP(B435,'[1]master_prod_15todos(30-11-2 (2)'!$B$2:$AG$470,32,FALSE)</f>
        <v>0.6</v>
      </c>
      <c r="M435" s="10">
        <f t="shared" si="14"/>
        <v>56.666666666666671</v>
      </c>
      <c r="N435" t="s">
        <v>57</v>
      </c>
      <c r="O435" t="s">
        <v>57</v>
      </c>
      <c r="P435" t="s">
        <v>57</v>
      </c>
      <c r="Q435" t="s">
        <v>58</v>
      </c>
      <c r="R435" t="s">
        <v>59</v>
      </c>
      <c r="T435" s="2">
        <v>1</v>
      </c>
      <c r="U435" s="2">
        <v>1</v>
      </c>
      <c r="V435" s="2">
        <v>1</v>
      </c>
      <c r="W435" s="2">
        <v>1</v>
      </c>
      <c r="X435" s="2">
        <v>1</v>
      </c>
      <c r="Y435" s="2">
        <v>1</v>
      </c>
      <c r="Z435" s="2">
        <v>0</v>
      </c>
      <c r="AA435" s="2">
        <v>1</v>
      </c>
      <c r="AB435" s="2">
        <v>0</v>
      </c>
      <c r="AC435" s="2">
        <v>0</v>
      </c>
    </row>
    <row r="436" spans="1:29">
      <c r="A436" s="2">
        <v>229</v>
      </c>
      <c r="B436" s="2">
        <v>242201321</v>
      </c>
      <c r="C436" s="2">
        <v>242201321</v>
      </c>
      <c r="D436" t="s">
        <v>441</v>
      </c>
      <c r="E436" s="2">
        <v>1116</v>
      </c>
      <c r="F436" t="s">
        <v>403</v>
      </c>
      <c r="G436" s="3">
        <f>+VLOOKUP(B436,'[1]master_prod_15todos(30-11-2 (2)'!$B$2:$AF$470,31,FALSE)</f>
        <v>34</v>
      </c>
      <c r="H436" s="2">
        <v>0</v>
      </c>
      <c r="I436" s="2">
        <v>0</v>
      </c>
      <c r="J436" s="2">
        <v>0</v>
      </c>
      <c r="K436" s="6">
        <f t="shared" si="13"/>
        <v>34</v>
      </c>
      <c r="L436" s="7">
        <f>+VLOOKUP(B436,'[1]master_prod_15todos(30-11-2 (2)'!$B$2:$AG$470,32,FALSE)</f>
        <v>0.6</v>
      </c>
      <c r="M436" s="10">
        <f t="shared" si="14"/>
        <v>56.666666666666671</v>
      </c>
      <c r="N436" t="s">
        <v>57</v>
      </c>
      <c r="O436" t="s">
        <v>57</v>
      </c>
      <c r="P436" t="s">
        <v>57</v>
      </c>
      <c r="Q436" t="s">
        <v>58</v>
      </c>
      <c r="R436" t="s">
        <v>59</v>
      </c>
      <c r="T436" s="2">
        <v>1</v>
      </c>
      <c r="U436" s="2">
        <v>1</v>
      </c>
      <c r="V436" s="2">
        <v>1</v>
      </c>
      <c r="W436" s="2">
        <v>1</v>
      </c>
      <c r="X436" s="2">
        <v>1</v>
      </c>
      <c r="Y436" s="2">
        <v>1</v>
      </c>
      <c r="Z436" s="2">
        <v>0</v>
      </c>
      <c r="AA436" s="2">
        <v>1</v>
      </c>
      <c r="AB436" s="2">
        <v>0</v>
      </c>
      <c r="AC436" s="2">
        <v>0</v>
      </c>
    </row>
    <row r="437" spans="1:29">
      <c r="A437" s="2">
        <v>230</v>
      </c>
      <c r="B437" s="2">
        <v>242201323</v>
      </c>
      <c r="C437" s="2">
        <v>242201323</v>
      </c>
      <c r="D437" t="s">
        <v>442</v>
      </c>
      <c r="E437" s="2">
        <v>1116</v>
      </c>
      <c r="F437" t="s">
        <v>403</v>
      </c>
      <c r="G437" s="3">
        <f>+VLOOKUP(B437,'[1]master_prod_15todos(30-11-2 (2)'!$B$2:$AF$470,31,FALSE)</f>
        <v>34</v>
      </c>
      <c r="H437" s="2">
        <v>0</v>
      </c>
      <c r="I437" s="2">
        <v>0</v>
      </c>
      <c r="J437" s="2">
        <v>0</v>
      </c>
      <c r="K437" s="6">
        <f t="shared" si="13"/>
        <v>34</v>
      </c>
      <c r="L437" s="7">
        <f>+VLOOKUP(B437,'[1]master_prod_15todos(30-11-2 (2)'!$B$2:$AG$470,32,FALSE)</f>
        <v>0.6</v>
      </c>
      <c r="M437" s="10">
        <f t="shared" si="14"/>
        <v>56.666666666666671</v>
      </c>
      <c r="N437" t="s">
        <v>57</v>
      </c>
      <c r="O437" t="s">
        <v>57</v>
      </c>
      <c r="P437" t="s">
        <v>57</v>
      </c>
      <c r="Q437" t="s">
        <v>58</v>
      </c>
      <c r="R437" t="s">
        <v>59</v>
      </c>
      <c r="T437" s="2">
        <v>1</v>
      </c>
      <c r="U437" s="2">
        <v>1</v>
      </c>
      <c r="V437" s="2">
        <v>1</v>
      </c>
      <c r="W437" s="2">
        <v>1</v>
      </c>
      <c r="X437" s="2">
        <v>1</v>
      </c>
      <c r="Y437" s="2">
        <v>1</v>
      </c>
      <c r="Z437" s="2">
        <v>0</v>
      </c>
      <c r="AA437" s="2">
        <v>1</v>
      </c>
      <c r="AB437" s="2">
        <v>0</v>
      </c>
      <c r="AC437" s="2">
        <v>0</v>
      </c>
    </row>
    <row r="438" spans="1:29">
      <c r="A438" s="2">
        <v>83</v>
      </c>
      <c r="B438" s="2">
        <v>242400604</v>
      </c>
      <c r="C438" s="2">
        <v>242400604</v>
      </c>
      <c r="D438" t="s">
        <v>557</v>
      </c>
      <c r="E438" t="s">
        <v>558</v>
      </c>
      <c r="F438" t="s">
        <v>559</v>
      </c>
      <c r="G438" s="2">
        <v>34</v>
      </c>
      <c r="H438" s="2">
        <v>0</v>
      </c>
      <c r="I438" s="2">
        <v>0</v>
      </c>
      <c r="J438" s="2">
        <v>0</v>
      </c>
      <c r="K438" s="6">
        <f t="shared" si="13"/>
        <v>34</v>
      </c>
      <c r="L438" s="7">
        <v>0.55000000000000004</v>
      </c>
      <c r="M438" s="10">
        <f t="shared" si="14"/>
        <v>61.818181818181813</v>
      </c>
      <c r="N438" t="s">
        <v>57</v>
      </c>
      <c r="O438" t="s">
        <v>57</v>
      </c>
      <c r="P438" t="s">
        <v>57</v>
      </c>
      <c r="Q438" t="s">
        <v>58</v>
      </c>
      <c r="R438" t="s">
        <v>59</v>
      </c>
      <c r="T438" s="2">
        <v>1</v>
      </c>
      <c r="U438" s="2">
        <v>1</v>
      </c>
      <c r="V438" s="2">
        <v>1</v>
      </c>
      <c r="W438" s="2">
        <v>1</v>
      </c>
      <c r="X438" s="2">
        <v>1</v>
      </c>
      <c r="Y438" s="2">
        <v>1</v>
      </c>
      <c r="Z438" s="2">
        <v>0</v>
      </c>
      <c r="AA438" s="2">
        <v>1</v>
      </c>
      <c r="AB438" s="2">
        <v>0</v>
      </c>
      <c r="AC438" s="2">
        <v>0</v>
      </c>
    </row>
    <row r="439" spans="1:29">
      <c r="A439" s="2">
        <v>82</v>
      </c>
      <c r="B439" s="2">
        <v>242400606</v>
      </c>
      <c r="C439" s="2">
        <v>242400606</v>
      </c>
      <c r="D439" t="s">
        <v>561</v>
      </c>
      <c r="E439" t="s">
        <v>562</v>
      </c>
      <c r="F439" t="s">
        <v>559</v>
      </c>
      <c r="G439">
        <v>34.200000000000003</v>
      </c>
      <c r="H439" s="2">
        <v>0</v>
      </c>
      <c r="I439" s="2">
        <v>0</v>
      </c>
      <c r="J439" s="2">
        <v>0</v>
      </c>
      <c r="K439" s="6">
        <f t="shared" si="13"/>
        <v>34.200000000000003</v>
      </c>
      <c r="L439" s="7">
        <v>0.55000000000000004</v>
      </c>
      <c r="M439" s="10">
        <f t="shared" si="14"/>
        <v>62.18181818181818</v>
      </c>
      <c r="N439" t="s">
        <v>57</v>
      </c>
      <c r="O439" t="s">
        <v>57</v>
      </c>
      <c r="P439" t="s">
        <v>57</v>
      </c>
      <c r="Q439" t="s">
        <v>58</v>
      </c>
      <c r="R439" t="s">
        <v>59</v>
      </c>
      <c r="T439" s="2">
        <v>1</v>
      </c>
      <c r="U439" s="2">
        <v>1</v>
      </c>
      <c r="V439" s="2">
        <v>1</v>
      </c>
      <c r="W439" s="2">
        <v>1</v>
      </c>
      <c r="X439" s="2">
        <v>1</v>
      </c>
      <c r="Y439" s="2">
        <v>1</v>
      </c>
      <c r="Z439" s="2">
        <v>0</v>
      </c>
      <c r="AA439" s="2">
        <v>1</v>
      </c>
      <c r="AB439" s="2">
        <v>0</v>
      </c>
      <c r="AC439" s="2">
        <v>0</v>
      </c>
    </row>
    <row r="440" spans="1:29">
      <c r="A440" s="2">
        <v>237</v>
      </c>
      <c r="B440" s="2">
        <v>242400803</v>
      </c>
      <c r="C440" s="2">
        <v>242400803</v>
      </c>
      <c r="D440" t="s">
        <v>567</v>
      </c>
      <c r="E440" s="2">
        <v>88241</v>
      </c>
      <c r="F440" t="s">
        <v>292</v>
      </c>
      <c r="G440">
        <v>34.475000000000001</v>
      </c>
      <c r="H440" s="2">
        <v>0</v>
      </c>
      <c r="I440" s="2">
        <v>0</v>
      </c>
      <c r="J440" s="2">
        <v>0</v>
      </c>
      <c r="K440" s="6">
        <f t="shared" si="13"/>
        <v>34.475000000000001</v>
      </c>
      <c r="L440" s="7">
        <v>0.64999952864429</v>
      </c>
      <c r="M440" s="10">
        <f t="shared" si="14"/>
        <v>53.038499999999729</v>
      </c>
      <c r="N440" t="s">
        <v>57</v>
      </c>
      <c r="O440" t="s">
        <v>57</v>
      </c>
      <c r="P440" t="s">
        <v>57</v>
      </c>
      <c r="Q440" t="s">
        <v>58</v>
      </c>
      <c r="R440" t="s">
        <v>59</v>
      </c>
      <c r="T440" s="2">
        <v>1</v>
      </c>
      <c r="U440" s="2">
        <v>1</v>
      </c>
      <c r="V440" s="2">
        <v>1</v>
      </c>
      <c r="W440" s="2">
        <v>1</v>
      </c>
      <c r="X440" s="2">
        <v>1</v>
      </c>
      <c r="Y440" s="2">
        <v>1</v>
      </c>
      <c r="Z440" s="2">
        <v>0</v>
      </c>
      <c r="AA440" s="2">
        <v>1</v>
      </c>
      <c r="AB440" s="2">
        <v>0</v>
      </c>
      <c r="AC440" s="2">
        <v>0</v>
      </c>
    </row>
    <row r="441" spans="1:29">
      <c r="A441" s="2">
        <v>243</v>
      </c>
      <c r="B441" s="2">
        <v>243050101</v>
      </c>
      <c r="C441" s="2">
        <v>243050101</v>
      </c>
      <c r="D441" t="s">
        <v>580</v>
      </c>
      <c r="E441" s="2">
        <v>1680</v>
      </c>
      <c r="F441" t="s">
        <v>89</v>
      </c>
      <c r="G441" s="3">
        <v>35.68</v>
      </c>
      <c r="H441" s="2">
        <v>0</v>
      </c>
      <c r="I441" s="2">
        <v>0</v>
      </c>
      <c r="J441" s="2">
        <v>0</v>
      </c>
      <c r="K441" s="6">
        <f t="shared" si="13"/>
        <v>35.68</v>
      </c>
      <c r="L441" s="7">
        <v>0.55000000000000004</v>
      </c>
      <c r="M441" s="10">
        <f t="shared" si="14"/>
        <v>64.872727272727261</v>
      </c>
      <c r="N441" t="s">
        <v>57</v>
      </c>
      <c r="O441" t="s">
        <v>57</v>
      </c>
      <c r="P441" t="s">
        <v>57</v>
      </c>
      <c r="Q441" t="s">
        <v>58</v>
      </c>
      <c r="R441" t="s">
        <v>59</v>
      </c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2">
        <v>1</v>
      </c>
      <c r="Z441" s="2">
        <v>0</v>
      </c>
      <c r="AA441" s="2">
        <v>1</v>
      </c>
      <c r="AB441" s="2">
        <v>0</v>
      </c>
      <c r="AC441" s="2">
        <v>0</v>
      </c>
    </row>
    <row r="442" spans="1:29">
      <c r="A442" s="2">
        <v>839</v>
      </c>
      <c r="B442" s="2">
        <v>252800939</v>
      </c>
      <c r="C442" s="2">
        <v>252800939</v>
      </c>
      <c r="D442" t="s">
        <v>986</v>
      </c>
      <c r="E442" t="s">
        <v>987</v>
      </c>
      <c r="F442" t="s">
        <v>875</v>
      </c>
      <c r="G442" s="3">
        <v>36.57</v>
      </c>
      <c r="H442" s="2">
        <v>0</v>
      </c>
      <c r="I442" s="2">
        <v>0</v>
      </c>
      <c r="J442" s="2">
        <v>0</v>
      </c>
      <c r="K442" s="6">
        <f t="shared" si="13"/>
        <v>36.57</v>
      </c>
      <c r="L442" s="7">
        <v>0.59</v>
      </c>
      <c r="M442" s="10">
        <f t="shared" si="14"/>
        <v>61.983050847457633</v>
      </c>
      <c r="N442" t="s">
        <v>57</v>
      </c>
      <c r="O442" t="s">
        <v>57</v>
      </c>
      <c r="P442" t="s">
        <v>57</v>
      </c>
      <c r="Q442" t="s">
        <v>58</v>
      </c>
      <c r="R442" t="s">
        <v>59</v>
      </c>
      <c r="T442" s="2">
        <v>1</v>
      </c>
      <c r="U442" s="2">
        <v>1</v>
      </c>
      <c r="V442" s="2">
        <v>1</v>
      </c>
      <c r="W442" s="2">
        <v>1</v>
      </c>
      <c r="X442" s="2">
        <v>1</v>
      </c>
      <c r="Y442" s="2">
        <v>1</v>
      </c>
      <c r="Z442" s="2">
        <v>0</v>
      </c>
      <c r="AA442" s="2">
        <v>1</v>
      </c>
      <c r="AB442" s="2">
        <v>0</v>
      </c>
      <c r="AC442" s="2">
        <v>0</v>
      </c>
    </row>
    <row r="443" spans="1:29">
      <c r="A443" s="2">
        <v>135</v>
      </c>
      <c r="B443" s="2">
        <v>241951318</v>
      </c>
      <c r="C443" s="2">
        <v>241951318</v>
      </c>
      <c r="D443" t="s">
        <v>368</v>
      </c>
      <c r="E443" s="2">
        <v>4385005</v>
      </c>
      <c r="F443" t="s">
        <v>224</v>
      </c>
      <c r="G443" s="3">
        <f>+VLOOKUP(B443,'[1]master_prod_15todos(30-11-2 (2)'!$B$2:$AF$470,31,FALSE)</f>
        <v>36.67</v>
      </c>
      <c r="H443" s="2">
        <v>0</v>
      </c>
      <c r="I443" s="2">
        <v>0</v>
      </c>
      <c r="J443" s="2">
        <v>0</v>
      </c>
      <c r="K443" s="6">
        <f t="shared" si="13"/>
        <v>36.67</v>
      </c>
      <c r="L443" s="7">
        <f>+VLOOKUP(B443,'[1]master_prod_15todos(30-11-2 (2)'!$B$2:$AG$470,32,FALSE)</f>
        <v>0.75</v>
      </c>
      <c r="M443" s="10">
        <f t="shared" si="14"/>
        <v>48.893333333333338</v>
      </c>
      <c r="N443" t="s">
        <v>57</v>
      </c>
      <c r="O443" t="s">
        <v>57</v>
      </c>
      <c r="P443" t="s">
        <v>57</v>
      </c>
      <c r="Q443" t="s">
        <v>58</v>
      </c>
      <c r="R443" t="s">
        <v>59</v>
      </c>
      <c r="T443" s="2">
        <v>1</v>
      </c>
      <c r="U443" s="2">
        <v>1</v>
      </c>
      <c r="V443" s="2">
        <v>1</v>
      </c>
      <c r="W443" s="2">
        <v>1</v>
      </c>
      <c r="X443" s="2">
        <v>1</v>
      </c>
      <c r="Y443" s="2">
        <v>1</v>
      </c>
      <c r="Z443" s="2">
        <v>0</v>
      </c>
      <c r="AA443" s="2">
        <v>1</v>
      </c>
      <c r="AB443" s="2">
        <v>0</v>
      </c>
      <c r="AC443" s="2">
        <v>0</v>
      </c>
    </row>
    <row r="444" spans="1:29">
      <c r="A444" s="2">
        <v>342</v>
      </c>
      <c r="B444" s="2">
        <v>252650411</v>
      </c>
      <c r="C444" s="2">
        <v>252650411</v>
      </c>
      <c r="D444" t="s">
        <v>880</v>
      </c>
      <c r="E444" t="s">
        <v>881</v>
      </c>
      <c r="F444" t="s">
        <v>75</v>
      </c>
      <c r="G444">
        <v>36.799999999999997</v>
      </c>
      <c r="H444" s="2">
        <v>0</v>
      </c>
      <c r="I444" s="2">
        <v>0</v>
      </c>
      <c r="J444" s="2">
        <v>0</v>
      </c>
      <c r="K444" s="6">
        <f t="shared" si="13"/>
        <v>36.799999999999997</v>
      </c>
      <c r="L444" s="7">
        <v>0.45</v>
      </c>
      <c r="M444" s="10">
        <f t="shared" si="14"/>
        <v>81.777777777777771</v>
      </c>
      <c r="N444" t="s">
        <v>57</v>
      </c>
      <c r="O444" t="s">
        <v>57</v>
      </c>
      <c r="P444" t="s">
        <v>57</v>
      </c>
      <c r="Q444" t="s">
        <v>58</v>
      </c>
      <c r="R444" t="s">
        <v>59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1</v>
      </c>
      <c r="Z444" s="2">
        <v>0</v>
      </c>
      <c r="AA444" s="2">
        <v>1</v>
      </c>
      <c r="AB444" s="2">
        <v>0</v>
      </c>
      <c r="AC444" s="2">
        <v>0</v>
      </c>
    </row>
    <row r="445" spans="1:29">
      <c r="A445" s="2">
        <v>714</v>
      </c>
      <c r="B445" s="2">
        <v>241951217</v>
      </c>
      <c r="C445" s="2">
        <v>241951217</v>
      </c>
      <c r="D445" t="s">
        <v>366</v>
      </c>
      <c r="E445" t="s">
        <v>367</v>
      </c>
      <c r="F445" t="s">
        <v>340</v>
      </c>
      <c r="G445" s="3">
        <f>+VLOOKUP(B445,'[1]master_prod_15todos(30-11-2 (2)'!$B$2:$AF$470,31,FALSE)</f>
        <v>37.299999999999997</v>
      </c>
      <c r="H445" s="2">
        <v>0</v>
      </c>
      <c r="I445" s="2">
        <v>0</v>
      </c>
      <c r="J445" s="2">
        <v>0</v>
      </c>
      <c r="K445" s="6">
        <f t="shared" si="13"/>
        <v>37.299999999999997</v>
      </c>
      <c r="L445" s="7">
        <f>+VLOOKUP(B445,'[1]master_prod_15todos(30-11-2 (2)'!$B$2:$AG$470,32,FALSE)</f>
        <v>0.7</v>
      </c>
      <c r="M445" s="10">
        <f t="shared" si="14"/>
        <v>53.285714285714285</v>
      </c>
      <c r="N445" t="s">
        <v>57</v>
      </c>
      <c r="O445" t="s">
        <v>57</v>
      </c>
      <c r="P445" t="s">
        <v>57</v>
      </c>
      <c r="Q445" t="s">
        <v>58</v>
      </c>
      <c r="R445" t="s">
        <v>59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2">
        <v>1</v>
      </c>
      <c r="Z445" s="2">
        <v>0</v>
      </c>
      <c r="AA445" s="2">
        <v>1</v>
      </c>
      <c r="AB445" s="2">
        <v>0</v>
      </c>
      <c r="AC445" s="2">
        <v>0</v>
      </c>
    </row>
    <row r="446" spans="1:29">
      <c r="A446" s="2">
        <v>881</v>
      </c>
      <c r="B446" s="2">
        <v>251950501</v>
      </c>
      <c r="C446" s="2">
        <v>251950501</v>
      </c>
      <c r="D446" t="s">
        <v>794</v>
      </c>
      <c r="E446" t="s">
        <v>795</v>
      </c>
      <c r="F446" t="s">
        <v>45</v>
      </c>
      <c r="G446">
        <v>37.5</v>
      </c>
      <c r="H446" s="2">
        <v>0</v>
      </c>
      <c r="I446" s="2">
        <v>0</v>
      </c>
      <c r="J446" s="2">
        <v>0</v>
      </c>
      <c r="K446" s="6">
        <f t="shared" si="13"/>
        <v>37.5</v>
      </c>
      <c r="L446" s="7">
        <v>0.75</v>
      </c>
      <c r="M446" s="10">
        <f t="shared" si="14"/>
        <v>50</v>
      </c>
      <c r="N446" t="s">
        <v>57</v>
      </c>
      <c r="O446" t="s">
        <v>57</v>
      </c>
      <c r="P446" t="s">
        <v>57</v>
      </c>
      <c r="Q446" t="s">
        <v>58</v>
      </c>
      <c r="R446" t="s">
        <v>59</v>
      </c>
      <c r="T446" s="2">
        <v>1</v>
      </c>
      <c r="U446" s="2">
        <v>1</v>
      </c>
      <c r="V446" s="2">
        <v>1</v>
      </c>
      <c r="W446" s="2">
        <v>1</v>
      </c>
      <c r="X446" s="2">
        <v>1</v>
      </c>
      <c r="Y446" s="2">
        <v>1</v>
      </c>
      <c r="Z446" s="2">
        <v>0</v>
      </c>
      <c r="AA446" s="2">
        <v>1</v>
      </c>
      <c r="AB446" s="2">
        <v>0</v>
      </c>
      <c r="AC446" s="2">
        <v>0</v>
      </c>
    </row>
    <row r="447" spans="1:29">
      <c r="A447" s="2">
        <v>282</v>
      </c>
      <c r="B447" s="2">
        <v>250503321</v>
      </c>
      <c r="C447" s="2">
        <v>250503321</v>
      </c>
      <c r="D447" t="s">
        <v>759</v>
      </c>
      <c r="E447" t="s">
        <v>760</v>
      </c>
      <c r="F447" t="s">
        <v>279</v>
      </c>
      <c r="G447" s="2">
        <v>40</v>
      </c>
      <c r="H447" s="2">
        <v>0</v>
      </c>
      <c r="I447" s="2">
        <v>0</v>
      </c>
      <c r="J447" s="2">
        <v>0</v>
      </c>
      <c r="K447" s="6">
        <f t="shared" si="13"/>
        <v>40</v>
      </c>
      <c r="L447" s="7">
        <v>0.64</v>
      </c>
      <c r="M447" s="10">
        <f t="shared" si="14"/>
        <v>62.5</v>
      </c>
      <c r="N447" t="s">
        <v>57</v>
      </c>
      <c r="O447" t="s">
        <v>57</v>
      </c>
      <c r="P447" t="s">
        <v>57</v>
      </c>
      <c r="Q447" t="s">
        <v>58</v>
      </c>
      <c r="R447" t="s">
        <v>59</v>
      </c>
      <c r="T447" s="2">
        <v>1</v>
      </c>
      <c r="U447" s="2">
        <v>1</v>
      </c>
      <c r="V447" s="2">
        <v>1</v>
      </c>
      <c r="W447" s="2">
        <v>1</v>
      </c>
      <c r="X447" s="2">
        <v>1</v>
      </c>
      <c r="Y447" s="2">
        <v>1</v>
      </c>
      <c r="Z447" s="2">
        <v>0</v>
      </c>
      <c r="AA447" s="2">
        <v>1</v>
      </c>
      <c r="AB447" s="2">
        <v>0</v>
      </c>
      <c r="AC447" s="2">
        <v>0</v>
      </c>
    </row>
    <row r="448" spans="1:29">
      <c r="A448" s="2">
        <v>838</v>
      </c>
      <c r="B448" s="2">
        <v>252650410</v>
      </c>
      <c r="C448" s="2">
        <v>252650410</v>
      </c>
      <c r="D448" t="s">
        <v>878</v>
      </c>
      <c r="E448" t="s">
        <v>879</v>
      </c>
      <c r="F448" t="s">
        <v>875</v>
      </c>
      <c r="G448">
        <v>40.200000000000003</v>
      </c>
      <c r="H448" s="2">
        <v>0</v>
      </c>
      <c r="I448" s="2">
        <v>0</v>
      </c>
      <c r="J448" s="2">
        <v>0</v>
      </c>
      <c r="K448" s="6">
        <f t="shared" si="13"/>
        <v>40.200000000000003</v>
      </c>
      <c r="L448" s="7">
        <v>0.55000000000000004</v>
      </c>
      <c r="M448" s="10">
        <f t="shared" si="14"/>
        <v>73.090909090909093</v>
      </c>
      <c r="N448" t="s">
        <v>57</v>
      </c>
      <c r="O448" t="s">
        <v>57</v>
      </c>
      <c r="P448" t="s">
        <v>57</v>
      </c>
      <c r="Q448" t="s">
        <v>58</v>
      </c>
      <c r="R448" t="s">
        <v>59</v>
      </c>
      <c r="T448" s="2">
        <v>1</v>
      </c>
      <c r="U448" s="2">
        <v>1</v>
      </c>
      <c r="V448" s="2">
        <v>1</v>
      </c>
      <c r="W448" s="2">
        <v>1</v>
      </c>
      <c r="X448" s="2">
        <v>1</v>
      </c>
      <c r="Y448" s="2">
        <v>1</v>
      </c>
      <c r="Z448" s="2">
        <v>0</v>
      </c>
      <c r="AA448" s="2">
        <v>1</v>
      </c>
      <c r="AB448" s="2">
        <v>0</v>
      </c>
      <c r="AC448" s="2">
        <v>0</v>
      </c>
    </row>
    <row r="449" spans="1:29">
      <c r="A449" s="2">
        <v>867</v>
      </c>
      <c r="B449" s="2">
        <v>253400433</v>
      </c>
      <c r="C449" s="2">
        <v>253400433</v>
      </c>
      <c r="D449" t="s">
        <v>1081</v>
      </c>
      <c r="F449" t="s">
        <v>578</v>
      </c>
      <c r="G449">
        <v>40.6</v>
      </c>
      <c r="H449" s="2">
        <v>0</v>
      </c>
      <c r="I449" s="2">
        <v>0</v>
      </c>
      <c r="J449" s="2">
        <v>0</v>
      </c>
      <c r="K449" s="6">
        <f t="shared" si="13"/>
        <v>40.6</v>
      </c>
      <c r="L449" s="7">
        <v>0.64</v>
      </c>
      <c r="M449" s="10">
        <f t="shared" si="14"/>
        <v>63.4375</v>
      </c>
      <c r="N449" t="s">
        <v>57</v>
      </c>
      <c r="O449" t="s">
        <v>57</v>
      </c>
      <c r="P449" t="s">
        <v>57</v>
      </c>
      <c r="Q449" t="s">
        <v>58</v>
      </c>
      <c r="R449" t="s">
        <v>59</v>
      </c>
      <c r="T449" s="2">
        <v>1</v>
      </c>
      <c r="U449" s="2">
        <v>1</v>
      </c>
      <c r="V449" s="2">
        <v>1</v>
      </c>
      <c r="W449" s="2">
        <v>1</v>
      </c>
      <c r="X449" s="2">
        <v>1</v>
      </c>
      <c r="Y449" s="2">
        <v>1</v>
      </c>
      <c r="Z449" s="2">
        <v>0</v>
      </c>
      <c r="AA449" s="2">
        <v>1</v>
      </c>
      <c r="AB449" s="2">
        <v>0</v>
      </c>
      <c r="AC449" s="2">
        <v>0</v>
      </c>
    </row>
    <row r="450" spans="1:29">
      <c r="A450" s="2">
        <v>649</v>
      </c>
      <c r="B450" s="2">
        <v>252800608</v>
      </c>
      <c r="C450" s="2">
        <v>252800608</v>
      </c>
      <c r="D450" t="s">
        <v>945</v>
      </c>
      <c r="F450" t="s">
        <v>56</v>
      </c>
      <c r="G450" s="3">
        <v>41.67</v>
      </c>
      <c r="H450" s="2">
        <v>0</v>
      </c>
      <c r="I450" s="2">
        <v>0</v>
      </c>
      <c r="J450" s="2">
        <v>0</v>
      </c>
      <c r="K450" s="6">
        <f t="shared" si="13"/>
        <v>41.67</v>
      </c>
      <c r="L450" s="7">
        <v>0.7</v>
      </c>
      <c r="M450" s="10">
        <f t="shared" si="14"/>
        <v>59.528571428571432</v>
      </c>
      <c r="N450" t="s">
        <v>57</v>
      </c>
      <c r="O450" t="s">
        <v>57</v>
      </c>
      <c r="P450" t="s">
        <v>57</v>
      </c>
      <c r="Q450" t="s">
        <v>58</v>
      </c>
      <c r="R450" t="s">
        <v>59</v>
      </c>
      <c r="T450" s="2">
        <v>1</v>
      </c>
      <c r="U450" s="2">
        <v>1</v>
      </c>
      <c r="V450" s="2">
        <v>1</v>
      </c>
      <c r="W450" s="2">
        <v>1</v>
      </c>
      <c r="X450" s="2">
        <v>1</v>
      </c>
      <c r="Y450" s="2">
        <v>1</v>
      </c>
      <c r="Z450" s="2">
        <v>0</v>
      </c>
      <c r="AA450" s="2">
        <v>1</v>
      </c>
      <c r="AB450" s="2">
        <v>0</v>
      </c>
      <c r="AC450" s="2">
        <v>0</v>
      </c>
    </row>
    <row r="451" spans="1:29">
      <c r="A451" s="2">
        <v>710</v>
      </c>
      <c r="B451" s="2">
        <v>252800018</v>
      </c>
      <c r="C451" s="2">
        <v>252800018</v>
      </c>
      <c r="D451" t="s">
        <v>912</v>
      </c>
      <c r="E451" t="s">
        <v>913</v>
      </c>
      <c r="F451" t="s">
        <v>219</v>
      </c>
      <c r="G451" s="3">
        <v>43.66</v>
      </c>
      <c r="H451" s="2">
        <v>0</v>
      </c>
      <c r="I451" s="2">
        <v>0</v>
      </c>
      <c r="J451" s="2">
        <v>0</v>
      </c>
      <c r="K451" s="6">
        <f t="shared" ref="K451:K514" si="15">SUM(G451:J451)</f>
        <v>43.66</v>
      </c>
      <c r="L451" s="7">
        <v>0.6</v>
      </c>
      <c r="M451" s="10">
        <f t="shared" si="14"/>
        <v>72.766666666666666</v>
      </c>
      <c r="N451" t="s">
        <v>57</v>
      </c>
      <c r="O451" t="s">
        <v>57</v>
      </c>
      <c r="P451" t="s">
        <v>57</v>
      </c>
      <c r="Q451" t="s">
        <v>58</v>
      </c>
      <c r="R451" t="s">
        <v>59</v>
      </c>
      <c r="T451" s="2">
        <v>1</v>
      </c>
      <c r="U451" s="2">
        <v>1</v>
      </c>
      <c r="V451" s="2">
        <v>1</v>
      </c>
      <c r="W451" s="2">
        <v>1</v>
      </c>
      <c r="X451" s="2">
        <v>1</v>
      </c>
      <c r="Y451" s="2">
        <v>1</v>
      </c>
      <c r="Z451" s="2">
        <v>0</v>
      </c>
      <c r="AA451" s="2">
        <v>1</v>
      </c>
      <c r="AB451" s="2">
        <v>0</v>
      </c>
      <c r="AC451" s="2">
        <v>0</v>
      </c>
    </row>
    <row r="452" spans="1:29">
      <c r="A452" s="2">
        <v>121</v>
      </c>
      <c r="B452" s="2">
        <v>241010209</v>
      </c>
      <c r="C452" s="2">
        <v>241010209</v>
      </c>
      <c r="D452" t="s">
        <v>252</v>
      </c>
      <c r="E452" s="2">
        <v>12072230</v>
      </c>
      <c r="F452" t="s">
        <v>100</v>
      </c>
      <c r="G452" s="3">
        <f>+VLOOKUP(B452,'[1]master_prod_15todos(30-11-2 (2)'!$B$2:$AF$470,31,FALSE)</f>
        <v>45</v>
      </c>
      <c r="H452" s="2">
        <v>0</v>
      </c>
      <c r="I452" s="2">
        <v>0</v>
      </c>
      <c r="J452" s="2">
        <v>0</v>
      </c>
      <c r="K452" s="6">
        <f t="shared" si="15"/>
        <v>45</v>
      </c>
      <c r="L452" s="7">
        <f>+VLOOKUP(B452,'[1]master_prod_15todos(30-11-2 (2)'!$B$2:$AG$470,32,FALSE)</f>
        <v>0.85</v>
      </c>
      <c r="M452" s="10">
        <f t="shared" ref="M452:M515" si="16">+K452/L452</f>
        <v>52.941176470588239</v>
      </c>
      <c r="N452" t="s">
        <v>57</v>
      </c>
      <c r="O452" t="s">
        <v>57</v>
      </c>
      <c r="P452" t="s">
        <v>57</v>
      </c>
      <c r="Q452" t="s">
        <v>58</v>
      </c>
      <c r="R452" t="s">
        <v>59</v>
      </c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2">
        <v>1</v>
      </c>
      <c r="Z452" s="2">
        <v>0</v>
      </c>
      <c r="AA452" s="2">
        <v>1</v>
      </c>
      <c r="AB452" s="2">
        <v>0</v>
      </c>
      <c r="AC452" s="2">
        <v>0</v>
      </c>
    </row>
    <row r="453" spans="1:29">
      <c r="A453" s="2">
        <v>796</v>
      </c>
      <c r="B453" s="2">
        <v>252800517</v>
      </c>
      <c r="C453" s="2">
        <v>252800517</v>
      </c>
      <c r="D453" t="s">
        <v>937</v>
      </c>
      <c r="E453" t="s">
        <v>938</v>
      </c>
      <c r="F453" t="s">
        <v>75</v>
      </c>
      <c r="G453" s="3">
        <v>45.56</v>
      </c>
      <c r="H453" s="2">
        <v>0</v>
      </c>
      <c r="I453" s="2">
        <v>0</v>
      </c>
      <c r="J453" s="2">
        <v>0</v>
      </c>
      <c r="K453" s="6">
        <f t="shared" si="15"/>
        <v>45.56</v>
      </c>
      <c r="L453" s="7">
        <v>0.43</v>
      </c>
      <c r="M453" s="10">
        <f t="shared" si="16"/>
        <v>105.95348837209303</v>
      </c>
      <c r="N453" t="s">
        <v>57</v>
      </c>
      <c r="O453" t="s">
        <v>57</v>
      </c>
      <c r="P453" t="s">
        <v>57</v>
      </c>
      <c r="Q453" t="s">
        <v>58</v>
      </c>
      <c r="R453" t="s">
        <v>59</v>
      </c>
      <c r="T453" s="2">
        <v>1</v>
      </c>
      <c r="U453" s="2">
        <v>1</v>
      </c>
      <c r="V453" s="2">
        <v>1</v>
      </c>
      <c r="W453" s="2">
        <v>1</v>
      </c>
      <c r="X453" s="2">
        <v>1</v>
      </c>
      <c r="Y453" s="2">
        <v>1</v>
      </c>
      <c r="Z453" s="2">
        <v>0</v>
      </c>
      <c r="AA453" s="2">
        <v>1</v>
      </c>
      <c r="AB453" s="2">
        <v>0</v>
      </c>
      <c r="AC453" s="2">
        <v>0</v>
      </c>
    </row>
    <row r="454" spans="1:29">
      <c r="A454" s="2">
        <v>292</v>
      </c>
      <c r="B454" s="2">
        <v>240550607</v>
      </c>
      <c r="C454" s="2">
        <v>240550607</v>
      </c>
      <c r="D454" t="s">
        <v>124</v>
      </c>
      <c r="E454" t="s">
        <v>125</v>
      </c>
      <c r="F454" t="s">
        <v>126</v>
      </c>
      <c r="G454" s="3">
        <f>+VLOOKUP(B454,'[1]master_prod_15todos(30-11-2 (2)'!$B$2:$AF$470,31,FALSE)</f>
        <v>46.75</v>
      </c>
      <c r="H454" s="2">
        <v>0</v>
      </c>
      <c r="I454" s="2">
        <v>0</v>
      </c>
      <c r="J454" s="2">
        <v>0</v>
      </c>
      <c r="K454" s="6">
        <f t="shared" si="15"/>
        <v>46.75</v>
      </c>
      <c r="L454" s="7">
        <f>+VLOOKUP(B454,'[1]master_prod_15todos(30-11-2 (2)'!$B$2:$AG$470,32,FALSE)</f>
        <v>0.8</v>
      </c>
      <c r="M454" s="10">
        <f t="shared" si="16"/>
        <v>58.4375</v>
      </c>
      <c r="N454" t="s">
        <v>57</v>
      </c>
      <c r="O454" t="s">
        <v>57</v>
      </c>
      <c r="P454" t="s">
        <v>57</v>
      </c>
      <c r="Q454" t="s">
        <v>58</v>
      </c>
      <c r="R454" t="s">
        <v>59</v>
      </c>
      <c r="T454" s="2">
        <v>1</v>
      </c>
      <c r="U454" s="2">
        <v>1</v>
      </c>
      <c r="V454" s="2">
        <v>1</v>
      </c>
      <c r="W454" s="2">
        <v>1</v>
      </c>
      <c r="X454" s="2">
        <v>1</v>
      </c>
      <c r="Y454" s="2">
        <v>1</v>
      </c>
      <c r="Z454" s="2">
        <v>0</v>
      </c>
      <c r="AA454" s="2">
        <v>1</v>
      </c>
      <c r="AB454" s="2">
        <v>0</v>
      </c>
      <c r="AC454" s="2">
        <v>0</v>
      </c>
    </row>
    <row r="455" spans="1:29">
      <c r="A455" s="2">
        <v>907</v>
      </c>
      <c r="B455" s="2">
        <v>240550613</v>
      </c>
      <c r="C455" s="2">
        <v>240550613</v>
      </c>
      <c r="D455" t="s">
        <v>130</v>
      </c>
      <c r="E455" t="s">
        <v>131</v>
      </c>
      <c r="F455" t="s">
        <v>132</v>
      </c>
      <c r="G455" s="3">
        <f>+VLOOKUP(B455,'[1]master_prod_15todos(30-11-2 (2)'!$B$2:$AF$470,31,FALSE)</f>
        <v>46.75</v>
      </c>
      <c r="H455" s="2">
        <v>0</v>
      </c>
      <c r="I455" s="2">
        <v>0</v>
      </c>
      <c r="J455" s="2">
        <v>0</v>
      </c>
      <c r="K455" s="6">
        <f t="shared" si="15"/>
        <v>46.75</v>
      </c>
      <c r="L455" s="7">
        <f>+VLOOKUP(B455,'[1]master_prod_15todos(30-11-2 (2)'!$B$2:$AG$470,32,FALSE)</f>
        <v>0.8</v>
      </c>
      <c r="M455" s="10">
        <f t="shared" si="16"/>
        <v>58.4375</v>
      </c>
      <c r="N455" t="s">
        <v>57</v>
      </c>
      <c r="O455" t="s">
        <v>57</v>
      </c>
      <c r="P455" t="s">
        <v>57</v>
      </c>
      <c r="Q455" t="s">
        <v>58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2">
        <v>1</v>
      </c>
      <c r="Z455" s="2">
        <v>0</v>
      </c>
      <c r="AA455" s="2">
        <v>1</v>
      </c>
      <c r="AB455" s="2">
        <v>0</v>
      </c>
      <c r="AC455" s="2">
        <v>0</v>
      </c>
    </row>
    <row r="456" spans="1:29">
      <c r="A456" s="2">
        <v>291</v>
      </c>
      <c r="B456" s="2">
        <v>240550616</v>
      </c>
      <c r="C456" s="2">
        <v>240550616</v>
      </c>
      <c r="D456" t="s">
        <v>133</v>
      </c>
      <c r="E456" t="s">
        <v>125</v>
      </c>
      <c r="F456" t="s">
        <v>134</v>
      </c>
      <c r="G456" s="3">
        <f>+VLOOKUP(B456,'[1]master_prod_15todos(30-11-2 (2)'!$B$2:$AF$470,31,FALSE)</f>
        <v>46.75</v>
      </c>
      <c r="H456" s="2">
        <v>0</v>
      </c>
      <c r="I456" s="2">
        <v>0</v>
      </c>
      <c r="J456" s="2">
        <v>0</v>
      </c>
      <c r="K456" s="6">
        <f t="shared" si="15"/>
        <v>46.75</v>
      </c>
      <c r="L456" s="7">
        <f>+VLOOKUP(B456,'[1]master_prod_15todos(30-11-2 (2)'!$B$2:$AG$470,32,FALSE)</f>
        <v>0.8</v>
      </c>
      <c r="M456" s="10">
        <f t="shared" si="16"/>
        <v>58.4375</v>
      </c>
      <c r="N456" t="s">
        <v>57</v>
      </c>
      <c r="O456" t="s">
        <v>57</v>
      </c>
      <c r="P456" t="s">
        <v>57</v>
      </c>
      <c r="Q456" t="s">
        <v>58</v>
      </c>
      <c r="T456" s="2">
        <v>1</v>
      </c>
      <c r="U456" s="2">
        <v>1</v>
      </c>
      <c r="V456" s="2">
        <v>1</v>
      </c>
      <c r="W456" s="2">
        <v>1</v>
      </c>
      <c r="X456" s="2">
        <v>0</v>
      </c>
      <c r="Y456" s="2">
        <v>0</v>
      </c>
      <c r="Z456" s="2">
        <v>0</v>
      </c>
      <c r="AA456" s="2">
        <v>1</v>
      </c>
      <c r="AB456" s="2">
        <v>0</v>
      </c>
      <c r="AC456" s="2">
        <v>0</v>
      </c>
    </row>
    <row r="457" spans="1:29">
      <c r="A457" s="2">
        <v>770</v>
      </c>
      <c r="B457" s="2">
        <v>250750119</v>
      </c>
      <c r="C457" s="2">
        <v>250750119</v>
      </c>
      <c r="D457" t="s">
        <v>773</v>
      </c>
      <c r="F457" t="s">
        <v>288</v>
      </c>
      <c r="G457" s="3">
        <v>48.25</v>
      </c>
      <c r="H457" s="2">
        <v>0</v>
      </c>
      <c r="I457" s="2">
        <v>0</v>
      </c>
      <c r="J457" s="2">
        <v>0</v>
      </c>
      <c r="K457" s="6">
        <f t="shared" si="15"/>
        <v>48.25</v>
      </c>
      <c r="L457" s="7">
        <v>0.6</v>
      </c>
      <c r="M457" s="10">
        <f t="shared" si="16"/>
        <v>80.416666666666671</v>
      </c>
      <c r="N457" t="s">
        <v>57</v>
      </c>
      <c r="O457" t="s">
        <v>57</v>
      </c>
      <c r="P457" t="s">
        <v>57</v>
      </c>
      <c r="Q457" t="s">
        <v>58</v>
      </c>
      <c r="T457" s="2">
        <v>1</v>
      </c>
      <c r="U457" s="2">
        <v>1</v>
      </c>
      <c r="V457" s="2">
        <v>1</v>
      </c>
      <c r="W457" s="2">
        <v>1</v>
      </c>
      <c r="X457" s="2">
        <v>1</v>
      </c>
      <c r="Y457" s="2">
        <v>1</v>
      </c>
      <c r="Z457" s="2">
        <v>0</v>
      </c>
      <c r="AA457" s="2">
        <v>1</v>
      </c>
      <c r="AB457" s="2">
        <v>0</v>
      </c>
      <c r="AC457" s="2">
        <v>0</v>
      </c>
    </row>
    <row r="458" spans="1:29">
      <c r="A458" s="2">
        <v>166</v>
      </c>
      <c r="B458" s="2">
        <v>250500327</v>
      </c>
      <c r="C458" s="2">
        <v>250500327</v>
      </c>
      <c r="D458" t="s">
        <v>751</v>
      </c>
      <c r="E458" t="s">
        <v>752</v>
      </c>
      <c r="F458" t="s">
        <v>353</v>
      </c>
      <c r="G458" s="3">
        <v>48.75</v>
      </c>
      <c r="H458" s="2">
        <v>0</v>
      </c>
      <c r="I458" s="2">
        <v>0</v>
      </c>
      <c r="J458" s="2">
        <v>0</v>
      </c>
      <c r="K458" s="6">
        <f t="shared" si="15"/>
        <v>48.75</v>
      </c>
      <c r="L458" s="7">
        <v>0.65</v>
      </c>
      <c r="M458" s="10">
        <f t="shared" si="16"/>
        <v>75</v>
      </c>
      <c r="N458" t="s">
        <v>57</v>
      </c>
      <c r="O458" t="s">
        <v>57</v>
      </c>
      <c r="P458" t="s">
        <v>57</v>
      </c>
      <c r="Q458" t="s">
        <v>58</v>
      </c>
      <c r="R458" t="s">
        <v>59</v>
      </c>
      <c r="T458" s="2">
        <v>1</v>
      </c>
      <c r="U458" s="2">
        <v>1</v>
      </c>
      <c r="V458" s="2">
        <v>1</v>
      </c>
      <c r="W458" s="2">
        <v>1</v>
      </c>
      <c r="X458" s="2">
        <v>0</v>
      </c>
      <c r="Y458" s="2">
        <v>0</v>
      </c>
      <c r="Z458" s="2">
        <v>0</v>
      </c>
      <c r="AA458" s="2">
        <v>1</v>
      </c>
      <c r="AB458" s="2">
        <v>0</v>
      </c>
      <c r="AC458" s="2">
        <v>0</v>
      </c>
    </row>
    <row r="459" spans="1:29">
      <c r="A459" s="2">
        <v>364</v>
      </c>
      <c r="B459" s="2">
        <v>240600222</v>
      </c>
      <c r="C459" s="2">
        <v>240600222</v>
      </c>
      <c r="D459" t="s">
        <v>168</v>
      </c>
      <c r="E459" s="2">
        <v>11230035</v>
      </c>
      <c r="F459" t="s">
        <v>100</v>
      </c>
      <c r="G459" s="3">
        <f>+VLOOKUP(B459,'[1]master_prod_15todos(30-11-2 (2)'!$B$2:$AF$470,31,FALSE)</f>
        <v>52.5</v>
      </c>
      <c r="H459" s="2">
        <v>0</v>
      </c>
      <c r="I459" s="2">
        <v>0</v>
      </c>
      <c r="J459" s="2">
        <v>0</v>
      </c>
      <c r="K459" s="6">
        <f t="shared" si="15"/>
        <v>52.5</v>
      </c>
      <c r="L459" s="7">
        <f>+VLOOKUP(B459,'[1]master_prod_15todos(30-11-2 (2)'!$B$2:$AG$470,32,FALSE)</f>
        <v>0.85</v>
      </c>
      <c r="M459" s="10">
        <f t="shared" si="16"/>
        <v>61.764705882352942</v>
      </c>
      <c r="N459" t="s">
        <v>57</v>
      </c>
      <c r="O459" t="s">
        <v>57</v>
      </c>
      <c r="P459" t="s">
        <v>57</v>
      </c>
      <c r="Q459" t="s">
        <v>58</v>
      </c>
      <c r="R459" t="s">
        <v>59</v>
      </c>
      <c r="T459" s="2">
        <v>1</v>
      </c>
      <c r="U459" s="2">
        <v>12</v>
      </c>
      <c r="V459" s="2">
        <v>1</v>
      </c>
      <c r="W459" s="2">
        <v>1</v>
      </c>
      <c r="X459" s="2">
        <v>0</v>
      </c>
      <c r="Y459" s="2">
        <v>1</v>
      </c>
      <c r="Z459" s="2">
        <v>0</v>
      </c>
      <c r="AA459" s="2">
        <v>1</v>
      </c>
      <c r="AB459" s="2">
        <v>0</v>
      </c>
      <c r="AC459" s="2">
        <v>0</v>
      </c>
    </row>
    <row r="460" spans="1:29">
      <c r="A460" s="2">
        <v>365</v>
      </c>
      <c r="B460" s="2">
        <v>240600227</v>
      </c>
      <c r="C460" s="2">
        <v>240600227</v>
      </c>
      <c r="D460" t="s">
        <v>175</v>
      </c>
      <c r="E460" s="2">
        <v>240600227</v>
      </c>
      <c r="F460" t="s">
        <v>100</v>
      </c>
      <c r="G460" s="3">
        <f>+VLOOKUP(B460,'[1]master_prod_15todos(30-11-2 (2)'!$B$2:$AF$470,31,FALSE)</f>
        <v>52.5</v>
      </c>
      <c r="H460" s="2">
        <v>0</v>
      </c>
      <c r="I460" s="2">
        <v>0</v>
      </c>
      <c r="J460" s="2">
        <v>0</v>
      </c>
      <c r="K460" s="6">
        <f t="shared" si="15"/>
        <v>52.5</v>
      </c>
      <c r="L460" s="7">
        <f>+VLOOKUP(B460,'[1]master_prod_15todos(30-11-2 (2)'!$B$2:$AG$470,32,FALSE)</f>
        <v>0.85</v>
      </c>
      <c r="M460" s="10">
        <f t="shared" si="16"/>
        <v>61.764705882352942</v>
      </c>
      <c r="N460" t="s">
        <v>57</v>
      </c>
      <c r="O460" t="s">
        <v>57</v>
      </c>
      <c r="P460" t="s">
        <v>57</v>
      </c>
      <c r="Q460" t="s">
        <v>58</v>
      </c>
      <c r="R460" t="s">
        <v>59</v>
      </c>
      <c r="T460" s="2">
        <v>1</v>
      </c>
      <c r="U460" s="2">
        <v>1</v>
      </c>
      <c r="V460" s="2">
        <v>1</v>
      </c>
      <c r="W460" s="2">
        <v>1</v>
      </c>
      <c r="X460" s="2">
        <v>1</v>
      </c>
      <c r="Y460" s="2">
        <v>1</v>
      </c>
      <c r="Z460" s="2">
        <v>0</v>
      </c>
      <c r="AA460" s="2">
        <v>1</v>
      </c>
      <c r="AB460" s="2">
        <v>0</v>
      </c>
      <c r="AC460" s="2">
        <v>0</v>
      </c>
    </row>
    <row r="461" spans="1:29">
      <c r="A461" s="2">
        <v>367</v>
      </c>
      <c r="B461" s="2">
        <v>240600229</v>
      </c>
      <c r="C461" s="2">
        <v>240600229</v>
      </c>
      <c r="D461" t="s">
        <v>176</v>
      </c>
      <c r="E461" s="2">
        <v>240600229</v>
      </c>
      <c r="F461" t="s">
        <v>100</v>
      </c>
      <c r="G461" s="3">
        <f>+VLOOKUP(B461,'[1]master_prod_15todos(30-11-2 (2)'!$B$2:$AF$470,31,FALSE)</f>
        <v>52.5</v>
      </c>
      <c r="H461" s="2">
        <v>0</v>
      </c>
      <c r="I461" s="2">
        <v>0</v>
      </c>
      <c r="J461" s="2">
        <v>0</v>
      </c>
      <c r="K461" s="6">
        <f t="shared" si="15"/>
        <v>52.5</v>
      </c>
      <c r="L461" s="7">
        <f>+VLOOKUP(B461,'[1]master_prod_15todos(30-11-2 (2)'!$B$2:$AG$470,32,FALSE)</f>
        <v>0.85</v>
      </c>
      <c r="M461" s="10">
        <f t="shared" si="16"/>
        <v>61.764705882352942</v>
      </c>
      <c r="N461" t="s">
        <v>57</v>
      </c>
      <c r="O461" t="s">
        <v>57</v>
      </c>
      <c r="P461" t="s">
        <v>57</v>
      </c>
      <c r="Q461" t="s">
        <v>58</v>
      </c>
      <c r="R461" t="s">
        <v>59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0</v>
      </c>
      <c r="AA461" s="2">
        <v>1</v>
      </c>
      <c r="AB461" s="2">
        <v>0</v>
      </c>
      <c r="AC461" s="2">
        <v>0</v>
      </c>
    </row>
    <row r="462" spans="1:29">
      <c r="A462" s="2">
        <v>904</v>
      </c>
      <c r="B462" s="2">
        <v>272100250</v>
      </c>
      <c r="C462" s="2">
        <v>272100250</v>
      </c>
      <c r="D462" t="s">
        <v>1114</v>
      </c>
      <c r="E462" t="s">
        <v>1115</v>
      </c>
      <c r="F462" t="s">
        <v>1116</v>
      </c>
      <c r="G462" s="3">
        <v>53.75</v>
      </c>
      <c r="H462" s="2">
        <v>0</v>
      </c>
      <c r="I462" s="2">
        <v>0</v>
      </c>
      <c r="J462" s="2">
        <v>0</v>
      </c>
      <c r="K462" s="6">
        <f t="shared" si="15"/>
        <v>53.75</v>
      </c>
      <c r="L462" s="7">
        <v>0.55000000000000004</v>
      </c>
      <c r="M462" s="10">
        <f t="shared" si="16"/>
        <v>97.72727272727272</v>
      </c>
      <c r="N462" t="s">
        <v>57</v>
      </c>
      <c r="O462" t="s">
        <v>57</v>
      </c>
      <c r="P462" t="s">
        <v>57</v>
      </c>
      <c r="Q462" t="s">
        <v>58</v>
      </c>
      <c r="R462" t="s">
        <v>59</v>
      </c>
      <c r="T462" s="2">
        <v>1</v>
      </c>
      <c r="U462" s="2">
        <v>1</v>
      </c>
      <c r="V462" s="2">
        <v>1</v>
      </c>
      <c r="W462" s="2">
        <v>1</v>
      </c>
      <c r="X462" s="2">
        <v>0</v>
      </c>
      <c r="Y462" s="2">
        <v>0</v>
      </c>
      <c r="Z462" s="2">
        <v>0</v>
      </c>
      <c r="AA462" s="2">
        <v>1</v>
      </c>
      <c r="AB462" s="2">
        <v>0</v>
      </c>
      <c r="AC462" s="2">
        <v>0</v>
      </c>
    </row>
    <row r="463" spans="1:29">
      <c r="A463" s="2">
        <v>616</v>
      </c>
      <c r="B463" s="2">
        <v>252800518</v>
      </c>
      <c r="C463" s="2">
        <v>252800518</v>
      </c>
      <c r="D463" t="s">
        <v>939</v>
      </c>
      <c r="E463" t="s">
        <v>940</v>
      </c>
      <c r="F463" t="s">
        <v>75</v>
      </c>
      <c r="G463" s="3">
        <v>55.04</v>
      </c>
      <c r="H463" s="2">
        <v>0</v>
      </c>
      <c r="I463" s="2">
        <v>0</v>
      </c>
      <c r="J463" s="2">
        <v>0</v>
      </c>
      <c r="K463" s="6">
        <f t="shared" si="15"/>
        <v>55.04</v>
      </c>
      <c r="L463" s="7">
        <v>0.7</v>
      </c>
      <c r="M463" s="10">
        <f t="shared" si="16"/>
        <v>78.628571428571433</v>
      </c>
      <c r="N463" t="s">
        <v>57</v>
      </c>
      <c r="O463" t="s">
        <v>57</v>
      </c>
      <c r="P463" t="s">
        <v>57</v>
      </c>
      <c r="Q463" t="s">
        <v>58</v>
      </c>
      <c r="R463" t="s">
        <v>59</v>
      </c>
      <c r="T463" s="2">
        <v>1</v>
      </c>
      <c r="U463" s="2">
        <v>1</v>
      </c>
      <c r="V463" s="2">
        <v>1</v>
      </c>
      <c r="W463" s="2">
        <v>1</v>
      </c>
      <c r="X463" s="2">
        <v>0</v>
      </c>
      <c r="Y463" s="2">
        <v>0</v>
      </c>
      <c r="Z463" s="2">
        <v>0</v>
      </c>
      <c r="AA463" s="2">
        <v>1</v>
      </c>
      <c r="AB463" s="2">
        <v>0</v>
      </c>
      <c r="AC463" s="2">
        <v>0</v>
      </c>
    </row>
    <row r="464" spans="1:29">
      <c r="A464" s="2">
        <v>232</v>
      </c>
      <c r="B464" s="2">
        <v>242201610</v>
      </c>
      <c r="C464" s="2">
        <v>242201610</v>
      </c>
      <c r="D464" t="s">
        <v>471</v>
      </c>
      <c r="E464" s="2">
        <v>7281979</v>
      </c>
      <c r="F464" t="s">
        <v>50</v>
      </c>
      <c r="G464">
        <v>55.3</v>
      </c>
      <c r="H464" s="2">
        <v>0</v>
      </c>
      <c r="I464" s="2">
        <v>0</v>
      </c>
      <c r="J464" s="2">
        <v>0</v>
      </c>
      <c r="K464" s="6">
        <f t="shared" si="15"/>
        <v>55.3</v>
      </c>
      <c r="L464" s="7">
        <v>0.9</v>
      </c>
      <c r="M464" s="10">
        <f t="shared" si="16"/>
        <v>61.444444444444443</v>
      </c>
      <c r="N464" t="s">
        <v>57</v>
      </c>
      <c r="O464" t="s">
        <v>57</v>
      </c>
      <c r="P464" t="s">
        <v>57</v>
      </c>
      <c r="Q464" t="s">
        <v>58</v>
      </c>
      <c r="R464" t="s">
        <v>59</v>
      </c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2">
        <v>1</v>
      </c>
      <c r="Z464" s="2">
        <v>0</v>
      </c>
      <c r="AA464" s="2">
        <v>1</v>
      </c>
      <c r="AB464" s="2">
        <v>0</v>
      </c>
      <c r="AC464" s="2">
        <v>0</v>
      </c>
    </row>
    <row r="465" spans="1:29">
      <c r="A465" s="2">
        <v>231</v>
      </c>
      <c r="B465" s="2">
        <v>242201612</v>
      </c>
      <c r="C465" s="2">
        <v>242201612</v>
      </c>
      <c r="D465" t="s">
        <v>473</v>
      </c>
      <c r="E465" t="s">
        <v>474</v>
      </c>
      <c r="F465" t="s">
        <v>50</v>
      </c>
      <c r="G465">
        <v>55.3</v>
      </c>
      <c r="H465" s="2">
        <v>0</v>
      </c>
      <c r="I465" s="2">
        <v>0</v>
      </c>
      <c r="J465" s="2">
        <v>0</v>
      </c>
      <c r="K465" s="6">
        <f t="shared" si="15"/>
        <v>55.3</v>
      </c>
      <c r="L465" s="7">
        <v>0.9</v>
      </c>
      <c r="M465" s="10">
        <f t="shared" si="16"/>
        <v>61.444444444444443</v>
      </c>
      <c r="N465" t="s">
        <v>57</v>
      </c>
      <c r="O465" t="s">
        <v>57</v>
      </c>
      <c r="P465" t="s">
        <v>57</v>
      </c>
      <c r="Q465" t="s">
        <v>58</v>
      </c>
      <c r="R465" t="s">
        <v>59</v>
      </c>
      <c r="T465" s="2">
        <v>1</v>
      </c>
      <c r="U465" s="2">
        <v>1</v>
      </c>
      <c r="V465" s="2">
        <v>1</v>
      </c>
      <c r="W465" s="2">
        <v>1</v>
      </c>
      <c r="X465" s="2">
        <v>1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s="2">
        <v>841</v>
      </c>
      <c r="B466" s="2">
        <v>252650403</v>
      </c>
      <c r="C466" s="2">
        <v>252650403</v>
      </c>
      <c r="D466" t="s">
        <v>873</v>
      </c>
      <c r="E466" t="s">
        <v>874</v>
      </c>
      <c r="F466" t="s">
        <v>875</v>
      </c>
      <c r="G466" s="3">
        <v>59.28</v>
      </c>
      <c r="H466" s="2">
        <v>0</v>
      </c>
      <c r="I466" s="2">
        <v>0</v>
      </c>
      <c r="J466" s="2">
        <v>0</v>
      </c>
      <c r="K466" s="6">
        <f t="shared" si="15"/>
        <v>59.28</v>
      </c>
      <c r="L466" s="7">
        <v>0.65</v>
      </c>
      <c r="M466" s="10">
        <f t="shared" si="16"/>
        <v>91.2</v>
      </c>
      <c r="N466" t="s">
        <v>62</v>
      </c>
      <c r="O466" t="s">
        <v>62</v>
      </c>
      <c r="P466" t="s">
        <v>62</v>
      </c>
      <c r="Q466" t="s">
        <v>58</v>
      </c>
      <c r="R466" t="s">
        <v>59</v>
      </c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2">
        <v>1</v>
      </c>
      <c r="Z466" s="2">
        <v>0</v>
      </c>
      <c r="AA466" s="2">
        <v>1</v>
      </c>
      <c r="AB466" s="2">
        <v>0</v>
      </c>
      <c r="AC466" s="2">
        <v>0</v>
      </c>
    </row>
    <row r="467" spans="1:29">
      <c r="A467" s="2">
        <v>160</v>
      </c>
      <c r="B467" s="2">
        <v>240600927</v>
      </c>
      <c r="C467" s="2">
        <v>240600927</v>
      </c>
      <c r="D467" t="s">
        <v>210</v>
      </c>
      <c r="E467" t="s">
        <v>211</v>
      </c>
      <c r="F467" t="s">
        <v>56</v>
      </c>
      <c r="G467" s="3">
        <f>+VLOOKUP(B467,'[1]master_prod_15todos(30-11-2 (2)'!$B$2:$AF$470,31,FALSE)</f>
        <v>60.32</v>
      </c>
      <c r="H467" s="2">
        <v>0</v>
      </c>
      <c r="I467" s="2">
        <v>0</v>
      </c>
      <c r="J467" s="2">
        <v>0</v>
      </c>
      <c r="K467" s="6">
        <f t="shared" si="15"/>
        <v>60.32</v>
      </c>
      <c r="L467" s="7">
        <f>+VLOOKUP(B467,'[1]master_prod_15todos(30-11-2 (2)'!$B$2:$AG$470,32,FALSE)</f>
        <v>0.8</v>
      </c>
      <c r="M467" s="10">
        <f t="shared" si="16"/>
        <v>75.399999999999991</v>
      </c>
      <c r="N467" t="s">
        <v>57</v>
      </c>
      <c r="O467" t="s">
        <v>57</v>
      </c>
      <c r="P467" t="s">
        <v>57</v>
      </c>
      <c r="Q467" t="s">
        <v>58</v>
      </c>
      <c r="R467" t="s">
        <v>1038</v>
      </c>
      <c r="T467" s="2">
        <v>1</v>
      </c>
      <c r="U467" s="2">
        <v>12</v>
      </c>
      <c r="V467" s="2">
        <v>1</v>
      </c>
      <c r="W467" s="2">
        <v>1</v>
      </c>
      <c r="X467" s="2">
        <v>1</v>
      </c>
      <c r="Y467" s="2">
        <v>1</v>
      </c>
      <c r="Z467" s="2">
        <v>0</v>
      </c>
      <c r="AA467" s="2">
        <v>1</v>
      </c>
      <c r="AB467" s="2">
        <v>0</v>
      </c>
      <c r="AC467" s="2">
        <v>0</v>
      </c>
    </row>
    <row r="468" spans="1:29">
      <c r="A468" s="2">
        <v>790</v>
      </c>
      <c r="B468" s="2">
        <v>240202048</v>
      </c>
      <c r="C468" s="2">
        <v>240202048</v>
      </c>
      <c r="D468" t="s">
        <v>54</v>
      </c>
      <c r="E468" t="s">
        <v>55</v>
      </c>
      <c r="F468" t="s">
        <v>56</v>
      </c>
      <c r="G468" s="3">
        <f>+VLOOKUP(B468,'[1]master_prod_15todos(30-11-2 (2)'!$B$2:$AF$470,31,FALSE)</f>
        <v>62.08</v>
      </c>
      <c r="H468" s="2">
        <v>0</v>
      </c>
      <c r="I468" s="2">
        <v>0</v>
      </c>
      <c r="J468" s="2">
        <v>0</v>
      </c>
      <c r="K468" s="6">
        <f t="shared" si="15"/>
        <v>62.08</v>
      </c>
      <c r="L468" s="7">
        <f>+VLOOKUP(B468,'[1]master_prod_15todos(30-11-2 (2)'!$B$2:$AG$470,32,FALSE)</f>
        <v>0.64</v>
      </c>
      <c r="M468" s="10">
        <f t="shared" si="16"/>
        <v>97</v>
      </c>
      <c r="N468" t="s">
        <v>62</v>
      </c>
      <c r="O468" t="s">
        <v>62</v>
      </c>
      <c r="P468" t="s">
        <v>62</v>
      </c>
      <c r="Q468" t="s">
        <v>58</v>
      </c>
      <c r="R468" t="s">
        <v>59</v>
      </c>
      <c r="T468" s="2">
        <v>1</v>
      </c>
      <c r="U468" s="2">
        <v>1</v>
      </c>
      <c r="V468" s="2">
        <v>1</v>
      </c>
      <c r="W468" s="2">
        <v>1</v>
      </c>
      <c r="X468" s="2">
        <v>1</v>
      </c>
      <c r="Y468" s="2">
        <v>1</v>
      </c>
      <c r="Z468" s="2">
        <v>0</v>
      </c>
      <c r="AA468" s="2">
        <v>1</v>
      </c>
      <c r="AB468" s="2">
        <v>0</v>
      </c>
      <c r="AC468" s="2">
        <v>0</v>
      </c>
    </row>
    <row r="469" spans="1:29">
      <c r="A469" s="2">
        <v>290</v>
      </c>
      <c r="B469" t="s">
        <v>1132</v>
      </c>
      <c r="C469" t="s">
        <v>1132</v>
      </c>
      <c r="D469" t="s">
        <v>1159</v>
      </c>
      <c r="E469" s="2">
        <v>20391</v>
      </c>
      <c r="F469" t="s">
        <v>1136</v>
      </c>
      <c r="G469" s="3">
        <v>62.71</v>
      </c>
      <c r="H469" s="2">
        <v>0</v>
      </c>
      <c r="I469" s="2">
        <v>0</v>
      </c>
      <c r="J469" s="2">
        <v>0</v>
      </c>
      <c r="K469" s="6">
        <f t="shared" si="15"/>
        <v>62.71</v>
      </c>
      <c r="L469" s="7">
        <v>0.6</v>
      </c>
      <c r="M469" s="10">
        <f t="shared" si="16"/>
        <v>104.51666666666667</v>
      </c>
      <c r="N469" t="s">
        <v>62</v>
      </c>
      <c r="O469" t="s">
        <v>62</v>
      </c>
      <c r="P469" t="s">
        <v>62</v>
      </c>
      <c r="Q469" t="s">
        <v>58</v>
      </c>
      <c r="T469" s="2">
        <v>1</v>
      </c>
      <c r="U469" s="2">
        <v>1</v>
      </c>
      <c r="V469" s="2">
        <v>1</v>
      </c>
      <c r="W469" s="2">
        <v>1</v>
      </c>
      <c r="X469" s="2">
        <v>1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s="2">
        <v>358</v>
      </c>
      <c r="B470" s="2">
        <v>253400653</v>
      </c>
      <c r="C470" s="2">
        <v>253400653</v>
      </c>
      <c r="D470" t="s">
        <v>1083</v>
      </c>
      <c r="F470" t="s">
        <v>75</v>
      </c>
      <c r="G470" s="3">
        <v>63.68</v>
      </c>
      <c r="H470" s="2">
        <v>0</v>
      </c>
      <c r="I470" s="2">
        <v>0</v>
      </c>
      <c r="J470" s="2">
        <v>0</v>
      </c>
      <c r="K470" s="6">
        <f t="shared" si="15"/>
        <v>63.68</v>
      </c>
      <c r="L470" s="7">
        <v>0.64</v>
      </c>
      <c r="M470" s="10">
        <f t="shared" si="16"/>
        <v>99.5</v>
      </c>
      <c r="N470" t="s">
        <v>62</v>
      </c>
      <c r="O470" t="s">
        <v>62</v>
      </c>
      <c r="P470" t="s">
        <v>62</v>
      </c>
      <c r="Q470" t="s">
        <v>58</v>
      </c>
      <c r="R470" t="s">
        <v>59</v>
      </c>
      <c r="T470" s="2">
        <v>1</v>
      </c>
      <c r="U470" s="2">
        <v>1</v>
      </c>
      <c r="V470" s="2">
        <v>1</v>
      </c>
      <c r="W470" s="2">
        <v>1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s="2">
        <v>317</v>
      </c>
      <c r="B471" s="2">
        <v>252800022</v>
      </c>
      <c r="C471" s="2">
        <v>252800022</v>
      </c>
      <c r="D471" t="s">
        <v>917</v>
      </c>
      <c r="E471" t="s">
        <v>918</v>
      </c>
      <c r="F471" t="s">
        <v>75</v>
      </c>
      <c r="G471" s="3">
        <v>66.66</v>
      </c>
      <c r="H471" s="2">
        <v>0</v>
      </c>
      <c r="I471" s="2">
        <v>0</v>
      </c>
      <c r="J471" s="2">
        <v>0</v>
      </c>
      <c r="K471" s="6">
        <f t="shared" si="15"/>
        <v>66.66</v>
      </c>
      <c r="L471" s="7">
        <v>0.8</v>
      </c>
      <c r="M471" s="10">
        <f t="shared" si="16"/>
        <v>83.324999999999989</v>
      </c>
      <c r="N471" t="s">
        <v>62</v>
      </c>
      <c r="O471" t="s">
        <v>62</v>
      </c>
      <c r="P471" t="s">
        <v>62</v>
      </c>
      <c r="Q471" t="s">
        <v>58</v>
      </c>
      <c r="R471" t="s">
        <v>59</v>
      </c>
      <c r="T471" s="2">
        <v>1</v>
      </c>
      <c r="U471" s="2">
        <v>1</v>
      </c>
      <c r="V471" s="2">
        <v>1</v>
      </c>
      <c r="W471" s="2">
        <v>1</v>
      </c>
      <c r="X471" s="2">
        <v>1</v>
      </c>
      <c r="Y471" s="2">
        <v>1</v>
      </c>
      <c r="Z471" s="2">
        <v>0</v>
      </c>
      <c r="AA471" s="2">
        <v>1</v>
      </c>
      <c r="AB471" s="2">
        <v>0</v>
      </c>
      <c r="AC471" s="2">
        <v>0</v>
      </c>
    </row>
    <row r="472" spans="1:29">
      <c r="A472" s="2">
        <v>761</v>
      </c>
      <c r="B472" s="2">
        <v>252800951</v>
      </c>
      <c r="C472" s="2">
        <v>252800951</v>
      </c>
      <c r="D472" t="s">
        <v>1010</v>
      </c>
      <c r="E472" t="s">
        <v>1011</v>
      </c>
      <c r="F472" t="s">
        <v>875</v>
      </c>
      <c r="G472" s="3">
        <v>67.92</v>
      </c>
      <c r="H472" s="2">
        <v>0</v>
      </c>
      <c r="I472" s="2">
        <v>0</v>
      </c>
      <c r="J472" s="2">
        <v>0</v>
      </c>
      <c r="K472" s="6">
        <f t="shared" si="15"/>
        <v>67.92</v>
      </c>
      <c r="L472" s="7">
        <v>0.6</v>
      </c>
      <c r="M472" s="10">
        <f t="shared" si="16"/>
        <v>113.2</v>
      </c>
      <c r="N472" t="s">
        <v>86</v>
      </c>
      <c r="O472" t="s">
        <v>30</v>
      </c>
      <c r="P472" t="s">
        <v>276</v>
      </c>
      <c r="Q472" t="s">
        <v>592</v>
      </c>
      <c r="R472" t="s">
        <v>37</v>
      </c>
      <c r="T472" s="2">
        <v>1</v>
      </c>
      <c r="U472" s="2">
        <v>1</v>
      </c>
      <c r="V472" s="2">
        <v>1</v>
      </c>
      <c r="W472" s="2">
        <v>1</v>
      </c>
      <c r="X472" s="2">
        <v>1</v>
      </c>
      <c r="Y472" s="2">
        <v>1</v>
      </c>
      <c r="Z472" s="2">
        <v>0</v>
      </c>
      <c r="AA472" s="2">
        <v>1</v>
      </c>
      <c r="AB472" s="2">
        <v>0</v>
      </c>
      <c r="AC472" s="2">
        <v>0</v>
      </c>
    </row>
    <row r="473" spans="1:29">
      <c r="A473" s="2">
        <v>760</v>
      </c>
      <c r="B473" s="2">
        <v>252800952</v>
      </c>
      <c r="C473" s="2">
        <v>252800952</v>
      </c>
      <c r="D473" t="s">
        <v>1010</v>
      </c>
      <c r="E473" t="s">
        <v>1012</v>
      </c>
      <c r="F473" t="s">
        <v>875</v>
      </c>
      <c r="G473" s="3">
        <v>67.92</v>
      </c>
      <c r="H473" s="2">
        <v>0</v>
      </c>
      <c r="I473" s="2">
        <v>0</v>
      </c>
      <c r="J473" s="2">
        <v>0</v>
      </c>
      <c r="K473" s="6">
        <f t="shared" si="15"/>
        <v>67.92</v>
      </c>
      <c r="L473" s="7">
        <v>0.6</v>
      </c>
      <c r="M473" s="10">
        <f t="shared" si="16"/>
        <v>113.2</v>
      </c>
      <c r="N473" t="s">
        <v>30</v>
      </c>
      <c r="O473" t="s">
        <v>30</v>
      </c>
      <c r="P473" t="s">
        <v>30</v>
      </c>
      <c r="Q473" t="s">
        <v>237</v>
      </c>
      <c r="R473" t="s">
        <v>81</v>
      </c>
      <c r="T473" s="2">
        <v>1</v>
      </c>
      <c r="U473" s="2">
        <v>1</v>
      </c>
      <c r="V473" s="2">
        <v>1</v>
      </c>
      <c r="W473" s="2">
        <v>1</v>
      </c>
      <c r="X473" s="2">
        <v>0</v>
      </c>
      <c r="Y473" s="2">
        <v>1</v>
      </c>
      <c r="Z473" s="2">
        <v>0</v>
      </c>
      <c r="AA473" s="2">
        <v>1</v>
      </c>
      <c r="AB473" s="2">
        <v>0</v>
      </c>
      <c r="AC473" s="2">
        <v>0</v>
      </c>
    </row>
    <row r="474" spans="1:29">
      <c r="A474" s="2">
        <v>834</v>
      </c>
      <c r="B474" s="2">
        <v>252800945</v>
      </c>
      <c r="C474" s="2">
        <v>252800945</v>
      </c>
      <c r="D474" t="s">
        <v>998</v>
      </c>
      <c r="E474" t="s">
        <v>999</v>
      </c>
      <c r="F474" t="s">
        <v>875</v>
      </c>
      <c r="G474" s="3">
        <v>70.56</v>
      </c>
      <c r="H474" s="2">
        <v>0</v>
      </c>
      <c r="I474" s="2">
        <v>0</v>
      </c>
      <c r="J474" s="2">
        <v>0</v>
      </c>
      <c r="K474" s="6">
        <f t="shared" si="15"/>
        <v>70.56</v>
      </c>
      <c r="L474" s="7">
        <v>0.59</v>
      </c>
      <c r="M474" s="10">
        <f t="shared" si="16"/>
        <v>119.59322033898306</v>
      </c>
      <c r="N474" t="s">
        <v>71</v>
      </c>
      <c r="O474" t="s">
        <v>71</v>
      </c>
      <c r="P474" t="s">
        <v>52</v>
      </c>
      <c r="Q474" t="s">
        <v>1052</v>
      </c>
      <c r="R474" t="s">
        <v>1053</v>
      </c>
      <c r="T474" s="2">
        <v>1</v>
      </c>
      <c r="U474" s="2">
        <v>1</v>
      </c>
      <c r="V474" s="2">
        <v>1</v>
      </c>
      <c r="W474" s="2">
        <v>1</v>
      </c>
      <c r="X474" s="2">
        <v>1</v>
      </c>
      <c r="Y474" s="2">
        <v>1</v>
      </c>
      <c r="Z474" s="2">
        <v>0</v>
      </c>
      <c r="AA474" s="2">
        <v>1</v>
      </c>
      <c r="AB474" s="2">
        <v>0</v>
      </c>
      <c r="AC474" s="2">
        <v>0</v>
      </c>
    </row>
    <row r="475" spans="1:29">
      <c r="A475" s="2">
        <v>833</v>
      </c>
      <c r="B475" s="2">
        <v>252800944</v>
      </c>
      <c r="C475" s="2">
        <v>252800944</v>
      </c>
      <c r="D475" t="s">
        <v>996</v>
      </c>
      <c r="E475" t="s">
        <v>997</v>
      </c>
      <c r="F475" t="s">
        <v>875</v>
      </c>
      <c r="G475">
        <v>73.8</v>
      </c>
      <c r="H475" s="2">
        <v>0</v>
      </c>
      <c r="I475" s="2">
        <v>0</v>
      </c>
      <c r="J475" s="2">
        <v>0</v>
      </c>
      <c r="K475" s="6">
        <f t="shared" si="15"/>
        <v>73.8</v>
      </c>
      <c r="L475" s="7">
        <v>0.59</v>
      </c>
      <c r="M475" s="10">
        <f t="shared" si="16"/>
        <v>125.08474576271186</v>
      </c>
      <c r="N475" t="s">
        <v>71</v>
      </c>
      <c r="O475" t="s">
        <v>71</v>
      </c>
      <c r="P475" t="s">
        <v>52</v>
      </c>
      <c r="Q475" t="s">
        <v>1052</v>
      </c>
      <c r="R475" t="s">
        <v>1053</v>
      </c>
      <c r="T475" s="2">
        <v>1</v>
      </c>
      <c r="U475" s="2">
        <v>1</v>
      </c>
      <c r="V475" s="2">
        <v>1</v>
      </c>
      <c r="W475" s="2">
        <v>1</v>
      </c>
      <c r="X475" s="2">
        <v>1</v>
      </c>
      <c r="Y475" s="2">
        <v>1</v>
      </c>
      <c r="Z475" s="2">
        <v>0</v>
      </c>
      <c r="AA475" s="2">
        <v>1</v>
      </c>
      <c r="AB475" s="2">
        <v>0</v>
      </c>
      <c r="AC475" s="2">
        <v>0</v>
      </c>
    </row>
    <row r="476" spans="1:29">
      <c r="A476" s="2">
        <v>360</v>
      </c>
      <c r="B476" s="2">
        <v>253400333</v>
      </c>
      <c r="C476" s="2">
        <v>253400333</v>
      </c>
      <c r="D476" t="s">
        <v>1078</v>
      </c>
      <c r="E476" t="s">
        <v>1079</v>
      </c>
      <c r="F476" t="s">
        <v>75</v>
      </c>
      <c r="G476" s="3">
        <v>76.23</v>
      </c>
      <c r="H476" s="2">
        <v>0</v>
      </c>
      <c r="I476" s="2">
        <v>0</v>
      </c>
      <c r="J476" s="2">
        <v>0</v>
      </c>
      <c r="K476" s="6">
        <f t="shared" si="15"/>
        <v>76.23</v>
      </c>
      <c r="L476" s="7">
        <v>0.64</v>
      </c>
      <c r="M476" s="10">
        <f t="shared" si="16"/>
        <v>119.109375</v>
      </c>
      <c r="N476" t="s">
        <v>30</v>
      </c>
      <c r="O476" t="s">
        <v>30</v>
      </c>
      <c r="P476" t="s">
        <v>30</v>
      </c>
      <c r="Q476" t="s">
        <v>36</v>
      </c>
      <c r="T476" s="2">
        <v>1</v>
      </c>
      <c r="U476" s="2">
        <v>1</v>
      </c>
      <c r="V476" s="2">
        <v>1</v>
      </c>
      <c r="W476" s="2">
        <v>1</v>
      </c>
      <c r="X476" s="2">
        <v>0</v>
      </c>
      <c r="Y476" s="2">
        <v>1</v>
      </c>
      <c r="Z476" s="2">
        <v>0</v>
      </c>
      <c r="AA476" s="2">
        <v>1</v>
      </c>
      <c r="AB476" s="2">
        <v>0</v>
      </c>
      <c r="AC476" s="2">
        <v>0</v>
      </c>
    </row>
    <row r="477" spans="1:29">
      <c r="A477" s="2">
        <v>361</v>
      </c>
      <c r="B477" s="2">
        <v>253400833</v>
      </c>
      <c r="C477" s="2">
        <v>253400833</v>
      </c>
      <c r="D477" t="s">
        <v>1087</v>
      </c>
      <c r="E477" s="2">
        <v>50360</v>
      </c>
      <c r="F477" t="s">
        <v>578</v>
      </c>
      <c r="G477" s="3">
        <v>76.260000000000005</v>
      </c>
      <c r="H477" s="2">
        <v>0</v>
      </c>
      <c r="I477" s="2">
        <v>0</v>
      </c>
      <c r="J477" s="2">
        <v>0</v>
      </c>
      <c r="K477" s="6">
        <f t="shared" si="15"/>
        <v>76.260000000000005</v>
      </c>
      <c r="L477" s="7">
        <v>0.64</v>
      </c>
      <c r="M477" s="10">
        <f t="shared" si="16"/>
        <v>119.15625</v>
      </c>
      <c r="N477" t="s">
        <v>71</v>
      </c>
      <c r="O477" t="s">
        <v>71</v>
      </c>
      <c r="P477" t="s">
        <v>52</v>
      </c>
      <c r="Q477" t="s">
        <v>1052</v>
      </c>
      <c r="R477" t="s">
        <v>1058</v>
      </c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2">
        <v>1</v>
      </c>
      <c r="Z477" s="2">
        <v>0</v>
      </c>
      <c r="AA477" s="2">
        <v>1</v>
      </c>
      <c r="AB477" s="2">
        <v>0</v>
      </c>
      <c r="AC477" s="2">
        <v>0</v>
      </c>
    </row>
    <row r="478" spans="1:29">
      <c r="A478" s="2">
        <v>909</v>
      </c>
      <c r="B478" s="2">
        <v>253400893</v>
      </c>
      <c r="C478" s="2">
        <v>253400893</v>
      </c>
      <c r="D478" t="s">
        <v>1090</v>
      </c>
      <c r="F478" t="s">
        <v>75</v>
      </c>
      <c r="G478" s="3">
        <v>76.260000000000005</v>
      </c>
      <c r="H478" s="2">
        <v>0</v>
      </c>
      <c r="I478" s="2">
        <v>0</v>
      </c>
      <c r="J478" s="2">
        <v>0</v>
      </c>
      <c r="K478" s="6">
        <f t="shared" si="15"/>
        <v>76.260000000000005</v>
      </c>
      <c r="L478" s="7">
        <v>0.64</v>
      </c>
      <c r="M478" s="10">
        <f t="shared" si="16"/>
        <v>119.15625</v>
      </c>
      <c r="N478" t="s">
        <v>51</v>
      </c>
      <c r="O478" t="s">
        <v>51</v>
      </c>
      <c r="P478" t="s">
        <v>51</v>
      </c>
      <c r="Q478" t="s">
        <v>1052</v>
      </c>
      <c r="R478" t="s">
        <v>1053</v>
      </c>
      <c r="T478" s="2">
        <v>50</v>
      </c>
      <c r="U478" s="2">
        <v>50</v>
      </c>
      <c r="V478" s="2">
        <v>50</v>
      </c>
      <c r="W478" s="2">
        <v>1</v>
      </c>
      <c r="X478" s="2">
        <v>1</v>
      </c>
      <c r="Y478" s="2">
        <v>1</v>
      </c>
      <c r="Z478" s="2">
        <v>0</v>
      </c>
      <c r="AA478" s="2">
        <v>1</v>
      </c>
      <c r="AB478" s="2">
        <v>0</v>
      </c>
      <c r="AC478" s="2">
        <v>0</v>
      </c>
    </row>
    <row r="479" spans="1:29">
      <c r="A479" s="2">
        <v>332</v>
      </c>
      <c r="B479" s="2">
        <v>244010004</v>
      </c>
      <c r="C479" s="2">
        <v>244010004</v>
      </c>
      <c r="D479" t="s">
        <v>648</v>
      </c>
      <c r="E479" t="s">
        <v>649</v>
      </c>
      <c r="F479" t="s">
        <v>304</v>
      </c>
      <c r="G479" s="3">
        <v>76.52</v>
      </c>
      <c r="H479" s="2">
        <v>0</v>
      </c>
      <c r="I479" s="2">
        <v>0</v>
      </c>
      <c r="J479" s="2">
        <v>0</v>
      </c>
      <c r="K479" s="6">
        <f t="shared" si="15"/>
        <v>76.52</v>
      </c>
      <c r="L479" s="7">
        <v>0.55000000000000004</v>
      </c>
      <c r="M479" s="10">
        <f t="shared" si="16"/>
        <v>139.1272727272727</v>
      </c>
      <c r="N479" t="s">
        <v>51</v>
      </c>
      <c r="O479" t="s">
        <v>51</v>
      </c>
      <c r="P479" t="s">
        <v>695</v>
      </c>
      <c r="Q479" t="s">
        <v>1052</v>
      </c>
      <c r="R479" t="s">
        <v>1053</v>
      </c>
      <c r="T479" s="2">
        <v>1</v>
      </c>
      <c r="U479" s="2">
        <v>1</v>
      </c>
      <c r="V479" s="2">
        <v>1</v>
      </c>
      <c r="W479" s="2">
        <v>1</v>
      </c>
      <c r="X479" s="2">
        <v>1</v>
      </c>
      <c r="Y479" s="2">
        <v>1</v>
      </c>
      <c r="Z479" s="2">
        <v>0</v>
      </c>
      <c r="AA479" s="2">
        <v>1</v>
      </c>
      <c r="AB479" s="2">
        <v>0</v>
      </c>
      <c r="AC479" s="2">
        <v>0</v>
      </c>
    </row>
    <row r="480" spans="1:29">
      <c r="A480" s="2">
        <v>641</v>
      </c>
      <c r="B480" s="2">
        <v>252800918</v>
      </c>
      <c r="C480" s="2">
        <v>252800918</v>
      </c>
      <c r="D480" t="s">
        <v>949</v>
      </c>
      <c r="E480" s="2">
        <v>20391</v>
      </c>
      <c r="F480" t="s">
        <v>950</v>
      </c>
      <c r="G480">
        <v>78.387500000000003</v>
      </c>
      <c r="H480" s="2">
        <v>0</v>
      </c>
      <c r="I480" s="2">
        <v>0</v>
      </c>
      <c r="J480" s="2">
        <v>0</v>
      </c>
      <c r="K480" s="6">
        <f t="shared" si="15"/>
        <v>78.387500000000003</v>
      </c>
      <c r="L480" s="7">
        <v>0.64</v>
      </c>
      <c r="M480" s="10">
        <f t="shared" si="16"/>
        <v>122.48046875</v>
      </c>
      <c r="N480" t="s">
        <v>157</v>
      </c>
      <c r="O480" t="s">
        <v>157</v>
      </c>
      <c r="P480" t="s">
        <v>157</v>
      </c>
      <c r="Q480" t="s">
        <v>53</v>
      </c>
      <c r="T480" s="2">
        <v>1</v>
      </c>
      <c r="U480" s="2">
        <v>5</v>
      </c>
      <c r="V480" s="2">
        <v>1</v>
      </c>
      <c r="W480" s="2">
        <v>1</v>
      </c>
      <c r="X480" s="2">
        <v>0</v>
      </c>
      <c r="Y480" s="2">
        <v>1</v>
      </c>
      <c r="Z480" s="2">
        <v>0</v>
      </c>
      <c r="AA480" s="2">
        <v>1</v>
      </c>
      <c r="AB480" s="2">
        <v>0</v>
      </c>
      <c r="AC480" s="2">
        <v>0</v>
      </c>
    </row>
    <row r="481" spans="1:29">
      <c r="A481" s="2">
        <v>728</v>
      </c>
      <c r="B481" s="2">
        <v>242200927</v>
      </c>
      <c r="C481" s="2">
        <v>242200927</v>
      </c>
      <c r="D481" t="s">
        <v>418</v>
      </c>
      <c r="E481" s="2">
        <v>1106</v>
      </c>
      <c r="F481" t="s">
        <v>403</v>
      </c>
      <c r="G481" s="3">
        <f>+VLOOKUP(B481,'[1]master_prod_15todos(30-11-2 (2)'!$B$2:$AF$470,31,FALSE)</f>
        <v>85</v>
      </c>
      <c r="H481" s="2">
        <v>0</v>
      </c>
      <c r="I481" s="2">
        <v>0</v>
      </c>
      <c r="J481" s="2">
        <v>0</v>
      </c>
      <c r="K481" s="6">
        <f t="shared" si="15"/>
        <v>85</v>
      </c>
      <c r="L481" s="7">
        <f>+VLOOKUP(B481,'[1]master_prod_15todos(30-11-2 (2)'!$B$2:$AG$470,32,FALSE)</f>
        <v>0.51</v>
      </c>
      <c r="M481" s="10">
        <f t="shared" si="16"/>
        <v>166.66666666666666</v>
      </c>
      <c r="N481" t="s">
        <v>30</v>
      </c>
      <c r="O481" t="s">
        <v>30</v>
      </c>
      <c r="P481" t="s">
        <v>30</v>
      </c>
      <c r="Q481" t="s">
        <v>171</v>
      </c>
      <c r="R481" t="s">
        <v>172</v>
      </c>
      <c r="T481" s="2">
        <v>1</v>
      </c>
      <c r="U481" s="2">
        <v>1</v>
      </c>
      <c r="V481" s="2">
        <v>1</v>
      </c>
      <c r="W481" s="2">
        <v>1</v>
      </c>
      <c r="X481" s="2">
        <v>1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s="2">
        <v>800</v>
      </c>
      <c r="B482" s="2">
        <v>253400933</v>
      </c>
      <c r="C482" s="2">
        <v>253400933</v>
      </c>
      <c r="D482" t="s">
        <v>1091</v>
      </c>
      <c r="E482" t="s">
        <v>1092</v>
      </c>
      <c r="F482" t="s">
        <v>75</v>
      </c>
      <c r="G482" s="3">
        <v>98.55</v>
      </c>
      <c r="H482" s="2">
        <v>0</v>
      </c>
      <c r="I482" s="2">
        <v>0</v>
      </c>
      <c r="J482" s="2">
        <v>0</v>
      </c>
      <c r="K482" s="6">
        <f t="shared" si="15"/>
        <v>98.55</v>
      </c>
      <c r="L482" s="7">
        <v>0.69</v>
      </c>
      <c r="M482" s="10">
        <f t="shared" si="16"/>
        <v>142.82608695652175</v>
      </c>
      <c r="N482" t="s">
        <v>30</v>
      </c>
      <c r="O482" t="s">
        <v>30</v>
      </c>
      <c r="P482" t="s">
        <v>30</v>
      </c>
      <c r="Q482" t="s">
        <v>171</v>
      </c>
      <c r="T482" s="2">
        <v>1</v>
      </c>
      <c r="U482" s="2">
        <v>1</v>
      </c>
      <c r="V482" s="2">
        <v>1</v>
      </c>
      <c r="W482" s="2">
        <v>1</v>
      </c>
      <c r="X482" s="2">
        <v>1</v>
      </c>
      <c r="Y482" s="2">
        <v>1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s="2">
        <v>902</v>
      </c>
      <c r="B483" s="2">
        <v>241260107</v>
      </c>
      <c r="C483" s="2">
        <v>241260107</v>
      </c>
      <c r="D483" t="s">
        <v>303</v>
      </c>
      <c r="E483" s="2">
        <v>10113</v>
      </c>
      <c r="F483" t="s">
        <v>304</v>
      </c>
      <c r="G483" s="3">
        <f>+VLOOKUP(B483,'[1]master_prod_15todos(30-11-2 (2)'!$B$2:$AF$470,31,FALSE)</f>
        <v>100</v>
      </c>
      <c r="H483" s="2">
        <v>0</v>
      </c>
      <c r="I483" s="2">
        <v>0</v>
      </c>
      <c r="J483" s="2">
        <v>0</v>
      </c>
      <c r="K483" s="6">
        <f t="shared" si="15"/>
        <v>100</v>
      </c>
      <c r="L483" s="7">
        <f>+VLOOKUP(B483,'[1]master_prod_15todos(30-11-2 (2)'!$B$2:$AG$470,32,FALSE)</f>
        <v>0.65</v>
      </c>
      <c r="M483" s="10">
        <f t="shared" si="16"/>
        <v>153.84615384615384</v>
      </c>
      <c r="N483" t="s">
        <v>30</v>
      </c>
      <c r="O483" t="s">
        <v>30</v>
      </c>
      <c r="P483" t="s">
        <v>30</v>
      </c>
      <c r="Q483" t="s">
        <v>171</v>
      </c>
      <c r="R483" t="s">
        <v>37</v>
      </c>
      <c r="T483" s="2">
        <v>1</v>
      </c>
      <c r="U483" s="2">
        <v>1</v>
      </c>
      <c r="V483" s="2">
        <v>1</v>
      </c>
      <c r="W483" s="2">
        <v>1</v>
      </c>
      <c r="X483" s="2">
        <v>0</v>
      </c>
      <c r="Y483" s="2">
        <v>1</v>
      </c>
      <c r="Z483" s="2">
        <v>0</v>
      </c>
      <c r="AA483" s="2">
        <v>1</v>
      </c>
      <c r="AB483" s="2">
        <v>0</v>
      </c>
      <c r="AC483" s="2">
        <v>0</v>
      </c>
    </row>
    <row r="484" spans="1:29">
      <c r="A484" s="2">
        <v>705</v>
      </c>
      <c r="B484" s="2">
        <v>242350810</v>
      </c>
      <c r="C484" s="2">
        <v>242350810</v>
      </c>
      <c r="D484" t="s">
        <v>546</v>
      </c>
      <c r="E484" t="s">
        <v>547</v>
      </c>
      <c r="F484" t="s">
        <v>361</v>
      </c>
      <c r="G484" s="2">
        <v>100</v>
      </c>
      <c r="H484" s="2">
        <v>0</v>
      </c>
      <c r="I484" s="2">
        <v>0</v>
      </c>
      <c r="J484" s="2">
        <v>0</v>
      </c>
      <c r="K484" s="6">
        <f t="shared" si="15"/>
        <v>100</v>
      </c>
      <c r="L484" s="7">
        <v>0.33</v>
      </c>
      <c r="M484" s="10">
        <f t="shared" si="16"/>
        <v>303.030303030303</v>
      </c>
      <c r="N484" t="s">
        <v>30</v>
      </c>
      <c r="O484" t="s">
        <v>30</v>
      </c>
      <c r="P484" t="s">
        <v>30</v>
      </c>
      <c r="Q484" t="s">
        <v>171</v>
      </c>
      <c r="R484" t="s">
        <v>172</v>
      </c>
      <c r="T484" s="2">
        <v>1</v>
      </c>
      <c r="U484" s="2">
        <v>1</v>
      </c>
      <c r="V484" s="2">
        <v>1</v>
      </c>
      <c r="W484" s="2">
        <v>1</v>
      </c>
      <c r="X484" s="2">
        <v>0</v>
      </c>
      <c r="Y484" s="2">
        <v>0</v>
      </c>
      <c r="Z484" s="2">
        <v>0</v>
      </c>
      <c r="AA484" s="2">
        <v>1</v>
      </c>
      <c r="AB484" s="2">
        <v>0</v>
      </c>
      <c r="AC484" s="2">
        <v>0</v>
      </c>
    </row>
    <row r="485" spans="1:29">
      <c r="A485" s="2">
        <v>233</v>
      </c>
      <c r="B485" t="s">
        <v>1132</v>
      </c>
      <c r="C485" t="s">
        <v>1132</v>
      </c>
      <c r="D485" t="s">
        <v>1155</v>
      </c>
      <c r="E485" t="s">
        <v>1156</v>
      </c>
      <c r="F485" t="s">
        <v>1136</v>
      </c>
      <c r="G485" s="2">
        <v>100</v>
      </c>
      <c r="H485" s="2">
        <v>0</v>
      </c>
      <c r="I485" s="2">
        <v>0</v>
      </c>
      <c r="J485" s="2">
        <v>0</v>
      </c>
      <c r="K485" s="6">
        <f t="shared" si="15"/>
        <v>100</v>
      </c>
      <c r="L485" s="7">
        <v>0.36</v>
      </c>
      <c r="M485" s="10">
        <f t="shared" si="16"/>
        <v>277.77777777777777</v>
      </c>
      <c r="N485" t="s">
        <v>71</v>
      </c>
      <c r="O485" t="s">
        <v>71</v>
      </c>
      <c r="P485" t="s">
        <v>37</v>
      </c>
      <c r="Q485" t="s">
        <v>1052</v>
      </c>
      <c r="R485" t="s">
        <v>1072</v>
      </c>
      <c r="T485" s="2">
        <v>1</v>
      </c>
      <c r="U485" s="2">
        <v>1</v>
      </c>
      <c r="V485" s="2">
        <v>1</v>
      </c>
      <c r="W485" s="2">
        <v>1</v>
      </c>
      <c r="X485" s="2">
        <v>1</v>
      </c>
      <c r="Y485" s="2">
        <v>1</v>
      </c>
      <c r="Z485" s="2">
        <v>0</v>
      </c>
      <c r="AA485" s="2">
        <v>1</v>
      </c>
      <c r="AB485" s="2">
        <v>0</v>
      </c>
      <c r="AC485" s="2">
        <v>0</v>
      </c>
    </row>
    <row r="486" spans="1:29">
      <c r="A486" s="2">
        <v>709</v>
      </c>
      <c r="B486" s="2">
        <v>253400033</v>
      </c>
      <c r="C486" s="2">
        <v>253400033</v>
      </c>
      <c r="D486" t="s">
        <v>1049</v>
      </c>
      <c r="E486" t="s">
        <v>1050</v>
      </c>
      <c r="F486" t="s">
        <v>340</v>
      </c>
      <c r="G486">
        <v>111.3</v>
      </c>
      <c r="H486" s="2">
        <v>0</v>
      </c>
      <c r="I486" s="2">
        <v>0</v>
      </c>
      <c r="J486" s="2">
        <v>0</v>
      </c>
      <c r="K486" s="6">
        <f t="shared" si="15"/>
        <v>111.3</v>
      </c>
      <c r="L486" s="7">
        <v>0.64</v>
      </c>
      <c r="M486" s="10">
        <f t="shared" si="16"/>
        <v>173.90625</v>
      </c>
      <c r="N486" t="s">
        <v>71</v>
      </c>
      <c r="O486" t="s">
        <v>71</v>
      </c>
      <c r="P486" t="s">
        <v>37</v>
      </c>
      <c r="Q486" t="s">
        <v>1052</v>
      </c>
      <c r="T486" s="2">
        <v>1</v>
      </c>
      <c r="U486" s="2">
        <v>1</v>
      </c>
      <c r="V486" s="2">
        <v>1</v>
      </c>
      <c r="W486" s="2">
        <v>1</v>
      </c>
      <c r="X486" s="2">
        <v>1</v>
      </c>
      <c r="Y486" s="2">
        <v>1</v>
      </c>
      <c r="Z486" s="2">
        <v>0</v>
      </c>
      <c r="AA486" s="2">
        <v>1</v>
      </c>
      <c r="AB486" s="2">
        <v>0</v>
      </c>
      <c r="AC486" s="2">
        <v>0</v>
      </c>
    </row>
    <row r="487" spans="1:29">
      <c r="A487" s="2">
        <v>288</v>
      </c>
      <c r="B487" t="s">
        <v>1132</v>
      </c>
      <c r="C487" t="s">
        <v>1132</v>
      </c>
      <c r="D487" t="s">
        <v>1158</v>
      </c>
      <c r="F487" t="s">
        <v>64</v>
      </c>
      <c r="G487">
        <v>111.3</v>
      </c>
      <c r="H487" s="2">
        <v>0</v>
      </c>
      <c r="I487" s="2">
        <v>0</v>
      </c>
      <c r="J487" s="2">
        <v>0</v>
      </c>
      <c r="K487" s="6">
        <f t="shared" si="15"/>
        <v>111.3</v>
      </c>
      <c r="L487" s="7">
        <v>0.7</v>
      </c>
      <c r="M487" s="10">
        <f t="shared" si="16"/>
        <v>159</v>
      </c>
      <c r="N487" t="s">
        <v>51</v>
      </c>
      <c r="O487" t="s">
        <v>51</v>
      </c>
      <c r="P487" t="s">
        <v>37</v>
      </c>
      <c r="Q487" t="s">
        <v>1052</v>
      </c>
      <c r="R487" t="s">
        <v>1077</v>
      </c>
      <c r="T487" s="2">
        <v>1</v>
      </c>
      <c r="U487" s="2">
        <v>1</v>
      </c>
      <c r="V487" s="2">
        <v>1</v>
      </c>
      <c r="W487" s="2">
        <v>1</v>
      </c>
      <c r="X487" s="2">
        <v>1</v>
      </c>
      <c r="Y487" s="2">
        <v>1</v>
      </c>
      <c r="Z487" s="2">
        <v>0</v>
      </c>
      <c r="AA487" s="2">
        <v>1</v>
      </c>
      <c r="AB487" s="3">
        <v>0.55000000000000004</v>
      </c>
      <c r="AC487">
        <v>5.3182</v>
      </c>
    </row>
    <row r="488" spans="1:29">
      <c r="A488" s="2">
        <v>819</v>
      </c>
      <c r="B488" s="2">
        <v>252800961</v>
      </c>
      <c r="C488" s="2">
        <v>252800961</v>
      </c>
      <c r="D488" t="s">
        <v>1029</v>
      </c>
      <c r="E488" t="s">
        <v>1030</v>
      </c>
      <c r="F488" t="s">
        <v>875</v>
      </c>
      <c r="G488">
        <v>115.2</v>
      </c>
      <c r="H488" s="2">
        <v>0</v>
      </c>
      <c r="I488" s="2">
        <v>0</v>
      </c>
      <c r="J488" s="2">
        <v>0</v>
      </c>
      <c r="K488" s="6">
        <f t="shared" si="15"/>
        <v>115.2</v>
      </c>
      <c r="L488" s="7">
        <v>0.6</v>
      </c>
      <c r="M488" s="10">
        <f t="shared" si="16"/>
        <v>192</v>
      </c>
      <c r="N488" t="s">
        <v>30</v>
      </c>
      <c r="O488" t="s">
        <v>30</v>
      </c>
      <c r="P488" t="s">
        <v>404</v>
      </c>
      <c r="Q488" t="s">
        <v>94</v>
      </c>
      <c r="R488" t="s">
        <v>37</v>
      </c>
      <c r="T488" s="2">
        <v>1</v>
      </c>
      <c r="U488" s="2">
        <v>1</v>
      </c>
      <c r="V488" s="2">
        <v>1</v>
      </c>
      <c r="W488" s="2">
        <v>1</v>
      </c>
      <c r="X488" s="2">
        <v>0</v>
      </c>
      <c r="Y488" s="2">
        <v>1</v>
      </c>
      <c r="Z488" s="2">
        <v>0</v>
      </c>
      <c r="AA488" s="2">
        <v>1</v>
      </c>
      <c r="AB488" s="2">
        <v>0</v>
      </c>
      <c r="AC488" s="2">
        <v>0</v>
      </c>
    </row>
    <row r="489" spans="1:29">
      <c r="A489" s="2">
        <v>685</v>
      </c>
      <c r="B489" s="2">
        <v>252360106</v>
      </c>
      <c r="C489" s="2">
        <v>252360106</v>
      </c>
      <c r="D489" t="s">
        <v>846</v>
      </c>
      <c r="F489" t="s">
        <v>847</v>
      </c>
      <c r="G489">
        <v>115.7</v>
      </c>
      <c r="H489" s="2">
        <v>0</v>
      </c>
      <c r="I489" s="2">
        <v>0</v>
      </c>
      <c r="J489" s="2">
        <v>0</v>
      </c>
      <c r="K489" s="6">
        <f t="shared" si="15"/>
        <v>115.7</v>
      </c>
      <c r="L489" s="7">
        <v>0.65</v>
      </c>
      <c r="M489" s="10">
        <f t="shared" si="16"/>
        <v>178</v>
      </c>
      <c r="N489" t="s">
        <v>51</v>
      </c>
      <c r="O489" t="s">
        <v>51</v>
      </c>
      <c r="P489" t="s">
        <v>37</v>
      </c>
      <c r="Q489" t="s">
        <v>94</v>
      </c>
      <c r="T489" s="2">
        <v>1</v>
      </c>
      <c r="U489" s="2">
        <v>50</v>
      </c>
      <c r="V489" s="2">
        <v>1</v>
      </c>
      <c r="W489" s="2">
        <v>1</v>
      </c>
      <c r="X489" s="2">
        <v>1</v>
      </c>
      <c r="Y489" s="2">
        <v>1</v>
      </c>
      <c r="Z489" s="2">
        <v>0</v>
      </c>
      <c r="AA489" s="2">
        <v>1</v>
      </c>
      <c r="AB489" s="2">
        <v>0</v>
      </c>
      <c r="AC489" s="2">
        <v>0</v>
      </c>
    </row>
    <row r="490" spans="1:29">
      <c r="A490" s="2">
        <v>276</v>
      </c>
      <c r="B490" s="2">
        <v>241250704</v>
      </c>
      <c r="C490" s="2">
        <v>241250704</v>
      </c>
      <c r="D490" t="s">
        <v>293</v>
      </c>
      <c r="E490" t="s">
        <v>294</v>
      </c>
      <c r="F490" t="s">
        <v>295</v>
      </c>
      <c r="G490" s="3">
        <f>+VLOOKUP(B490,'[1]master_prod_15todos(30-11-2 (2)'!$B$2:$AF$470,31,FALSE)</f>
        <v>118.67</v>
      </c>
      <c r="H490" s="2">
        <v>0</v>
      </c>
      <c r="I490" s="2">
        <v>0</v>
      </c>
      <c r="J490" s="2">
        <v>0</v>
      </c>
      <c r="K490" s="6">
        <f t="shared" si="15"/>
        <v>118.67</v>
      </c>
      <c r="L490" s="7">
        <f>+VLOOKUP(B490,'[1]master_prod_15todos(30-11-2 (2)'!$B$2:$AG$470,32,FALSE)</f>
        <v>0.32</v>
      </c>
      <c r="M490" s="10">
        <f t="shared" si="16"/>
        <v>370.84375</v>
      </c>
      <c r="N490" t="s">
        <v>30</v>
      </c>
      <c r="O490" t="s">
        <v>30</v>
      </c>
      <c r="P490" t="s">
        <v>30</v>
      </c>
      <c r="Q490" t="s">
        <v>171</v>
      </c>
      <c r="R490" t="s">
        <v>172</v>
      </c>
      <c r="T490" s="2">
        <v>1</v>
      </c>
      <c r="U490" s="2">
        <v>1</v>
      </c>
      <c r="V490" s="2">
        <v>1</v>
      </c>
      <c r="W490" s="2">
        <v>1</v>
      </c>
      <c r="X490" s="2">
        <v>0</v>
      </c>
      <c r="Y490" s="2">
        <v>1</v>
      </c>
      <c r="Z490" s="2">
        <v>0</v>
      </c>
      <c r="AA490" s="2">
        <v>1</v>
      </c>
      <c r="AB490" s="2">
        <v>0</v>
      </c>
      <c r="AC490" s="2">
        <v>0</v>
      </c>
    </row>
    <row r="491" spans="1:29">
      <c r="A491" s="2">
        <v>830</v>
      </c>
      <c r="B491" s="2">
        <v>252800937</v>
      </c>
      <c r="C491" s="2">
        <v>252800937</v>
      </c>
      <c r="D491" t="s">
        <v>982</v>
      </c>
      <c r="E491" t="s">
        <v>983</v>
      </c>
      <c r="F491" t="s">
        <v>875</v>
      </c>
      <c r="G491" s="3">
        <v>120.72</v>
      </c>
      <c r="H491" s="2">
        <v>0</v>
      </c>
      <c r="I491" s="2">
        <v>0</v>
      </c>
      <c r="J491" s="2">
        <v>0</v>
      </c>
      <c r="K491" s="6">
        <f t="shared" si="15"/>
        <v>120.72</v>
      </c>
      <c r="L491" s="7">
        <v>0.59</v>
      </c>
      <c r="M491" s="10">
        <f t="shared" si="16"/>
        <v>204.61016949152543</v>
      </c>
      <c r="N491" t="s">
        <v>30</v>
      </c>
      <c r="O491" t="s">
        <v>30</v>
      </c>
      <c r="P491" t="s">
        <v>30</v>
      </c>
      <c r="Q491" t="s">
        <v>171</v>
      </c>
      <c r="R491" t="s">
        <v>172</v>
      </c>
      <c r="T491" s="2">
        <v>1</v>
      </c>
      <c r="U491" s="2">
        <v>1</v>
      </c>
      <c r="V491" s="2">
        <v>1</v>
      </c>
      <c r="W491" s="2">
        <v>1</v>
      </c>
      <c r="X491" s="2">
        <v>1</v>
      </c>
      <c r="Y491" s="2">
        <v>1</v>
      </c>
      <c r="Z491" s="2">
        <v>0</v>
      </c>
      <c r="AA491" s="2">
        <v>1</v>
      </c>
      <c r="AB491" s="2">
        <v>0</v>
      </c>
      <c r="AC491" s="2">
        <v>0</v>
      </c>
    </row>
    <row r="492" spans="1:29">
      <c r="A492" s="2">
        <v>818</v>
      </c>
      <c r="B492" s="2">
        <v>252800960</v>
      </c>
      <c r="C492" s="2">
        <v>252800960</v>
      </c>
      <c r="D492" t="s">
        <v>1027</v>
      </c>
      <c r="E492" t="s">
        <v>1028</v>
      </c>
      <c r="F492" t="s">
        <v>875</v>
      </c>
      <c r="G492">
        <v>129.6</v>
      </c>
      <c r="H492" s="2">
        <v>0</v>
      </c>
      <c r="I492" s="2">
        <v>0</v>
      </c>
      <c r="J492" s="2">
        <v>0</v>
      </c>
      <c r="K492" s="6">
        <f t="shared" si="15"/>
        <v>129.6</v>
      </c>
      <c r="L492" s="7">
        <v>0.6</v>
      </c>
      <c r="M492" s="10">
        <f t="shared" si="16"/>
        <v>216</v>
      </c>
      <c r="N492" t="s">
        <v>30</v>
      </c>
      <c r="O492" t="s">
        <v>30</v>
      </c>
      <c r="P492" t="s">
        <v>30</v>
      </c>
      <c r="Q492" t="s">
        <v>94</v>
      </c>
      <c r="T492" s="2">
        <v>1</v>
      </c>
      <c r="U492" s="2">
        <v>1</v>
      </c>
      <c r="V492" s="2">
        <v>1</v>
      </c>
      <c r="W492" s="2">
        <v>1</v>
      </c>
      <c r="X492" s="2">
        <v>0</v>
      </c>
      <c r="Y492" s="2">
        <v>1</v>
      </c>
      <c r="Z492" s="2">
        <v>0</v>
      </c>
      <c r="AA492" s="2">
        <v>1</v>
      </c>
      <c r="AB492" s="2">
        <v>0</v>
      </c>
      <c r="AC492" s="2">
        <v>0</v>
      </c>
    </row>
    <row r="493" spans="1:29">
      <c r="A493" s="2">
        <v>865</v>
      </c>
      <c r="B493" s="2">
        <v>253400753</v>
      </c>
      <c r="C493" s="2">
        <v>253400753</v>
      </c>
      <c r="D493" t="s">
        <v>1085</v>
      </c>
      <c r="E493" t="s">
        <v>1086</v>
      </c>
      <c r="F493" t="s">
        <v>75</v>
      </c>
      <c r="G493">
        <v>138.6</v>
      </c>
      <c r="H493" s="2">
        <v>0</v>
      </c>
      <c r="I493" s="2">
        <v>0</v>
      </c>
      <c r="J493" s="2">
        <v>0</v>
      </c>
      <c r="K493" s="6">
        <f t="shared" si="15"/>
        <v>138.6</v>
      </c>
      <c r="L493" s="7">
        <v>0.64</v>
      </c>
      <c r="M493" s="10">
        <f t="shared" si="16"/>
        <v>216.5625</v>
      </c>
      <c r="N493" t="s">
        <v>30</v>
      </c>
      <c r="O493" t="s">
        <v>30</v>
      </c>
      <c r="P493" t="s">
        <v>30</v>
      </c>
      <c r="Q493" t="s">
        <v>171</v>
      </c>
      <c r="R493" t="s">
        <v>172</v>
      </c>
      <c r="T493" s="2">
        <v>1</v>
      </c>
      <c r="U493" s="2">
        <v>1</v>
      </c>
      <c r="V493" s="2">
        <v>1</v>
      </c>
      <c r="W493" s="2">
        <v>1</v>
      </c>
      <c r="X493" s="2">
        <v>0</v>
      </c>
      <c r="Y493" s="2">
        <v>1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s="2">
        <v>864</v>
      </c>
      <c r="B494" s="2">
        <v>253400853</v>
      </c>
      <c r="C494" s="2">
        <v>253400853</v>
      </c>
      <c r="D494" t="s">
        <v>1088</v>
      </c>
      <c r="E494" t="s">
        <v>1089</v>
      </c>
      <c r="F494" t="s">
        <v>75</v>
      </c>
      <c r="G494">
        <v>138.6</v>
      </c>
      <c r="H494" s="2">
        <v>0</v>
      </c>
      <c r="I494" s="2">
        <v>0</v>
      </c>
      <c r="J494" s="2">
        <v>0</v>
      </c>
      <c r="K494" s="6">
        <f t="shared" si="15"/>
        <v>138.6</v>
      </c>
      <c r="L494" s="7">
        <v>0.64</v>
      </c>
      <c r="M494" s="10">
        <f t="shared" si="16"/>
        <v>216.5625</v>
      </c>
      <c r="N494" t="s">
        <v>30</v>
      </c>
      <c r="O494" t="s">
        <v>30</v>
      </c>
      <c r="P494" t="s">
        <v>30</v>
      </c>
      <c r="Q494" t="s">
        <v>171</v>
      </c>
      <c r="R494" t="s">
        <v>172</v>
      </c>
      <c r="T494" s="2">
        <v>1</v>
      </c>
      <c r="U494" s="2">
        <v>1</v>
      </c>
      <c r="V494" s="2">
        <v>1</v>
      </c>
      <c r="W494" s="2">
        <v>1</v>
      </c>
      <c r="X494" s="2">
        <v>0</v>
      </c>
      <c r="Y494" s="2">
        <v>1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s="2">
        <v>863</v>
      </c>
      <c r="B495" s="2">
        <v>253400953</v>
      </c>
      <c r="C495" s="2">
        <v>253400953</v>
      </c>
      <c r="D495" t="s">
        <v>1093</v>
      </c>
      <c r="E495" t="s">
        <v>1094</v>
      </c>
      <c r="F495" t="s">
        <v>75</v>
      </c>
      <c r="G495">
        <v>138.6</v>
      </c>
      <c r="H495" s="2">
        <v>0</v>
      </c>
      <c r="I495" s="2">
        <v>0</v>
      </c>
      <c r="J495" s="2">
        <v>0</v>
      </c>
      <c r="K495" s="6">
        <f t="shared" si="15"/>
        <v>138.6</v>
      </c>
      <c r="L495" s="7">
        <v>0.64</v>
      </c>
      <c r="M495" s="10">
        <f t="shared" si="16"/>
        <v>216.5625</v>
      </c>
      <c r="N495" t="s">
        <v>30</v>
      </c>
      <c r="O495" t="s">
        <v>30</v>
      </c>
      <c r="P495" t="s">
        <v>30</v>
      </c>
      <c r="Q495" t="s">
        <v>171</v>
      </c>
      <c r="T495" s="2">
        <v>1</v>
      </c>
      <c r="U495" s="2">
        <v>1</v>
      </c>
      <c r="V495" s="2">
        <v>1</v>
      </c>
      <c r="W495" s="2">
        <v>1</v>
      </c>
      <c r="X495" s="2">
        <v>0</v>
      </c>
      <c r="Y495" s="2">
        <v>1</v>
      </c>
      <c r="Z495" s="2">
        <v>0</v>
      </c>
      <c r="AA495" s="2">
        <v>1</v>
      </c>
      <c r="AB495" s="2">
        <v>0</v>
      </c>
      <c r="AC495" s="2">
        <v>0</v>
      </c>
    </row>
    <row r="496" spans="1:29">
      <c r="A496" s="2">
        <v>689</v>
      </c>
      <c r="B496" s="2">
        <v>250200226</v>
      </c>
      <c r="C496" s="2">
        <v>250200226</v>
      </c>
      <c r="D496" t="s">
        <v>691</v>
      </c>
      <c r="E496" t="s">
        <v>692</v>
      </c>
      <c r="F496" t="s">
        <v>75</v>
      </c>
      <c r="G496">
        <v>147.69999999999999</v>
      </c>
      <c r="H496" s="2">
        <v>0</v>
      </c>
      <c r="I496" s="2">
        <v>0</v>
      </c>
      <c r="J496" s="2">
        <v>0</v>
      </c>
      <c r="K496" s="6">
        <f t="shared" si="15"/>
        <v>147.69999999999999</v>
      </c>
      <c r="L496" s="7">
        <v>0.65</v>
      </c>
      <c r="M496" s="10">
        <f t="shared" si="16"/>
        <v>227.2307692307692</v>
      </c>
      <c r="N496" t="s">
        <v>30</v>
      </c>
      <c r="O496" t="s">
        <v>30</v>
      </c>
      <c r="P496" t="s">
        <v>30</v>
      </c>
      <c r="Q496" t="s">
        <v>171</v>
      </c>
      <c r="R496" t="s">
        <v>172</v>
      </c>
      <c r="T496" s="2">
        <v>1</v>
      </c>
      <c r="U496" s="2">
        <v>1</v>
      </c>
      <c r="V496" s="2">
        <v>1</v>
      </c>
      <c r="W496" s="2">
        <v>1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s="2">
        <v>355</v>
      </c>
      <c r="B497" s="2">
        <v>240600226</v>
      </c>
      <c r="C497" s="2">
        <v>240600226</v>
      </c>
      <c r="D497" t="s">
        <v>174</v>
      </c>
      <c r="F497" t="s">
        <v>75</v>
      </c>
      <c r="G497" s="3">
        <f>+VLOOKUP(B497,'[1]master_prod_15todos(30-11-2 (2)'!$B$2:$AF$470,31,FALSE)</f>
        <v>154</v>
      </c>
      <c r="H497" s="2">
        <v>0</v>
      </c>
      <c r="I497" s="2">
        <v>0</v>
      </c>
      <c r="J497" s="2">
        <v>0</v>
      </c>
      <c r="K497" s="6">
        <f t="shared" si="15"/>
        <v>154</v>
      </c>
      <c r="L497" s="7">
        <f>+VLOOKUP(B497,'[1]master_prod_15todos(30-11-2 (2)'!$B$2:$AG$470,32,FALSE)</f>
        <v>0.85</v>
      </c>
      <c r="M497" s="10">
        <f t="shared" si="16"/>
        <v>181.1764705882353</v>
      </c>
      <c r="N497" t="s">
        <v>30</v>
      </c>
      <c r="O497" t="s">
        <v>30</v>
      </c>
      <c r="P497" t="s">
        <v>30</v>
      </c>
      <c r="Q497" t="s">
        <v>171</v>
      </c>
      <c r="T497" s="2">
        <v>1</v>
      </c>
      <c r="U497" s="2">
        <v>1</v>
      </c>
      <c r="V497" s="2">
        <v>1</v>
      </c>
      <c r="W497" s="2">
        <v>1</v>
      </c>
      <c r="X497" s="2">
        <v>1</v>
      </c>
      <c r="Y497" s="2">
        <v>1</v>
      </c>
      <c r="Z497" s="2">
        <v>0</v>
      </c>
      <c r="AA497" s="2">
        <v>1</v>
      </c>
      <c r="AB497" s="2">
        <v>0</v>
      </c>
      <c r="AC497" s="2">
        <v>0</v>
      </c>
    </row>
    <row r="498" spans="1:29">
      <c r="A498" s="2">
        <v>799</v>
      </c>
      <c r="B498" s="2">
        <v>240600327</v>
      </c>
      <c r="C498" s="2">
        <v>240600327</v>
      </c>
      <c r="D498" t="s">
        <v>196</v>
      </c>
      <c r="F498" t="s">
        <v>75</v>
      </c>
      <c r="G498" s="3">
        <f>+VLOOKUP(B498,'[1]master_prod_15todos(30-11-2 (2)'!$B$2:$AF$470,31,FALSE)</f>
        <v>154</v>
      </c>
      <c r="H498" s="2">
        <v>0</v>
      </c>
      <c r="I498" s="2">
        <v>0</v>
      </c>
      <c r="J498" s="2">
        <v>0</v>
      </c>
      <c r="K498" s="6">
        <f t="shared" si="15"/>
        <v>154</v>
      </c>
      <c r="L498" s="7">
        <f>+VLOOKUP(B498,'[1]master_prod_15todos(30-11-2 (2)'!$B$2:$AG$470,32,FALSE)</f>
        <v>0.64</v>
      </c>
      <c r="M498" s="10">
        <f t="shared" si="16"/>
        <v>240.625</v>
      </c>
      <c r="N498" t="s">
        <v>30</v>
      </c>
      <c r="O498" t="s">
        <v>30</v>
      </c>
      <c r="P498" t="s">
        <v>30</v>
      </c>
      <c r="Q498" t="s">
        <v>171</v>
      </c>
      <c r="R498" t="s">
        <v>172</v>
      </c>
      <c r="T498" s="2">
        <v>1</v>
      </c>
      <c r="U498" s="2">
        <v>1</v>
      </c>
      <c r="V498" s="2">
        <v>1</v>
      </c>
      <c r="W498" s="2">
        <v>1</v>
      </c>
      <c r="X498" s="2">
        <v>0</v>
      </c>
      <c r="Y498" s="2">
        <v>1</v>
      </c>
      <c r="Z498" s="2">
        <v>0</v>
      </c>
      <c r="AA498" s="2">
        <v>1</v>
      </c>
      <c r="AB498" s="2">
        <v>0</v>
      </c>
      <c r="AC498" s="2">
        <v>0</v>
      </c>
    </row>
    <row r="499" spans="1:29">
      <c r="A499" s="2">
        <v>858</v>
      </c>
      <c r="B499" s="2">
        <v>240600527</v>
      </c>
      <c r="C499" s="2">
        <v>240600527</v>
      </c>
      <c r="D499" t="s">
        <v>202</v>
      </c>
      <c r="E499" t="s">
        <v>203</v>
      </c>
      <c r="F499" t="s">
        <v>75</v>
      </c>
      <c r="G499" s="3">
        <f>+VLOOKUP(B499,'[1]master_prod_15todos(30-11-2 (2)'!$B$2:$AF$470,31,FALSE)</f>
        <v>154</v>
      </c>
      <c r="H499" s="2">
        <v>0</v>
      </c>
      <c r="I499" s="2">
        <v>0</v>
      </c>
      <c r="J499" s="2">
        <v>0</v>
      </c>
      <c r="K499" s="6">
        <f t="shared" si="15"/>
        <v>154</v>
      </c>
      <c r="L499" s="7">
        <f>+VLOOKUP(B499,'[1]master_prod_15todos(30-11-2 (2)'!$B$2:$AG$470,32,FALSE)</f>
        <v>0.64</v>
      </c>
      <c r="M499" s="10">
        <f t="shared" si="16"/>
        <v>240.625</v>
      </c>
      <c r="N499" t="s">
        <v>30</v>
      </c>
      <c r="O499" t="s">
        <v>30</v>
      </c>
      <c r="P499" t="s">
        <v>30</v>
      </c>
      <c r="Q499" t="s">
        <v>171</v>
      </c>
      <c r="R499" t="s">
        <v>172</v>
      </c>
      <c r="T499" s="2">
        <v>1</v>
      </c>
      <c r="U499" s="2">
        <v>1</v>
      </c>
      <c r="V499" s="2">
        <v>1</v>
      </c>
      <c r="W499" s="2">
        <v>1</v>
      </c>
      <c r="X499" s="2">
        <v>0</v>
      </c>
      <c r="Y499" s="2">
        <v>1</v>
      </c>
      <c r="Z499" s="2">
        <v>0</v>
      </c>
      <c r="AA499" s="2">
        <v>0</v>
      </c>
      <c r="AB499" s="2">
        <v>0</v>
      </c>
      <c r="AC499" s="2">
        <v>0</v>
      </c>
    </row>
    <row r="500" spans="1:29">
      <c r="A500" s="2">
        <v>859</v>
      </c>
      <c r="B500" s="2">
        <v>240600627</v>
      </c>
      <c r="C500" s="2">
        <v>240600627</v>
      </c>
      <c r="D500" t="s">
        <v>204</v>
      </c>
      <c r="E500" t="s">
        <v>205</v>
      </c>
      <c r="F500" t="s">
        <v>75</v>
      </c>
      <c r="G500" s="3">
        <f>+VLOOKUP(B500,'[1]master_prod_15todos(30-11-2 (2)'!$B$2:$AF$470,31,FALSE)</f>
        <v>154</v>
      </c>
      <c r="H500" s="2">
        <v>0</v>
      </c>
      <c r="I500" s="2">
        <v>0</v>
      </c>
      <c r="J500" s="2">
        <v>0</v>
      </c>
      <c r="K500" s="6">
        <f t="shared" si="15"/>
        <v>154</v>
      </c>
      <c r="L500" s="7">
        <f>+VLOOKUP(B500,'[1]master_prod_15todos(30-11-2 (2)'!$B$2:$AG$470,32,FALSE)</f>
        <v>0.64</v>
      </c>
      <c r="M500" s="10">
        <f t="shared" si="16"/>
        <v>240.625</v>
      </c>
      <c r="N500" t="s">
        <v>71</v>
      </c>
      <c r="O500" t="s">
        <v>71</v>
      </c>
      <c r="P500" t="s">
        <v>52</v>
      </c>
      <c r="Q500" t="s">
        <v>1052</v>
      </c>
      <c r="R500" t="s">
        <v>1053</v>
      </c>
      <c r="T500" s="2">
        <v>1</v>
      </c>
      <c r="U500" s="2">
        <v>1</v>
      </c>
      <c r="V500" s="2">
        <v>1</v>
      </c>
      <c r="W500" s="2">
        <v>1</v>
      </c>
      <c r="X500" s="2">
        <v>1</v>
      </c>
      <c r="Y500" s="2">
        <v>1</v>
      </c>
      <c r="Z500" s="2">
        <v>0</v>
      </c>
      <c r="AA500" s="2">
        <v>1</v>
      </c>
      <c r="AB500" s="2">
        <v>0</v>
      </c>
      <c r="AC500" s="2">
        <v>0</v>
      </c>
    </row>
    <row r="501" spans="1:29">
      <c r="A501" s="2">
        <v>720</v>
      </c>
      <c r="B501" s="2">
        <v>250600901</v>
      </c>
      <c r="C501" s="2">
        <v>250600901</v>
      </c>
      <c r="D501" t="s">
        <v>768</v>
      </c>
      <c r="E501" t="s">
        <v>769</v>
      </c>
      <c r="F501" t="s">
        <v>56</v>
      </c>
      <c r="G501" s="2">
        <v>154</v>
      </c>
      <c r="H501" s="2">
        <v>0</v>
      </c>
      <c r="I501" s="2">
        <v>0</v>
      </c>
      <c r="J501" s="2">
        <v>0</v>
      </c>
      <c r="K501" s="6">
        <f t="shared" si="15"/>
        <v>154</v>
      </c>
      <c r="L501" s="7">
        <v>0.55000000000000004</v>
      </c>
      <c r="M501" s="10">
        <f t="shared" si="16"/>
        <v>280</v>
      </c>
      <c r="N501" t="s">
        <v>71</v>
      </c>
      <c r="O501" t="s">
        <v>71</v>
      </c>
      <c r="P501" t="s">
        <v>37</v>
      </c>
      <c r="Q501" t="s">
        <v>1052</v>
      </c>
      <c r="R501" t="s">
        <v>1098</v>
      </c>
      <c r="T501" s="2">
        <v>1</v>
      </c>
      <c r="U501" s="2">
        <v>1</v>
      </c>
      <c r="V501" s="2">
        <v>1</v>
      </c>
      <c r="W501" s="2">
        <v>1</v>
      </c>
      <c r="X501" s="2">
        <v>1</v>
      </c>
      <c r="Y501" s="2">
        <v>0</v>
      </c>
      <c r="Z501" s="2">
        <v>0</v>
      </c>
      <c r="AA501" s="2">
        <v>1</v>
      </c>
      <c r="AB501" s="2">
        <v>0</v>
      </c>
      <c r="AC501" s="2">
        <v>0</v>
      </c>
    </row>
    <row r="502" spans="1:29">
      <c r="A502" s="2">
        <v>363</v>
      </c>
      <c r="B502" s="2">
        <v>253400133</v>
      </c>
      <c r="C502" s="2">
        <v>253400133</v>
      </c>
      <c r="D502" t="s">
        <v>1055</v>
      </c>
      <c r="E502" t="s">
        <v>1056</v>
      </c>
      <c r="F502" t="s">
        <v>75</v>
      </c>
      <c r="G502" s="2">
        <v>154</v>
      </c>
      <c r="H502" s="2">
        <v>0</v>
      </c>
      <c r="I502" s="2">
        <v>0</v>
      </c>
      <c r="J502" s="2">
        <v>0</v>
      </c>
      <c r="K502" s="6">
        <f t="shared" si="15"/>
        <v>154</v>
      </c>
      <c r="L502" s="7">
        <v>0.64</v>
      </c>
      <c r="M502" s="10">
        <f t="shared" si="16"/>
        <v>240.625</v>
      </c>
      <c r="N502" t="s">
        <v>51</v>
      </c>
      <c r="O502" t="s">
        <v>51</v>
      </c>
      <c r="P502" t="s">
        <v>695</v>
      </c>
      <c r="Q502" t="s">
        <v>1052</v>
      </c>
      <c r="R502" t="s">
        <v>1053</v>
      </c>
      <c r="T502" s="2">
        <v>1</v>
      </c>
      <c r="U502" s="2">
        <v>1</v>
      </c>
      <c r="V502" s="2">
        <v>1</v>
      </c>
      <c r="W502" s="2">
        <v>1</v>
      </c>
      <c r="X502" s="2">
        <v>1</v>
      </c>
      <c r="Y502" s="2">
        <v>1</v>
      </c>
      <c r="Z502" s="2">
        <v>0</v>
      </c>
      <c r="AA502" s="2">
        <v>1</v>
      </c>
      <c r="AB502" s="2">
        <v>0</v>
      </c>
      <c r="AC502" s="2">
        <v>0</v>
      </c>
    </row>
    <row r="503" spans="1:29">
      <c r="A503" s="2">
        <v>703</v>
      </c>
      <c r="B503" s="2">
        <v>253400208</v>
      </c>
      <c r="C503" s="2">
        <v>253400208</v>
      </c>
      <c r="D503" t="s">
        <v>1059</v>
      </c>
      <c r="E503" s="2">
        <v>30470</v>
      </c>
      <c r="F503" t="s">
        <v>1060</v>
      </c>
      <c r="G503" s="2">
        <v>154</v>
      </c>
      <c r="H503" s="2">
        <v>0</v>
      </c>
      <c r="I503" s="2">
        <v>0</v>
      </c>
      <c r="J503" s="2">
        <v>0</v>
      </c>
      <c r="K503" s="6">
        <f t="shared" si="15"/>
        <v>154</v>
      </c>
      <c r="L503" s="7">
        <v>0.65</v>
      </c>
      <c r="M503" s="10">
        <f t="shared" si="16"/>
        <v>236.92307692307691</v>
      </c>
      <c r="N503" t="s">
        <v>51</v>
      </c>
      <c r="O503" t="s">
        <v>51</v>
      </c>
      <c r="P503" t="s">
        <v>695</v>
      </c>
      <c r="Q503" t="s">
        <v>1052</v>
      </c>
      <c r="R503" t="s">
        <v>1053</v>
      </c>
      <c r="T503" s="2">
        <v>1</v>
      </c>
      <c r="U503" s="2">
        <v>1</v>
      </c>
      <c r="V503" s="2">
        <v>1</v>
      </c>
      <c r="W503" s="2">
        <v>1</v>
      </c>
      <c r="X503" s="2">
        <v>1</v>
      </c>
      <c r="Y503" s="2">
        <v>1</v>
      </c>
      <c r="Z503" s="2">
        <v>0</v>
      </c>
      <c r="AA503" s="2">
        <v>1</v>
      </c>
      <c r="AB503" s="2">
        <v>0</v>
      </c>
      <c r="AC503" s="2">
        <v>0</v>
      </c>
    </row>
    <row r="504" spans="1:29">
      <c r="A504" s="2">
        <v>856</v>
      </c>
      <c r="B504" s="2">
        <v>253400231</v>
      </c>
      <c r="C504" s="2">
        <v>253400231</v>
      </c>
      <c r="D504" t="s">
        <v>1064</v>
      </c>
      <c r="F504" t="s">
        <v>75</v>
      </c>
      <c r="G504" s="2">
        <v>154</v>
      </c>
      <c r="H504" s="2">
        <v>0</v>
      </c>
      <c r="I504" s="2">
        <v>0</v>
      </c>
      <c r="J504" s="2">
        <v>0</v>
      </c>
      <c r="K504" s="6">
        <f t="shared" si="15"/>
        <v>154</v>
      </c>
      <c r="L504" s="7">
        <v>0.64</v>
      </c>
      <c r="M504" s="10">
        <f t="shared" si="16"/>
        <v>240.625</v>
      </c>
      <c r="N504" t="s">
        <v>51</v>
      </c>
      <c r="O504" t="s">
        <v>51</v>
      </c>
      <c r="P504" t="s">
        <v>695</v>
      </c>
      <c r="Q504" t="s">
        <v>1052</v>
      </c>
      <c r="R504" t="s">
        <v>1053</v>
      </c>
      <c r="T504" s="2">
        <v>1</v>
      </c>
      <c r="U504" s="2">
        <v>1</v>
      </c>
      <c r="V504" s="2">
        <v>1</v>
      </c>
      <c r="W504" s="2">
        <v>1</v>
      </c>
      <c r="X504" s="2">
        <v>1</v>
      </c>
      <c r="Y504" s="2">
        <v>1</v>
      </c>
      <c r="Z504" s="2">
        <v>0</v>
      </c>
      <c r="AA504" s="2">
        <v>1</v>
      </c>
      <c r="AB504" s="2">
        <v>0</v>
      </c>
      <c r="AC504" s="2">
        <v>0</v>
      </c>
    </row>
    <row r="505" spans="1:29">
      <c r="A505" s="2">
        <v>857</v>
      </c>
      <c r="B505" s="2">
        <v>253400232</v>
      </c>
      <c r="C505" s="2">
        <v>253400232</v>
      </c>
      <c r="D505" t="s">
        <v>1065</v>
      </c>
      <c r="F505" t="s">
        <v>75</v>
      </c>
      <c r="G505" s="2">
        <v>154</v>
      </c>
      <c r="H505" s="2">
        <v>0</v>
      </c>
      <c r="I505" s="2">
        <v>0</v>
      </c>
      <c r="J505" s="2">
        <v>0</v>
      </c>
      <c r="K505" s="6">
        <f t="shared" si="15"/>
        <v>154</v>
      </c>
      <c r="L505" s="7">
        <v>0.64</v>
      </c>
      <c r="M505" s="10">
        <f t="shared" si="16"/>
        <v>240.625</v>
      </c>
      <c r="N505" t="s">
        <v>71</v>
      </c>
      <c r="O505" t="s">
        <v>71</v>
      </c>
      <c r="P505" t="s">
        <v>52</v>
      </c>
      <c r="Q505" t="s">
        <v>1052</v>
      </c>
      <c r="R505" t="s">
        <v>1053</v>
      </c>
      <c r="T505" s="2">
        <v>1</v>
      </c>
      <c r="U505" s="2">
        <v>1</v>
      </c>
      <c r="V505" s="2">
        <v>1</v>
      </c>
      <c r="W505" s="2">
        <v>1</v>
      </c>
      <c r="X505" s="2">
        <v>1</v>
      </c>
      <c r="Y505" s="2">
        <v>1</v>
      </c>
      <c r="Z505" s="2">
        <v>0</v>
      </c>
      <c r="AA505" s="2">
        <v>1</v>
      </c>
      <c r="AB505" s="2">
        <v>0</v>
      </c>
      <c r="AC505" s="2">
        <v>0</v>
      </c>
    </row>
    <row r="506" spans="1:29">
      <c r="A506" s="2">
        <v>357</v>
      </c>
      <c r="B506" s="2">
        <v>253400233</v>
      </c>
      <c r="C506" s="2">
        <v>253400233</v>
      </c>
      <c r="D506" t="s">
        <v>1066</v>
      </c>
      <c r="E506" t="s">
        <v>1067</v>
      </c>
      <c r="F506" t="s">
        <v>75</v>
      </c>
      <c r="G506" s="2">
        <v>154</v>
      </c>
      <c r="H506" s="2">
        <v>0</v>
      </c>
      <c r="I506" s="2">
        <v>0</v>
      </c>
      <c r="J506" s="2">
        <v>0</v>
      </c>
      <c r="K506" s="6">
        <f t="shared" si="15"/>
        <v>154</v>
      </c>
      <c r="L506" s="7">
        <v>0.64</v>
      </c>
      <c r="M506" s="10">
        <f t="shared" si="16"/>
        <v>240.625</v>
      </c>
      <c r="N506" t="s">
        <v>71</v>
      </c>
      <c r="O506" t="s">
        <v>71</v>
      </c>
      <c r="P506" t="s">
        <v>52</v>
      </c>
      <c r="Q506" t="s">
        <v>1052</v>
      </c>
      <c r="R506" t="s">
        <v>1053</v>
      </c>
      <c r="T506" s="2">
        <v>1</v>
      </c>
      <c r="U506" s="2">
        <v>1</v>
      </c>
      <c r="V506" s="2">
        <v>1</v>
      </c>
      <c r="W506" s="2">
        <v>1</v>
      </c>
      <c r="X506" s="2">
        <v>1</v>
      </c>
      <c r="Y506" s="2">
        <v>1</v>
      </c>
      <c r="Z506" s="2">
        <v>0</v>
      </c>
      <c r="AA506" s="2">
        <v>1</v>
      </c>
      <c r="AB506" s="2">
        <v>0</v>
      </c>
      <c r="AC506" s="2">
        <v>0</v>
      </c>
    </row>
    <row r="507" spans="1:29">
      <c r="A507" s="2">
        <v>804</v>
      </c>
      <c r="B507" s="2">
        <v>253400234</v>
      </c>
      <c r="C507" s="2">
        <v>253400234</v>
      </c>
      <c r="D507" t="s">
        <v>1068</v>
      </c>
      <c r="E507" t="s">
        <v>1069</v>
      </c>
      <c r="F507" t="s">
        <v>75</v>
      </c>
      <c r="G507" s="2">
        <v>154</v>
      </c>
      <c r="H507" s="2">
        <v>0</v>
      </c>
      <c r="I507" s="2">
        <v>0</v>
      </c>
      <c r="J507" s="2">
        <v>0</v>
      </c>
      <c r="K507" s="6">
        <f t="shared" si="15"/>
        <v>154</v>
      </c>
      <c r="L507" s="7">
        <v>0.64</v>
      </c>
      <c r="M507" s="10">
        <f t="shared" si="16"/>
        <v>240.625</v>
      </c>
      <c r="N507" t="s">
        <v>51</v>
      </c>
      <c r="O507" t="s">
        <v>30</v>
      </c>
      <c r="P507" t="s">
        <v>51</v>
      </c>
      <c r="Q507" t="s">
        <v>401</v>
      </c>
      <c r="R507" t="s">
        <v>808</v>
      </c>
      <c r="T507" s="2">
        <v>1</v>
      </c>
      <c r="U507" s="2">
        <v>1</v>
      </c>
      <c r="V507" s="2">
        <v>1</v>
      </c>
      <c r="W507" s="2">
        <v>1</v>
      </c>
      <c r="X507" s="2">
        <v>0</v>
      </c>
      <c r="Y507" s="2">
        <v>0</v>
      </c>
      <c r="Z507" s="2">
        <v>0</v>
      </c>
      <c r="AA507" s="2">
        <v>1</v>
      </c>
      <c r="AB507" s="2">
        <v>0</v>
      </c>
      <c r="AC507" s="2">
        <v>0</v>
      </c>
    </row>
    <row r="508" spans="1:29">
      <c r="A508" s="2">
        <v>803</v>
      </c>
      <c r="B508" s="2">
        <v>253400733</v>
      </c>
      <c r="C508" s="2">
        <v>253400733</v>
      </c>
      <c r="D508" t="s">
        <v>1084</v>
      </c>
      <c r="F508" t="s">
        <v>75</v>
      </c>
      <c r="G508" s="2">
        <v>154</v>
      </c>
      <c r="H508" s="2">
        <v>0</v>
      </c>
      <c r="I508" s="2">
        <v>0</v>
      </c>
      <c r="J508" s="2">
        <v>0</v>
      </c>
      <c r="K508" s="6">
        <f t="shared" si="15"/>
        <v>154</v>
      </c>
      <c r="L508" s="7">
        <v>0.64</v>
      </c>
      <c r="M508" s="10">
        <f t="shared" si="16"/>
        <v>240.625</v>
      </c>
      <c r="N508" t="s">
        <v>30</v>
      </c>
      <c r="O508" t="s">
        <v>86</v>
      </c>
      <c r="P508" t="s">
        <v>30</v>
      </c>
      <c r="Q508" t="s">
        <v>592</v>
      </c>
      <c r="T508" s="2">
        <v>1</v>
      </c>
      <c r="U508" s="2">
        <v>1</v>
      </c>
      <c r="V508" s="2">
        <v>1</v>
      </c>
      <c r="W508" s="2">
        <v>1</v>
      </c>
      <c r="X508" s="2">
        <v>1</v>
      </c>
      <c r="Y508" s="2">
        <v>1</v>
      </c>
      <c r="Z508" s="2">
        <v>0</v>
      </c>
      <c r="AA508" s="2">
        <v>1</v>
      </c>
      <c r="AB508" s="2">
        <v>0</v>
      </c>
      <c r="AC508" s="2">
        <v>0</v>
      </c>
    </row>
    <row r="509" spans="1:29">
      <c r="A509" s="2">
        <v>699</v>
      </c>
      <c r="B509" s="2">
        <v>240850802</v>
      </c>
      <c r="C509" s="2">
        <v>240850802</v>
      </c>
      <c r="D509" t="s">
        <v>234</v>
      </c>
      <c r="E509" t="s">
        <v>235</v>
      </c>
      <c r="F509" t="s">
        <v>236</v>
      </c>
      <c r="G509" s="3">
        <f>+VLOOKUP(B509,'[1]master_prod_15todos(30-11-2 (2)'!$B$2:$AF$470,31,FALSE)</f>
        <v>187</v>
      </c>
      <c r="H509" s="2">
        <v>0</v>
      </c>
      <c r="I509" s="2">
        <v>0</v>
      </c>
      <c r="J509" s="2">
        <v>0</v>
      </c>
      <c r="K509" s="6">
        <f t="shared" si="15"/>
        <v>187</v>
      </c>
      <c r="L509" s="7">
        <f>+VLOOKUP(B509,'[1]master_prod_15todos(30-11-2 (2)'!$B$2:$AG$470,32,FALSE)</f>
        <v>0.55000000000000004</v>
      </c>
      <c r="M509" s="10">
        <f t="shared" si="16"/>
        <v>340</v>
      </c>
      <c r="N509" t="s">
        <v>30</v>
      </c>
      <c r="O509" t="s">
        <v>30</v>
      </c>
      <c r="P509" t="s">
        <v>30</v>
      </c>
      <c r="Q509" t="s">
        <v>81</v>
      </c>
      <c r="R509" t="s">
        <v>81</v>
      </c>
      <c r="T509" s="2">
        <v>1</v>
      </c>
      <c r="U509" s="2">
        <v>1</v>
      </c>
      <c r="V509" s="2">
        <v>1</v>
      </c>
      <c r="W509" s="2">
        <v>1</v>
      </c>
      <c r="X509" s="2">
        <v>1</v>
      </c>
      <c r="Y509" s="2">
        <v>0</v>
      </c>
      <c r="Z509" s="2">
        <v>0</v>
      </c>
      <c r="AA509" s="2">
        <v>1</v>
      </c>
      <c r="AB509" s="2">
        <v>0</v>
      </c>
      <c r="AC509" s="2">
        <v>0</v>
      </c>
    </row>
    <row r="510" spans="1:29">
      <c r="A510" s="2">
        <v>190</v>
      </c>
      <c r="B510" t="s">
        <v>1132</v>
      </c>
      <c r="C510" t="s">
        <v>1132</v>
      </c>
      <c r="D510" t="s">
        <v>1145</v>
      </c>
      <c r="E510" t="s">
        <v>1146</v>
      </c>
      <c r="F510" t="s">
        <v>1136</v>
      </c>
      <c r="G510" s="2">
        <v>187</v>
      </c>
      <c r="H510" s="2">
        <v>0</v>
      </c>
      <c r="I510" s="2">
        <v>0</v>
      </c>
      <c r="J510" s="2">
        <v>0</v>
      </c>
      <c r="K510" s="6">
        <f t="shared" si="15"/>
        <v>187</v>
      </c>
      <c r="L510" s="7">
        <v>0.6</v>
      </c>
      <c r="M510" s="10">
        <f t="shared" si="16"/>
        <v>311.66666666666669</v>
      </c>
      <c r="N510" t="s">
        <v>30</v>
      </c>
      <c r="O510" t="s">
        <v>30</v>
      </c>
      <c r="P510" t="s">
        <v>30</v>
      </c>
      <c r="Q510" t="s">
        <v>81</v>
      </c>
      <c r="R510" t="s">
        <v>81</v>
      </c>
      <c r="T510" s="2">
        <v>1</v>
      </c>
      <c r="U510" s="2">
        <v>1</v>
      </c>
      <c r="V510" s="2">
        <v>1</v>
      </c>
      <c r="W510" s="2">
        <v>1</v>
      </c>
      <c r="X510" s="2">
        <v>1</v>
      </c>
      <c r="Y510" s="2">
        <v>1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s="2">
        <v>198</v>
      </c>
      <c r="B511" s="2">
        <v>244010001</v>
      </c>
      <c r="C511" s="2">
        <v>244010001</v>
      </c>
      <c r="D511" t="s">
        <v>647</v>
      </c>
      <c r="E511" s="2">
        <v>244010001</v>
      </c>
      <c r="G511">
        <v>202.3</v>
      </c>
      <c r="H511" s="2">
        <v>0</v>
      </c>
      <c r="I511" s="2">
        <v>0</v>
      </c>
      <c r="J511" s="2">
        <v>0</v>
      </c>
      <c r="K511" s="6">
        <f t="shared" si="15"/>
        <v>202.3</v>
      </c>
      <c r="L511" s="7">
        <v>0.7</v>
      </c>
      <c r="M511" s="10">
        <f t="shared" si="16"/>
        <v>289.00000000000006</v>
      </c>
      <c r="N511" t="s">
        <v>30</v>
      </c>
      <c r="O511" t="s">
        <v>30</v>
      </c>
      <c r="P511" t="s">
        <v>30</v>
      </c>
      <c r="Q511" t="s">
        <v>81</v>
      </c>
      <c r="R511" t="s">
        <v>81</v>
      </c>
      <c r="T511" s="2">
        <v>1</v>
      </c>
      <c r="U511" s="2">
        <v>1</v>
      </c>
      <c r="V511" s="2">
        <v>1</v>
      </c>
      <c r="W511" s="2">
        <v>1</v>
      </c>
      <c r="X511" s="2">
        <v>1</v>
      </c>
      <c r="Y511" s="2">
        <v>1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s="2">
        <v>118</v>
      </c>
      <c r="B512" s="2">
        <v>241950402</v>
      </c>
      <c r="C512" s="2">
        <v>241950402</v>
      </c>
      <c r="D512" t="s">
        <v>359</v>
      </c>
      <c r="E512" t="s">
        <v>360</v>
      </c>
      <c r="F512" t="s">
        <v>361</v>
      </c>
      <c r="G512" s="3">
        <f>+VLOOKUP(B512,'[1]master_prod_15todos(30-11-2 (2)'!$B$2:$AF$470,31,FALSE)</f>
        <v>237.5</v>
      </c>
      <c r="H512" s="2">
        <v>0</v>
      </c>
      <c r="I512" s="2">
        <v>0</v>
      </c>
      <c r="J512" s="2">
        <v>0</v>
      </c>
      <c r="K512" s="6">
        <f t="shared" si="15"/>
        <v>237.5</v>
      </c>
      <c r="L512" s="7">
        <f>+VLOOKUP(B512,'[1]master_prod_15todos(30-11-2 (2)'!$B$2:$AG$470,32,FALSE)</f>
        <v>0.8</v>
      </c>
      <c r="M512" s="10">
        <f t="shared" si="16"/>
        <v>296.875</v>
      </c>
      <c r="N512" t="s">
        <v>30</v>
      </c>
      <c r="O512" t="s">
        <v>30</v>
      </c>
      <c r="P512" t="s">
        <v>30</v>
      </c>
      <c r="Q512" t="s">
        <v>81</v>
      </c>
      <c r="R512" t="s">
        <v>81</v>
      </c>
      <c r="T512" s="2">
        <v>1</v>
      </c>
      <c r="U512" s="2">
        <v>1</v>
      </c>
      <c r="V512" s="2">
        <v>1</v>
      </c>
      <c r="W512" s="2">
        <v>1</v>
      </c>
      <c r="X512" s="2">
        <v>1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>
      <c r="A513" s="2">
        <v>726</v>
      </c>
      <c r="B513" s="2">
        <v>252800103</v>
      </c>
      <c r="C513" s="2">
        <v>252800103</v>
      </c>
      <c r="D513" t="s">
        <v>922</v>
      </c>
      <c r="E513" t="s">
        <v>923</v>
      </c>
      <c r="F513" t="s">
        <v>56</v>
      </c>
      <c r="G513" s="2">
        <v>379</v>
      </c>
      <c r="H513" s="2">
        <v>0</v>
      </c>
      <c r="I513" s="2">
        <v>0</v>
      </c>
      <c r="J513" s="2">
        <v>0</v>
      </c>
      <c r="K513" s="6">
        <f t="shared" si="15"/>
        <v>379</v>
      </c>
      <c r="L513" s="7">
        <v>0.38</v>
      </c>
      <c r="M513" s="10">
        <f t="shared" si="16"/>
        <v>997.36842105263156</v>
      </c>
      <c r="N513" t="s">
        <v>30</v>
      </c>
      <c r="O513" t="s">
        <v>30</v>
      </c>
      <c r="P513" t="s">
        <v>30</v>
      </c>
      <c r="Q513" t="s">
        <v>81</v>
      </c>
      <c r="R513" t="s">
        <v>81</v>
      </c>
      <c r="T513" s="2">
        <v>1</v>
      </c>
      <c r="U513" s="2">
        <v>1</v>
      </c>
      <c r="V513" s="2">
        <v>1</v>
      </c>
      <c r="W513" s="2">
        <v>1</v>
      </c>
      <c r="X513" s="2">
        <v>1</v>
      </c>
      <c r="Y513" s="2">
        <v>1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s="2">
        <v>97</v>
      </c>
      <c r="B514" s="2">
        <v>242001205</v>
      </c>
      <c r="C514" s="2">
        <v>242001205</v>
      </c>
      <c r="D514" t="s">
        <v>382</v>
      </c>
      <c r="E514" t="s">
        <v>383</v>
      </c>
      <c r="F514" t="s">
        <v>384</v>
      </c>
      <c r="G514" s="3">
        <f>+VLOOKUP(B514,'[1]master_prod_15todos(30-11-2 (2)'!$B$2:$AF$470,31,FALSE)</f>
        <v>510.27</v>
      </c>
      <c r="H514" s="2">
        <v>0</v>
      </c>
      <c r="I514" s="2">
        <v>0</v>
      </c>
      <c r="J514" s="2">
        <v>0</v>
      </c>
      <c r="K514" s="6">
        <f t="shared" si="15"/>
        <v>510.27</v>
      </c>
      <c r="L514" s="7">
        <f>+VLOOKUP(B514,'[1]master_prod_15todos(30-11-2 (2)'!$B$2:$AG$470,32,FALSE)</f>
        <v>0.68</v>
      </c>
      <c r="M514" s="10">
        <f t="shared" si="16"/>
        <v>750.39705882352928</v>
      </c>
      <c r="T514" s="2">
        <v>0</v>
      </c>
      <c r="U514" s="2">
        <v>0</v>
      </c>
      <c r="V514" s="2">
        <v>1</v>
      </c>
      <c r="W514" s="2">
        <v>1</v>
      </c>
      <c r="X514" s="2">
        <v>0</v>
      </c>
      <c r="Y514" s="2">
        <v>1</v>
      </c>
      <c r="Z514" s="2">
        <v>0</v>
      </c>
      <c r="AB514" s="2">
        <v>0</v>
      </c>
      <c r="AC514" s="2">
        <v>0</v>
      </c>
    </row>
    <row r="515" spans="1:29">
      <c r="A515" s="2">
        <v>725</v>
      </c>
      <c r="B515" s="2">
        <v>250200225</v>
      </c>
      <c r="C515" s="2">
        <v>250200225</v>
      </c>
      <c r="D515" t="s">
        <v>689</v>
      </c>
      <c r="E515" t="s">
        <v>690</v>
      </c>
      <c r="F515" t="s">
        <v>75</v>
      </c>
      <c r="G515">
        <v>591.64700000000005</v>
      </c>
      <c r="H515" s="2">
        <v>0</v>
      </c>
      <c r="I515" s="2">
        <v>0</v>
      </c>
      <c r="J515" s="2">
        <v>0</v>
      </c>
      <c r="K515" s="6">
        <f t="shared" ref="K515:K578" si="17">SUM(G515:J515)</f>
        <v>591.64700000000005</v>
      </c>
      <c r="L515" s="7">
        <v>0.7</v>
      </c>
      <c r="M515" s="10">
        <f t="shared" si="16"/>
        <v>845.21000000000015</v>
      </c>
      <c r="N515" t="s">
        <v>30</v>
      </c>
      <c r="O515" t="s">
        <v>30</v>
      </c>
      <c r="P515" t="s">
        <v>37</v>
      </c>
      <c r="Q515" t="s">
        <v>81</v>
      </c>
      <c r="R515" t="s">
        <v>1113</v>
      </c>
      <c r="T515" s="2">
        <v>1</v>
      </c>
      <c r="U515" s="2">
        <v>1</v>
      </c>
      <c r="V515" s="2">
        <v>1</v>
      </c>
      <c r="W515" s="2">
        <v>1</v>
      </c>
      <c r="X515" s="2">
        <v>1</v>
      </c>
      <c r="Y515" s="2">
        <v>1</v>
      </c>
      <c r="Z515" s="2">
        <v>0</v>
      </c>
      <c r="AA515" s="2">
        <v>1</v>
      </c>
      <c r="AB515" s="2">
        <v>0</v>
      </c>
      <c r="AC515" s="2">
        <v>0</v>
      </c>
    </row>
    <row r="516" spans="1:29">
      <c r="A516" s="2">
        <v>691</v>
      </c>
      <c r="B516" s="2">
        <v>242350910</v>
      </c>
      <c r="C516" s="2">
        <v>242350910</v>
      </c>
      <c r="D516" t="s">
        <v>551</v>
      </c>
      <c r="E516" t="s">
        <v>552</v>
      </c>
      <c r="F516" t="s">
        <v>553</v>
      </c>
      <c r="G516" s="2">
        <v>629</v>
      </c>
      <c r="H516" s="2">
        <v>0</v>
      </c>
      <c r="I516" s="2">
        <v>0</v>
      </c>
      <c r="J516" s="2">
        <v>0</v>
      </c>
      <c r="K516" s="6">
        <f t="shared" si="17"/>
        <v>629</v>
      </c>
      <c r="L516" s="7">
        <v>0.62</v>
      </c>
      <c r="M516" s="10">
        <f t="shared" ref="M516:M518" si="18">+K516/L516</f>
        <v>1014.516129032258</v>
      </c>
      <c r="N516" t="s">
        <v>30</v>
      </c>
      <c r="O516" t="s">
        <v>30</v>
      </c>
      <c r="P516" t="s">
        <v>30</v>
      </c>
      <c r="Q516" t="s">
        <v>81</v>
      </c>
      <c r="T516" s="2">
        <v>1</v>
      </c>
      <c r="U516" s="2">
        <v>1</v>
      </c>
      <c r="V516" s="2">
        <v>1</v>
      </c>
      <c r="W516" s="2">
        <v>1</v>
      </c>
      <c r="X516" s="2">
        <v>1</v>
      </c>
      <c r="Y516" s="2">
        <v>0</v>
      </c>
      <c r="Z516" s="2">
        <v>0</v>
      </c>
      <c r="AA516" s="2">
        <v>1</v>
      </c>
      <c r="AB516" s="2">
        <v>0</v>
      </c>
      <c r="AC516" s="2">
        <v>0</v>
      </c>
    </row>
    <row r="517" spans="1:29">
      <c r="A517" s="2">
        <v>84</v>
      </c>
      <c r="B517" t="s">
        <v>1132</v>
      </c>
      <c r="C517" t="s">
        <v>1133</v>
      </c>
      <c r="D517" t="s">
        <v>1134</v>
      </c>
      <c r="E517" t="s">
        <v>1135</v>
      </c>
      <c r="F517" t="s">
        <v>1136</v>
      </c>
      <c r="G517" s="2">
        <v>629</v>
      </c>
      <c r="H517" s="2">
        <v>0</v>
      </c>
      <c r="I517" s="2">
        <v>0</v>
      </c>
      <c r="J517" s="2">
        <v>0</v>
      </c>
      <c r="K517" s="6">
        <f t="shared" si="17"/>
        <v>629</v>
      </c>
      <c r="L517" s="7">
        <v>0.67</v>
      </c>
      <c r="M517" s="10">
        <f t="shared" si="18"/>
        <v>938.80597014925365</v>
      </c>
      <c r="N517" t="s">
        <v>30</v>
      </c>
      <c r="O517" t="s">
        <v>30</v>
      </c>
      <c r="P517" t="s">
        <v>30</v>
      </c>
      <c r="Q517" t="s">
        <v>81</v>
      </c>
      <c r="R517" t="s">
        <v>1118</v>
      </c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0</v>
      </c>
      <c r="Z517" s="2">
        <v>0</v>
      </c>
      <c r="AA517" s="2">
        <v>1</v>
      </c>
      <c r="AB517" s="2">
        <v>0</v>
      </c>
      <c r="AC517" s="2">
        <v>0</v>
      </c>
    </row>
    <row r="518" spans="1:29">
      <c r="A518" s="2">
        <v>697</v>
      </c>
      <c r="B518" s="2">
        <v>252250408</v>
      </c>
      <c r="C518" s="2">
        <v>252250408</v>
      </c>
      <c r="D518" t="s">
        <v>828</v>
      </c>
      <c r="E518" t="s">
        <v>829</v>
      </c>
      <c r="F518" t="s">
        <v>830</v>
      </c>
      <c r="G518" s="2">
        <v>693</v>
      </c>
      <c r="H518" s="2">
        <v>0</v>
      </c>
      <c r="I518" s="2">
        <v>0</v>
      </c>
      <c r="J518" s="2">
        <v>0</v>
      </c>
      <c r="K518" s="6">
        <f t="shared" si="17"/>
        <v>693</v>
      </c>
      <c r="L518" s="7">
        <v>0.65</v>
      </c>
      <c r="M518" s="10">
        <f t="shared" si="18"/>
        <v>1066.1538461538462</v>
      </c>
      <c r="N518" t="s">
        <v>30</v>
      </c>
      <c r="O518" t="s">
        <v>30</v>
      </c>
      <c r="P518" t="s">
        <v>30</v>
      </c>
      <c r="Q518" t="s">
        <v>81</v>
      </c>
      <c r="T518" s="2">
        <v>1</v>
      </c>
      <c r="U518" s="2">
        <v>1</v>
      </c>
      <c r="V518" s="2">
        <v>1</v>
      </c>
      <c r="W518" s="2">
        <v>1</v>
      </c>
      <c r="X518" s="2">
        <v>1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 s="5" customFormat="1">
      <c r="A519" s="4">
        <v>386</v>
      </c>
      <c r="B519" s="4">
        <v>240150016</v>
      </c>
      <c r="C519" s="4">
        <v>240150016</v>
      </c>
      <c r="D519" s="5" t="s">
        <v>32</v>
      </c>
      <c r="E519" s="5" t="s">
        <v>33</v>
      </c>
      <c r="F519" s="5" t="s">
        <v>34</v>
      </c>
      <c r="G519" s="6" t="e">
        <f>+VLOOKUP(B519,'[1]master_prod_15todos(30-11-2 (2)'!$B$2:$AF$470,31,FALSE)</f>
        <v>#N/A</v>
      </c>
      <c r="H519" s="4">
        <v>0</v>
      </c>
      <c r="I519" s="4">
        <v>0</v>
      </c>
      <c r="J519" s="4">
        <v>0</v>
      </c>
      <c r="K519" s="6" t="e">
        <f t="shared" si="17"/>
        <v>#N/A</v>
      </c>
      <c r="L519" s="7" t="e">
        <f>+VLOOKUP(B519,'[1]master_prod_15todos(30-11-2 (2)'!$B$2:$AG$470,32,FALSE)</f>
        <v>#N/A</v>
      </c>
      <c r="M519" s="5" t="e">
        <f>+K519/L519</f>
        <v>#N/A</v>
      </c>
      <c r="N519" s="5" t="s">
        <v>35</v>
      </c>
      <c r="O519" s="5" t="s">
        <v>30</v>
      </c>
      <c r="P519" s="5" t="s">
        <v>35</v>
      </c>
      <c r="Q519" s="5" t="s">
        <v>36</v>
      </c>
      <c r="R519" s="5" t="s">
        <v>37</v>
      </c>
      <c r="T519" s="4">
        <v>1</v>
      </c>
      <c r="U519" s="4">
        <v>1</v>
      </c>
      <c r="V519" s="4">
        <v>1</v>
      </c>
      <c r="W519" s="4">
        <v>1</v>
      </c>
      <c r="X519" s="4">
        <v>0</v>
      </c>
      <c r="Y519" s="4">
        <v>1</v>
      </c>
      <c r="Z519" s="4">
        <v>0</v>
      </c>
      <c r="AA519" s="4">
        <v>1</v>
      </c>
      <c r="AB519" s="4">
        <v>1</v>
      </c>
      <c r="AC519" s="4">
        <v>1</v>
      </c>
    </row>
    <row r="520" spans="1:29" s="5" customFormat="1">
      <c r="A520" s="4">
        <v>193</v>
      </c>
      <c r="B520" s="4">
        <v>243210106</v>
      </c>
      <c r="C520" s="4">
        <v>243210106</v>
      </c>
      <c r="D520" s="5" t="s">
        <v>625</v>
      </c>
      <c r="F520" s="5" t="s">
        <v>626</v>
      </c>
      <c r="G520" s="4">
        <v>0</v>
      </c>
      <c r="H520" s="4">
        <v>0</v>
      </c>
      <c r="I520" s="4">
        <v>0</v>
      </c>
      <c r="J520" s="4">
        <v>0</v>
      </c>
      <c r="K520" s="6">
        <f t="shared" si="17"/>
        <v>0</v>
      </c>
      <c r="L520" s="7">
        <v>0</v>
      </c>
      <c r="M520" s="4">
        <v>0</v>
      </c>
      <c r="N520" s="5" t="s">
        <v>30</v>
      </c>
      <c r="O520" s="5" t="s">
        <v>30</v>
      </c>
      <c r="P520" s="5" t="s">
        <v>40</v>
      </c>
      <c r="Q520" s="5" t="s">
        <v>41</v>
      </c>
      <c r="R520" s="5" t="s">
        <v>42</v>
      </c>
      <c r="T520" s="4">
        <v>1</v>
      </c>
      <c r="U520" s="4">
        <v>1</v>
      </c>
      <c r="V520" s="4">
        <v>1</v>
      </c>
      <c r="W520" s="4">
        <v>1</v>
      </c>
      <c r="X520" s="4">
        <v>1</v>
      </c>
      <c r="Y520" s="4">
        <v>1</v>
      </c>
      <c r="Z520" s="4">
        <v>0</v>
      </c>
      <c r="AA520" s="4">
        <v>1</v>
      </c>
      <c r="AB520" s="4">
        <v>0</v>
      </c>
      <c r="AC520" s="4">
        <v>0</v>
      </c>
    </row>
    <row r="521" spans="1:29" s="5" customFormat="1">
      <c r="A521" s="4">
        <v>187</v>
      </c>
      <c r="B521" s="4">
        <v>272100136</v>
      </c>
      <c r="C521" s="4">
        <v>272100136</v>
      </c>
      <c r="D521" s="5" t="s">
        <v>1110</v>
      </c>
      <c r="G521" s="4">
        <v>0</v>
      </c>
      <c r="H521" s="4">
        <v>0</v>
      </c>
      <c r="I521" s="4">
        <v>0</v>
      </c>
      <c r="J521" s="4">
        <v>0</v>
      </c>
      <c r="K521" s="6">
        <f t="shared" si="17"/>
        <v>0</v>
      </c>
      <c r="L521" s="7">
        <v>0</v>
      </c>
      <c r="M521" s="4">
        <v>0</v>
      </c>
      <c r="N521" s="5" t="s">
        <v>35</v>
      </c>
      <c r="O521" s="5" t="s">
        <v>30</v>
      </c>
      <c r="P521" s="5" t="s">
        <v>37</v>
      </c>
      <c r="Q521" s="5" t="s">
        <v>36</v>
      </c>
      <c r="T521" s="4">
        <v>1</v>
      </c>
      <c r="U521" s="4">
        <v>1</v>
      </c>
      <c r="V521" s="4">
        <v>1</v>
      </c>
      <c r="W521" s="4">
        <v>1</v>
      </c>
      <c r="X521" s="4">
        <v>0</v>
      </c>
      <c r="Y521" s="4">
        <v>1</v>
      </c>
      <c r="Z521" s="4">
        <v>0</v>
      </c>
      <c r="AA521" s="4">
        <v>1</v>
      </c>
      <c r="AB521" s="4">
        <v>0</v>
      </c>
      <c r="AC521" s="4">
        <v>0</v>
      </c>
    </row>
    <row r="522" spans="1:29" s="5" customFormat="1">
      <c r="A522" s="4">
        <v>199</v>
      </c>
      <c r="B522" s="5" t="s">
        <v>1132</v>
      </c>
      <c r="C522" s="5" t="s">
        <v>1132</v>
      </c>
      <c r="D522" s="5" t="s">
        <v>1147</v>
      </c>
      <c r="E522" s="5" t="s">
        <v>1097</v>
      </c>
      <c r="F522" s="5" t="s">
        <v>310</v>
      </c>
      <c r="G522" s="4">
        <v>0</v>
      </c>
      <c r="H522" s="4">
        <v>0</v>
      </c>
      <c r="I522" s="4">
        <v>0</v>
      </c>
      <c r="J522" s="4">
        <v>0</v>
      </c>
      <c r="K522" s="6">
        <f t="shared" si="17"/>
        <v>0</v>
      </c>
      <c r="L522" s="7">
        <v>0</v>
      </c>
      <c r="M522" s="4">
        <v>0</v>
      </c>
      <c r="N522" s="5" t="s">
        <v>35</v>
      </c>
      <c r="O522" s="5" t="s">
        <v>30</v>
      </c>
      <c r="P522" s="5" t="s">
        <v>35</v>
      </c>
      <c r="Q522" s="5" t="s">
        <v>36</v>
      </c>
      <c r="R522" s="5" t="s">
        <v>37</v>
      </c>
      <c r="T522" s="4">
        <v>1</v>
      </c>
      <c r="U522" s="4">
        <v>1</v>
      </c>
      <c r="V522" s="4">
        <v>1</v>
      </c>
      <c r="W522" s="4">
        <v>1</v>
      </c>
      <c r="X522" s="4">
        <v>0</v>
      </c>
      <c r="Y522" s="4">
        <v>1</v>
      </c>
      <c r="Z522" s="4">
        <v>0</v>
      </c>
      <c r="AA522" s="4">
        <v>1</v>
      </c>
      <c r="AB522" s="4">
        <v>0</v>
      </c>
      <c r="AC522" s="4">
        <v>0</v>
      </c>
    </row>
    <row r="523" spans="1:29" s="5" customFormat="1">
      <c r="A523" s="4">
        <v>324</v>
      </c>
      <c r="B523" s="5" t="s">
        <v>1132</v>
      </c>
      <c r="C523" s="5" t="s">
        <v>1132</v>
      </c>
      <c r="D523" s="5" t="s">
        <v>919</v>
      </c>
      <c r="E523" s="5" t="s">
        <v>1161</v>
      </c>
      <c r="F523" s="5" t="s">
        <v>75</v>
      </c>
      <c r="G523" s="4">
        <v>0</v>
      </c>
      <c r="H523" s="4">
        <v>0</v>
      </c>
      <c r="I523" s="4">
        <v>0</v>
      </c>
      <c r="J523" s="4">
        <v>0</v>
      </c>
      <c r="K523" s="6">
        <f t="shared" si="17"/>
        <v>0</v>
      </c>
      <c r="L523" s="7">
        <v>0</v>
      </c>
      <c r="M523" s="4">
        <v>0</v>
      </c>
      <c r="O523" s="5" t="s">
        <v>30</v>
      </c>
      <c r="Q523" s="5" t="s">
        <v>49</v>
      </c>
      <c r="T523" s="4">
        <v>1</v>
      </c>
      <c r="U523" s="4">
        <v>1</v>
      </c>
      <c r="V523" s="4">
        <v>1</v>
      </c>
      <c r="W523" s="4">
        <v>1</v>
      </c>
      <c r="X523" s="4">
        <v>0</v>
      </c>
      <c r="Y523" s="4">
        <v>1</v>
      </c>
      <c r="Z523" s="4">
        <v>0</v>
      </c>
      <c r="AA523" s="4">
        <v>0</v>
      </c>
      <c r="AB523" s="4">
        <v>0</v>
      </c>
      <c r="AC523" s="4">
        <v>0</v>
      </c>
    </row>
    <row r="524" spans="1:29" s="5" customFormat="1">
      <c r="A524" s="4">
        <v>347</v>
      </c>
      <c r="B524" s="5" t="s">
        <v>1132</v>
      </c>
      <c r="C524" s="5" t="s">
        <v>1133</v>
      </c>
      <c r="D524" s="5" t="s">
        <v>1166</v>
      </c>
      <c r="E524" s="4">
        <v>715602</v>
      </c>
      <c r="F524" s="5" t="s">
        <v>64</v>
      </c>
      <c r="G524" s="4">
        <v>0</v>
      </c>
      <c r="H524" s="4">
        <v>0</v>
      </c>
      <c r="I524" s="4">
        <v>0</v>
      </c>
      <c r="J524" s="4">
        <v>0</v>
      </c>
      <c r="K524" s="6">
        <f t="shared" si="17"/>
        <v>0</v>
      </c>
      <c r="L524" s="7">
        <v>0</v>
      </c>
      <c r="M524" s="4">
        <v>0</v>
      </c>
      <c r="N524" s="5" t="s">
        <v>57</v>
      </c>
      <c r="O524" s="5" t="s">
        <v>57</v>
      </c>
      <c r="P524" s="5" t="s">
        <v>57</v>
      </c>
      <c r="Q524" s="5" t="s">
        <v>58</v>
      </c>
      <c r="R524" s="5" t="s">
        <v>59</v>
      </c>
      <c r="T524" s="4">
        <v>1</v>
      </c>
      <c r="U524" s="4">
        <v>1</v>
      </c>
      <c r="V524" s="4">
        <v>1</v>
      </c>
      <c r="W524" s="4">
        <v>1</v>
      </c>
      <c r="X524" s="4">
        <v>1</v>
      </c>
      <c r="Y524" s="4">
        <v>1</v>
      </c>
      <c r="Z524" s="4">
        <v>0</v>
      </c>
      <c r="AA524" s="4">
        <v>1</v>
      </c>
      <c r="AB524" s="4">
        <v>0</v>
      </c>
      <c r="AC524" s="4">
        <v>0</v>
      </c>
    </row>
    <row r="525" spans="1:29" s="5" customFormat="1">
      <c r="A525" s="4">
        <v>372</v>
      </c>
      <c r="B525" s="5" t="s">
        <v>1132</v>
      </c>
      <c r="C525" s="5" t="s">
        <v>1132</v>
      </c>
      <c r="D525" s="5" t="s">
        <v>1167</v>
      </c>
      <c r="E525" s="4">
        <v>11290055</v>
      </c>
      <c r="F525" s="5" t="s">
        <v>100</v>
      </c>
      <c r="G525" s="4">
        <v>0</v>
      </c>
      <c r="H525" s="4">
        <v>0</v>
      </c>
      <c r="I525" s="4">
        <v>0</v>
      </c>
      <c r="J525" s="4">
        <v>0</v>
      </c>
      <c r="K525" s="6">
        <f t="shared" si="17"/>
        <v>0</v>
      </c>
      <c r="L525" s="7">
        <v>0</v>
      </c>
      <c r="M525" s="4">
        <v>0</v>
      </c>
      <c r="N525" s="5" t="s">
        <v>62</v>
      </c>
      <c r="O525" s="5" t="s">
        <v>62</v>
      </c>
      <c r="P525" s="5" t="s">
        <v>62</v>
      </c>
      <c r="Q525" s="5" t="s">
        <v>58</v>
      </c>
      <c r="R525" s="5" t="s">
        <v>59</v>
      </c>
      <c r="T525" s="4">
        <v>1</v>
      </c>
      <c r="U525" s="4">
        <v>1</v>
      </c>
      <c r="V525" s="4">
        <v>1</v>
      </c>
      <c r="W525" s="4">
        <v>1</v>
      </c>
      <c r="X525" s="4">
        <v>1</v>
      </c>
      <c r="Y525" s="4">
        <v>1</v>
      </c>
      <c r="Z525" s="4">
        <v>0</v>
      </c>
      <c r="AA525" s="4">
        <v>1</v>
      </c>
      <c r="AB525" s="4">
        <v>0</v>
      </c>
      <c r="AC525" s="4">
        <v>0</v>
      </c>
    </row>
    <row r="526" spans="1:29" s="5" customFormat="1">
      <c r="A526" s="4">
        <v>378</v>
      </c>
      <c r="B526" s="5" t="s">
        <v>1132</v>
      </c>
      <c r="C526" s="5" t="s">
        <v>1132</v>
      </c>
      <c r="D526" s="5" t="s">
        <v>1169</v>
      </c>
      <c r="E526" s="5" t="s">
        <v>1170</v>
      </c>
      <c r="F526" s="5" t="s">
        <v>85</v>
      </c>
      <c r="G526" s="4">
        <v>0</v>
      </c>
      <c r="H526" s="4">
        <v>0</v>
      </c>
      <c r="I526" s="4">
        <v>0</v>
      </c>
      <c r="J526" s="4">
        <v>0</v>
      </c>
      <c r="K526" s="6">
        <f t="shared" si="17"/>
        <v>0</v>
      </c>
      <c r="L526" s="7">
        <v>0</v>
      </c>
      <c r="M526" s="4">
        <v>0</v>
      </c>
      <c r="N526" s="5" t="s">
        <v>65</v>
      </c>
      <c r="O526" s="5" t="s">
        <v>30</v>
      </c>
      <c r="P526" s="5" t="s">
        <v>65</v>
      </c>
      <c r="Q526" s="5" t="s">
        <v>66</v>
      </c>
      <c r="T526" s="4">
        <v>1</v>
      </c>
      <c r="U526" s="4">
        <v>1</v>
      </c>
      <c r="V526" s="4">
        <v>1</v>
      </c>
      <c r="W526" s="4">
        <v>1</v>
      </c>
      <c r="X526" s="4">
        <v>1</v>
      </c>
      <c r="Y526" s="4">
        <v>0</v>
      </c>
      <c r="Z526" s="4">
        <v>0</v>
      </c>
      <c r="AA526" s="4">
        <v>1</v>
      </c>
      <c r="AB526" s="4">
        <v>0</v>
      </c>
      <c r="AC526" s="4">
        <v>0</v>
      </c>
    </row>
    <row r="527" spans="1:29" s="5" customFormat="1">
      <c r="A527" s="4">
        <v>594</v>
      </c>
      <c r="B527" s="5" t="s">
        <v>1132</v>
      </c>
      <c r="C527" s="5" t="s">
        <v>1132</v>
      </c>
      <c r="D527" s="5" t="s">
        <v>1182</v>
      </c>
      <c r="F527" s="5" t="s">
        <v>64</v>
      </c>
      <c r="G527" s="4">
        <v>0</v>
      </c>
      <c r="H527" s="4">
        <v>0</v>
      </c>
      <c r="I527" s="4">
        <v>0</v>
      </c>
      <c r="J527" s="4">
        <v>0</v>
      </c>
      <c r="K527" s="6">
        <f t="shared" si="17"/>
        <v>0</v>
      </c>
      <c r="L527" s="7">
        <v>0</v>
      </c>
      <c r="M527" s="4">
        <v>0</v>
      </c>
      <c r="N527" s="5" t="s">
        <v>68</v>
      </c>
      <c r="O527" s="5" t="s">
        <v>30</v>
      </c>
      <c r="P527" s="5" t="s">
        <v>68</v>
      </c>
      <c r="Q527" s="5" t="s">
        <v>66</v>
      </c>
      <c r="T527" s="4">
        <v>1</v>
      </c>
      <c r="U527" s="4">
        <v>1</v>
      </c>
      <c r="V527" s="4">
        <v>1</v>
      </c>
      <c r="W527" s="4">
        <v>1</v>
      </c>
      <c r="X527" s="4">
        <v>1</v>
      </c>
      <c r="Y527" s="4">
        <v>0</v>
      </c>
      <c r="Z527" s="4">
        <v>0</v>
      </c>
      <c r="AA527" s="4">
        <v>1</v>
      </c>
      <c r="AB527" s="5">
        <v>0.5</v>
      </c>
      <c r="AC527" s="4">
        <v>0</v>
      </c>
    </row>
    <row r="528" spans="1:29" s="5" customFormat="1">
      <c r="A528" s="4">
        <v>611</v>
      </c>
      <c r="B528" s="5" t="s">
        <v>1132</v>
      </c>
      <c r="C528" s="5" t="s">
        <v>1132</v>
      </c>
      <c r="D528" s="5" t="s">
        <v>1158</v>
      </c>
      <c r="F528" s="5" t="s">
        <v>64</v>
      </c>
      <c r="G528" s="4">
        <v>0</v>
      </c>
      <c r="H528" s="4">
        <v>0</v>
      </c>
      <c r="I528" s="4">
        <v>0</v>
      </c>
      <c r="J528" s="4">
        <v>0</v>
      </c>
      <c r="K528" s="6">
        <f t="shared" si="17"/>
        <v>0</v>
      </c>
      <c r="L528" s="7">
        <v>0</v>
      </c>
      <c r="M528" s="4">
        <v>0</v>
      </c>
      <c r="N528" s="5" t="s">
        <v>71</v>
      </c>
      <c r="O528" s="5" t="s">
        <v>30</v>
      </c>
      <c r="P528" s="5" t="s">
        <v>71</v>
      </c>
      <c r="Q528" s="5" t="s">
        <v>66</v>
      </c>
      <c r="R528" s="5" t="s">
        <v>72</v>
      </c>
      <c r="T528" s="4">
        <v>1</v>
      </c>
      <c r="U528" s="4">
        <v>1</v>
      </c>
      <c r="V528" s="4">
        <v>1</v>
      </c>
      <c r="W528" s="4">
        <v>1</v>
      </c>
      <c r="X528" s="4">
        <v>1</v>
      </c>
      <c r="Y528" s="4">
        <v>0</v>
      </c>
      <c r="Z528" s="4">
        <v>0</v>
      </c>
      <c r="AA528" s="4">
        <v>1</v>
      </c>
      <c r="AB528" s="6">
        <v>0.45</v>
      </c>
      <c r="AC528" s="5">
        <v>1.7778</v>
      </c>
    </row>
    <row r="529" spans="1:29" s="5" customFormat="1">
      <c r="A529" s="4">
        <v>612</v>
      </c>
      <c r="B529" s="5" t="s">
        <v>1132</v>
      </c>
      <c r="C529" s="5" t="s">
        <v>1132</v>
      </c>
      <c r="D529" s="5" t="s">
        <v>1184</v>
      </c>
      <c r="F529" s="5" t="s">
        <v>64</v>
      </c>
      <c r="G529" s="4">
        <v>0</v>
      </c>
      <c r="H529" s="4">
        <v>0</v>
      </c>
      <c r="I529" s="4">
        <v>0</v>
      </c>
      <c r="J529" s="4">
        <v>0</v>
      </c>
      <c r="K529" s="6">
        <f t="shared" si="17"/>
        <v>0</v>
      </c>
      <c r="L529" s="7">
        <v>0</v>
      </c>
      <c r="M529" s="4">
        <v>0</v>
      </c>
      <c r="N529" s="5" t="s">
        <v>30</v>
      </c>
      <c r="O529" s="5" t="s">
        <v>30</v>
      </c>
      <c r="P529" s="5" t="s">
        <v>30</v>
      </c>
      <c r="Q529" s="5" t="s">
        <v>76</v>
      </c>
      <c r="R529" s="5" t="s">
        <v>77</v>
      </c>
      <c r="T529" s="4">
        <v>1</v>
      </c>
      <c r="U529" s="4">
        <v>1</v>
      </c>
      <c r="V529" s="4">
        <v>1</v>
      </c>
      <c r="W529" s="4">
        <v>1</v>
      </c>
      <c r="X529" s="4">
        <v>1</v>
      </c>
      <c r="Y529" s="4">
        <v>1</v>
      </c>
      <c r="Z529" s="4">
        <v>0</v>
      </c>
      <c r="AA529" s="4">
        <v>1</v>
      </c>
      <c r="AB529" s="4">
        <v>0</v>
      </c>
      <c r="AC529" s="4">
        <v>0</v>
      </c>
    </row>
    <row r="530" spans="1:29" s="5" customFormat="1">
      <c r="A530" s="4">
        <v>613</v>
      </c>
      <c r="B530" s="5" t="s">
        <v>1132</v>
      </c>
      <c r="C530" s="5" t="s">
        <v>1132</v>
      </c>
      <c r="D530" s="5" t="s">
        <v>127</v>
      </c>
      <c r="E530" s="4">
        <v>8884711006</v>
      </c>
      <c r="F530" s="5" t="s">
        <v>1181</v>
      </c>
      <c r="G530" s="4">
        <v>0</v>
      </c>
      <c r="H530" s="4">
        <v>0</v>
      </c>
      <c r="I530" s="4">
        <v>0</v>
      </c>
      <c r="J530" s="4">
        <v>0</v>
      </c>
      <c r="K530" s="6">
        <f t="shared" si="17"/>
        <v>0</v>
      </c>
      <c r="L530" s="7">
        <v>0</v>
      </c>
      <c r="M530" s="4">
        <v>0</v>
      </c>
      <c r="N530" s="5" t="s">
        <v>30</v>
      </c>
      <c r="O530" s="5" t="s">
        <v>30</v>
      </c>
      <c r="P530" s="5" t="s">
        <v>30</v>
      </c>
      <c r="Q530" s="5" t="s">
        <v>81</v>
      </c>
      <c r="R530" s="5" t="s">
        <v>82</v>
      </c>
      <c r="T530" s="4">
        <v>1</v>
      </c>
      <c r="U530" s="4">
        <v>1</v>
      </c>
      <c r="V530" s="4">
        <v>1</v>
      </c>
      <c r="W530" s="4">
        <v>1</v>
      </c>
      <c r="X530" s="4">
        <v>1</v>
      </c>
      <c r="Y530" s="4">
        <v>0</v>
      </c>
      <c r="Z530" s="4">
        <v>0</v>
      </c>
      <c r="AA530" s="4">
        <v>1</v>
      </c>
      <c r="AB530" s="4">
        <v>0</v>
      </c>
      <c r="AC530" s="4">
        <v>0</v>
      </c>
    </row>
    <row r="531" spans="1:29" s="5" customFormat="1">
      <c r="A531" s="4">
        <v>614</v>
      </c>
      <c r="B531" s="5" t="s">
        <v>1132</v>
      </c>
      <c r="C531" s="5" t="s">
        <v>1132</v>
      </c>
      <c r="D531" s="5" t="s">
        <v>1160</v>
      </c>
      <c r="E531" s="4">
        <v>8884711253</v>
      </c>
      <c r="F531" s="5" t="s">
        <v>1136</v>
      </c>
      <c r="G531" s="4">
        <v>0</v>
      </c>
      <c r="H531" s="4">
        <v>0</v>
      </c>
      <c r="I531" s="4">
        <v>0</v>
      </c>
      <c r="J531" s="4">
        <v>0</v>
      </c>
      <c r="K531" s="6">
        <f t="shared" si="17"/>
        <v>0</v>
      </c>
      <c r="L531" s="7">
        <v>0</v>
      </c>
      <c r="M531" s="4">
        <v>0</v>
      </c>
      <c r="N531" s="5" t="s">
        <v>86</v>
      </c>
      <c r="O531" s="5" t="s">
        <v>30</v>
      </c>
      <c r="P531" s="5" t="s">
        <v>86</v>
      </c>
      <c r="Q531" s="5" t="s">
        <v>87</v>
      </c>
      <c r="R531" s="5" t="s">
        <v>37</v>
      </c>
      <c r="T531" s="4">
        <v>1</v>
      </c>
      <c r="U531" s="4">
        <v>1</v>
      </c>
      <c r="V531" s="4">
        <v>1</v>
      </c>
      <c r="W531" s="4">
        <v>1</v>
      </c>
      <c r="X531" s="4">
        <v>1</v>
      </c>
      <c r="Y531" s="4">
        <v>1</v>
      </c>
      <c r="Z531" s="4">
        <v>0</v>
      </c>
      <c r="AA531" s="4">
        <v>1</v>
      </c>
      <c r="AB531" s="4">
        <v>0</v>
      </c>
      <c r="AC531" s="4">
        <v>0</v>
      </c>
    </row>
    <row r="532" spans="1:29" s="5" customFormat="1">
      <c r="A532" s="4">
        <v>620</v>
      </c>
      <c r="B532" s="5" t="s">
        <v>1132</v>
      </c>
      <c r="C532" s="5" t="s">
        <v>1132</v>
      </c>
      <c r="D532" s="5" t="s">
        <v>1162</v>
      </c>
      <c r="F532" s="5" t="s">
        <v>1136</v>
      </c>
      <c r="G532" s="4">
        <v>0</v>
      </c>
      <c r="H532" s="4">
        <v>0</v>
      </c>
      <c r="I532" s="4">
        <v>0</v>
      </c>
      <c r="J532" s="4">
        <v>0</v>
      </c>
      <c r="K532" s="6">
        <f t="shared" si="17"/>
        <v>0</v>
      </c>
      <c r="L532" s="7">
        <v>0</v>
      </c>
      <c r="M532" s="4">
        <v>0</v>
      </c>
      <c r="N532" s="5" t="s">
        <v>30</v>
      </c>
      <c r="O532" s="5" t="s">
        <v>30</v>
      </c>
      <c r="P532" s="5" t="s">
        <v>35</v>
      </c>
      <c r="Q532" s="5" t="s">
        <v>87</v>
      </c>
      <c r="R532" s="5" t="s">
        <v>90</v>
      </c>
      <c r="T532" s="4">
        <v>1</v>
      </c>
      <c r="U532" s="4">
        <v>1</v>
      </c>
      <c r="V532" s="4">
        <v>1</v>
      </c>
      <c r="W532" s="4">
        <v>1</v>
      </c>
      <c r="X532" s="4">
        <v>1</v>
      </c>
      <c r="Y532" s="4">
        <v>1</v>
      </c>
      <c r="Z532" s="4">
        <v>0</v>
      </c>
      <c r="AA532" s="4">
        <v>1</v>
      </c>
      <c r="AB532" s="4">
        <v>0</v>
      </c>
      <c r="AC532" s="4">
        <v>0</v>
      </c>
    </row>
    <row r="533" spans="1:29" s="5" customFormat="1">
      <c r="A533" s="4">
        <v>621</v>
      </c>
      <c r="B533" s="5" t="s">
        <v>1132</v>
      </c>
      <c r="C533" s="5" t="s">
        <v>1133</v>
      </c>
      <c r="D533" s="5" t="s">
        <v>1185</v>
      </c>
      <c r="F533" s="5" t="s">
        <v>56</v>
      </c>
      <c r="G533" s="4">
        <v>0</v>
      </c>
      <c r="H533" s="4">
        <v>0</v>
      </c>
      <c r="I533" s="4">
        <v>0</v>
      </c>
      <c r="J533" s="4">
        <v>0</v>
      </c>
      <c r="K533" s="6">
        <f t="shared" si="17"/>
        <v>0</v>
      </c>
      <c r="L533" s="7">
        <v>0</v>
      </c>
      <c r="M533" s="4">
        <v>0</v>
      </c>
      <c r="N533" s="5" t="s">
        <v>30</v>
      </c>
      <c r="O533" s="5" t="s">
        <v>30</v>
      </c>
      <c r="P533" s="5" t="s">
        <v>37</v>
      </c>
      <c r="Q533" s="5" t="s">
        <v>94</v>
      </c>
      <c r="T533" s="4">
        <v>1</v>
      </c>
      <c r="U533" s="4">
        <v>1</v>
      </c>
      <c r="V533" s="4">
        <v>1</v>
      </c>
      <c r="W533" s="4">
        <v>1</v>
      </c>
      <c r="X533" s="4">
        <v>0</v>
      </c>
      <c r="Y533" s="4">
        <v>1</v>
      </c>
      <c r="Z533" s="4">
        <v>0</v>
      </c>
      <c r="AA533" s="4">
        <v>1</v>
      </c>
      <c r="AB533" s="4">
        <v>0</v>
      </c>
      <c r="AC533" s="4">
        <v>0</v>
      </c>
    </row>
    <row r="534" spans="1:29" s="5" customFormat="1">
      <c r="A534" s="4">
        <v>627</v>
      </c>
      <c r="B534" s="5" t="s">
        <v>1132</v>
      </c>
      <c r="C534" s="5" t="s">
        <v>1132</v>
      </c>
      <c r="D534" s="5" t="s">
        <v>1169</v>
      </c>
      <c r="E534" s="5" t="s">
        <v>1170</v>
      </c>
      <c r="F534" s="5" t="s">
        <v>85</v>
      </c>
      <c r="G534" s="4">
        <v>0</v>
      </c>
      <c r="H534" s="4">
        <v>0</v>
      </c>
      <c r="I534" s="4">
        <v>0</v>
      </c>
      <c r="J534" s="4">
        <v>0</v>
      </c>
      <c r="K534" s="6">
        <f t="shared" si="17"/>
        <v>0</v>
      </c>
      <c r="L534" s="7">
        <v>0</v>
      </c>
      <c r="M534" s="4">
        <v>0</v>
      </c>
      <c r="N534" s="5" t="s">
        <v>30</v>
      </c>
      <c r="O534" s="5" t="s">
        <v>30</v>
      </c>
      <c r="P534" s="5" t="s">
        <v>37</v>
      </c>
      <c r="Q534" s="5" t="s">
        <v>94</v>
      </c>
      <c r="R534" s="5" t="s">
        <v>98</v>
      </c>
      <c r="T534" s="4">
        <v>1</v>
      </c>
      <c r="U534" s="4">
        <v>1</v>
      </c>
      <c r="V534" s="4">
        <v>1</v>
      </c>
      <c r="W534" s="4">
        <v>1</v>
      </c>
      <c r="X534" s="4">
        <v>1</v>
      </c>
      <c r="Y534" s="4">
        <v>1</v>
      </c>
      <c r="Z534" s="4">
        <v>0</v>
      </c>
      <c r="AA534" s="4">
        <v>1</v>
      </c>
      <c r="AB534" s="4">
        <v>0</v>
      </c>
      <c r="AC534" s="4">
        <v>0</v>
      </c>
    </row>
    <row r="535" spans="1:29" s="5" customFormat="1">
      <c r="A535" s="4">
        <v>645</v>
      </c>
      <c r="B535" s="4">
        <v>240150109</v>
      </c>
      <c r="C535" s="4">
        <v>240150109</v>
      </c>
      <c r="D535" s="5" t="s">
        <v>38</v>
      </c>
      <c r="E535" s="4">
        <v>240150109</v>
      </c>
      <c r="F535" s="5" t="s">
        <v>39</v>
      </c>
      <c r="G535" s="6" t="e">
        <f>+VLOOKUP(B535,'[1]master_prod_15todos(30-11-2 (2)'!$B$2:$AF$470,31,FALSE)</f>
        <v>#N/A</v>
      </c>
      <c r="H535" s="4">
        <v>0</v>
      </c>
      <c r="I535" s="4">
        <v>0</v>
      </c>
      <c r="J535" s="4">
        <v>0</v>
      </c>
      <c r="K535" s="6" t="e">
        <f t="shared" si="17"/>
        <v>#N/A</v>
      </c>
      <c r="L535" s="7" t="e">
        <f>+VLOOKUP(B535,'[1]master_prod_15todos(30-11-2 (2)'!$B$2:$AG$470,32,FALSE)</f>
        <v>#N/A</v>
      </c>
      <c r="M535" s="5">
        <v>2.6545000000000001</v>
      </c>
      <c r="N535" s="5" t="s">
        <v>30</v>
      </c>
      <c r="O535" s="5" t="s">
        <v>30</v>
      </c>
      <c r="P535" s="5" t="s">
        <v>30</v>
      </c>
      <c r="Q535" s="5" t="s">
        <v>81</v>
      </c>
      <c r="T535" s="4">
        <v>1</v>
      </c>
      <c r="U535" s="4">
        <v>1</v>
      </c>
      <c r="V535" s="4">
        <v>1</v>
      </c>
      <c r="W535" s="4">
        <v>1</v>
      </c>
      <c r="X535" s="4">
        <v>1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</row>
    <row r="536" spans="1:29" s="5" customFormat="1">
      <c r="A536" s="4">
        <v>394</v>
      </c>
      <c r="B536" s="4">
        <v>240150316</v>
      </c>
      <c r="C536" s="4">
        <v>240150316</v>
      </c>
      <c r="D536" s="5" t="s">
        <v>46</v>
      </c>
      <c r="E536" s="5" t="s">
        <v>47</v>
      </c>
      <c r="F536" s="5" t="s">
        <v>34</v>
      </c>
      <c r="G536" s="6" t="e">
        <f>+VLOOKUP(B536,'[1]master_prod_15todos(30-11-2 (2)'!$B$2:$AF$470,31,FALSE)</f>
        <v>#N/A</v>
      </c>
      <c r="H536" s="4">
        <v>0</v>
      </c>
      <c r="I536" s="4">
        <v>0</v>
      </c>
      <c r="J536" s="4">
        <v>0</v>
      </c>
      <c r="K536" s="6" t="e">
        <f t="shared" si="17"/>
        <v>#N/A</v>
      </c>
      <c r="L536" s="7" t="e">
        <f>+VLOOKUP(B536,'[1]master_prod_15todos(30-11-2 (2)'!$B$2:$AG$470,32,FALSE)</f>
        <v>#N/A</v>
      </c>
      <c r="M536" s="5">
        <v>5.5818000000000003</v>
      </c>
      <c r="N536" s="5" t="s">
        <v>1123</v>
      </c>
      <c r="O536" s="5" t="s">
        <v>1123</v>
      </c>
      <c r="P536" s="5" t="s">
        <v>276</v>
      </c>
      <c r="Q536" s="5" t="s">
        <v>31</v>
      </c>
      <c r="R536" s="5" t="s">
        <v>1124</v>
      </c>
      <c r="T536" s="4">
        <v>1</v>
      </c>
      <c r="U536" s="4">
        <v>1</v>
      </c>
      <c r="V536" s="4">
        <v>1</v>
      </c>
      <c r="W536" s="4">
        <v>1</v>
      </c>
      <c r="X536" s="4">
        <v>1</v>
      </c>
      <c r="Y536" s="4">
        <v>1</v>
      </c>
      <c r="Z536" s="4">
        <v>0</v>
      </c>
      <c r="AA536" s="4">
        <v>1</v>
      </c>
      <c r="AB536" s="4">
        <v>0</v>
      </c>
      <c r="AC536" s="4">
        <v>0</v>
      </c>
    </row>
    <row r="537" spans="1:29" s="5" customFormat="1">
      <c r="A537" s="4">
        <v>735</v>
      </c>
      <c r="B537" s="4">
        <v>240350611</v>
      </c>
      <c r="C537" s="4">
        <v>240350611</v>
      </c>
      <c r="D537" s="5" t="s">
        <v>78</v>
      </c>
      <c r="E537" s="5" t="s">
        <v>79</v>
      </c>
      <c r="F537" s="5" t="s">
        <v>80</v>
      </c>
      <c r="G537" s="6" t="e">
        <f>+VLOOKUP(B537,'[1]master_prod_15todos(30-11-2 (2)'!$B$2:$AF$470,31,FALSE)</f>
        <v>#N/A</v>
      </c>
      <c r="H537" s="4">
        <v>0</v>
      </c>
      <c r="I537" s="4">
        <v>0</v>
      </c>
      <c r="J537" s="4">
        <v>0</v>
      </c>
      <c r="K537" s="6" t="e">
        <f t="shared" si="17"/>
        <v>#N/A</v>
      </c>
      <c r="L537" s="7" t="e">
        <f>+VLOOKUP(B537,'[1]master_prod_15todos(30-11-2 (2)'!$B$2:$AG$470,32,FALSE)</f>
        <v>#N/A</v>
      </c>
      <c r="M537" s="5">
        <v>90.384600000000006</v>
      </c>
      <c r="N537" s="5" t="s">
        <v>1126</v>
      </c>
      <c r="O537" s="5" t="s">
        <v>1126</v>
      </c>
      <c r="P537" s="5" t="s">
        <v>276</v>
      </c>
      <c r="Q537" s="5" t="s">
        <v>31</v>
      </c>
      <c r="R537" s="5" t="s">
        <v>1124</v>
      </c>
      <c r="T537" s="4">
        <v>1</v>
      </c>
      <c r="U537" s="4">
        <v>1</v>
      </c>
      <c r="V537" s="4">
        <v>1</v>
      </c>
      <c r="W537" s="4">
        <v>1</v>
      </c>
      <c r="X537" s="4">
        <v>1</v>
      </c>
      <c r="Y537" s="4">
        <v>1</v>
      </c>
      <c r="Z537" s="4">
        <v>0</v>
      </c>
      <c r="AA537" s="4">
        <v>1</v>
      </c>
      <c r="AB537" s="4">
        <v>0</v>
      </c>
      <c r="AC537" s="4">
        <v>0</v>
      </c>
    </row>
    <row r="538" spans="1:29" s="5" customFormat="1">
      <c r="A538" s="4">
        <v>221</v>
      </c>
      <c r="B538" s="4">
        <v>240450307</v>
      </c>
      <c r="C538" s="4">
        <v>240450307</v>
      </c>
      <c r="D538" s="5" t="s">
        <v>91</v>
      </c>
      <c r="E538" s="5" t="s">
        <v>92</v>
      </c>
      <c r="F538" s="5" t="s">
        <v>93</v>
      </c>
      <c r="G538" s="6" t="e">
        <f>+VLOOKUP(B538,'[1]master_prod_15todos(30-11-2 (2)'!$B$2:$AF$470,31,FALSE)</f>
        <v>#N/A</v>
      </c>
      <c r="H538" s="4">
        <v>0</v>
      </c>
      <c r="I538" s="4">
        <v>0</v>
      </c>
      <c r="J538" s="4">
        <v>0</v>
      </c>
      <c r="K538" s="6" t="e">
        <f t="shared" si="17"/>
        <v>#N/A</v>
      </c>
      <c r="L538" s="7" t="e">
        <f>+VLOOKUP(B538,'[1]master_prod_15todos(30-11-2 (2)'!$B$2:$AG$470,32,FALSE)</f>
        <v>#N/A</v>
      </c>
      <c r="M538" s="5">
        <v>174.45650000000001</v>
      </c>
      <c r="N538" s="5" t="s">
        <v>30</v>
      </c>
      <c r="O538" s="5" t="s">
        <v>30</v>
      </c>
      <c r="P538" s="5" t="s">
        <v>30</v>
      </c>
      <c r="Q538" s="5" t="s">
        <v>81</v>
      </c>
      <c r="R538" s="5" t="s">
        <v>81</v>
      </c>
      <c r="T538" s="4">
        <v>1</v>
      </c>
      <c r="U538" s="4">
        <v>1</v>
      </c>
      <c r="V538" s="4">
        <v>1</v>
      </c>
      <c r="W538" s="4">
        <v>1</v>
      </c>
      <c r="X538" s="4">
        <v>0</v>
      </c>
      <c r="Y538" s="4">
        <v>0</v>
      </c>
      <c r="Z538" s="4">
        <v>0</v>
      </c>
      <c r="AA538" s="4">
        <v>1</v>
      </c>
      <c r="AB538" s="4">
        <v>0</v>
      </c>
      <c r="AC538" s="4">
        <v>0</v>
      </c>
    </row>
    <row r="539" spans="1:29" s="5" customFormat="1">
      <c r="A539" s="4">
        <v>687</v>
      </c>
      <c r="B539" s="4">
        <v>240451301</v>
      </c>
      <c r="C539" s="4">
        <v>240451301</v>
      </c>
      <c r="D539" s="5" t="s">
        <v>99</v>
      </c>
      <c r="F539" s="5" t="s">
        <v>100</v>
      </c>
      <c r="G539" s="6" t="e">
        <f>+VLOOKUP(B539,'[1]master_prod_15todos(30-11-2 (2)'!$B$2:$AF$470,31,FALSE)</f>
        <v>#N/A</v>
      </c>
      <c r="H539" s="4">
        <v>0</v>
      </c>
      <c r="I539" s="4">
        <v>0</v>
      </c>
      <c r="J539" s="4">
        <v>0</v>
      </c>
      <c r="K539" s="6" t="e">
        <f t="shared" si="17"/>
        <v>#N/A</v>
      </c>
      <c r="L539" s="7" t="e">
        <f>+VLOOKUP(B539,'[1]master_prod_15todos(30-11-2 (2)'!$B$2:$AG$470,32,FALSE)</f>
        <v>#N/A</v>
      </c>
      <c r="M539" s="5">
        <v>2.6667000000000001</v>
      </c>
      <c r="N539" s="5" t="s">
        <v>30</v>
      </c>
      <c r="O539" s="5" t="s">
        <v>30</v>
      </c>
      <c r="P539" s="5" t="s">
        <v>40</v>
      </c>
      <c r="Q539" s="5" t="s">
        <v>1129</v>
      </c>
      <c r="R539" s="5" t="s">
        <v>1130</v>
      </c>
      <c r="T539" s="4">
        <v>1</v>
      </c>
      <c r="U539" s="4">
        <v>1</v>
      </c>
      <c r="V539" s="4">
        <v>1</v>
      </c>
      <c r="W539" s="4">
        <v>1</v>
      </c>
      <c r="X539" s="4">
        <v>0</v>
      </c>
      <c r="Y539" s="4">
        <v>1</v>
      </c>
      <c r="Z539" s="4">
        <v>0</v>
      </c>
      <c r="AA539" s="4">
        <v>1</v>
      </c>
      <c r="AB539" s="4">
        <v>0</v>
      </c>
      <c r="AC539" s="4">
        <v>0</v>
      </c>
    </row>
    <row r="540" spans="1:29" s="5" customFormat="1">
      <c r="A540" s="4">
        <v>351</v>
      </c>
      <c r="B540" s="4">
        <v>240500303</v>
      </c>
      <c r="C540" s="4">
        <v>240500303</v>
      </c>
      <c r="D540" s="5" t="s">
        <v>111</v>
      </c>
      <c r="E540" s="4">
        <v>8888258608</v>
      </c>
      <c r="F540" s="5" t="s">
        <v>75</v>
      </c>
      <c r="G540" s="6" t="e">
        <f>+VLOOKUP(B540,'[1]master_prod_15todos(30-11-2 (2)'!$B$2:$AF$470,31,FALSE)</f>
        <v>#N/A</v>
      </c>
      <c r="H540" s="4">
        <v>0</v>
      </c>
      <c r="I540" s="4">
        <v>0</v>
      </c>
      <c r="J540" s="4">
        <v>0</v>
      </c>
      <c r="K540" s="6" t="e">
        <f t="shared" si="17"/>
        <v>#N/A</v>
      </c>
      <c r="L540" s="7" t="e">
        <f>+VLOOKUP(B540,'[1]master_prod_15todos(30-11-2 (2)'!$B$2:$AG$470,32,FALSE)</f>
        <v>#N/A</v>
      </c>
      <c r="M540" s="5">
        <v>2.5</v>
      </c>
      <c r="N540" s="5" t="s">
        <v>29</v>
      </c>
      <c r="O540" s="5" t="s">
        <v>30</v>
      </c>
      <c r="P540" s="5" t="s">
        <v>275</v>
      </c>
      <c r="Q540" s="5" t="s">
        <v>94</v>
      </c>
      <c r="T540" s="4">
        <v>1</v>
      </c>
      <c r="U540" s="4">
        <v>1</v>
      </c>
      <c r="V540" s="4">
        <v>1</v>
      </c>
      <c r="W540" s="4">
        <v>1</v>
      </c>
      <c r="X540" s="4">
        <v>0</v>
      </c>
      <c r="Y540" s="4">
        <v>1</v>
      </c>
      <c r="Z540" s="4">
        <v>0</v>
      </c>
      <c r="AA540" s="4">
        <v>1</v>
      </c>
      <c r="AB540" s="4">
        <v>0</v>
      </c>
      <c r="AC540" s="4">
        <v>0</v>
      </c>
    </row>
    <row r="541" spans="1:29" s="5" customFormat="1">
      <c r="A541" s="4">
        <v>696</v>
      </c>
      <c r="B541" s="4">
        <v>240500305</v>
      </c>
      <c r="C541" s="4">
        <v>240500305</v>
      </c>
      <c r="D541" s="5" t="s">
        <v>112</v>
      </c>
      <c r="E541" s="4">
        <v>3953</v>
      </c>
      <c r="F541" s="5" t="s">
        <v>113</v>
      </c>
      <c r="G541" s="6" t="e">
        <f>+VLOOKUP(B541,'[1]master_prod_15todos(30-11-2 (2)'!$B$2:$AF$470,31,FALSE)</f>
        <v>#N/A</v>
      </c>
      <c r="H541" s="4">
        <v>0</v>
      </c>
      <c r="I541" s="4">
        <v>0</v>
      </c>
      <c r="J541" s="4">
        <v>0</v>
      </c>
      <c r="K541" s="6" t="e">
        <f t="shared" si="17"/>
        <v>#N/A</v>
      </c>
      <c r="L541" s="7" t="e">
        <f>+VLOOKUP(B541,'[1]master_prod_15todos(30-11-2 (2)'!$B$2:$AG$470,32,FALSE)</f>
        <v>#N/A</v>
      </c>
      <c r="M541" s="5">
        <v>3.0727000000000002</v>
      </c>
      <c r="N541" s="5" t="s">
        <v>30</v>
      </c>
      <c r="O541" s="5" t="s">
        <v>30</v>
      </c>
      <c r="P541" s="5" t="s">
        <v>37</v>
      </c>
      <c r="Q541" s="5" t="s">
        <v>230</v>
      </c>
      <c r="T541" s="4">
        <v>1</v>
      </c>
      <c r="U541" s="4">
        <v>1</v>
      </c>
      <c r="V541" s="4">
        <v>1</v>
      </c>
      <c r="W541" s="4">
        <v>1</v>
      </c>
      <c r="X541" s="4">
        <v>1</v>
      </c>
      <c r="Y541" s="4">
        <v>1</v>
      </c>
      <c r="Z541" s="4">
        <v>0</v>
      </c>
      <c r="AA541" s="4">
        <v>1</v>
      </c>
      <c r="AB541" s="4">
        <v>0</v>
      </c>
      <c r="AC541" s="4">
        <v>0</v>
      </c>
    </row>
    <row r="542" spans="1:29" s="5" customFormat="1">
      <c r="A542" s="4">
        <v>785</v>
      </c>
      <c r="B542" s="4">
        <v>240550801</v>
      </c>
      <c r="C542" s="4">
        <v>240550801</v>
      </c>
      <c r="D542" s="5" t="s">
        <v>140</v>
      </c>
      <c r="F542" s="5" t="s">
        <v>141</v>
      </c>
      <c r="G542" s="6" t="e">
        <f>+VLOOKUP(B542,'[1]master_prod_15todos(30-11-2 (2)'!$B$2:$AF$470,31,FALSE)</f>
        <v>#N/A</v>
      </c>
      <c r="H542" s="4">
        <v>0</v>
      </c>
      <c r="I542" s="4">
        <v>0</v>
      </c>
      <c r="J542" s="4">
        <v>0</v>
      </c>
      <c r="K542" s="6" t="e">
        <f t="shared" si="17"/>
        <v>#N/A</v>
      </c>
      <c r="L542" s="7" t="e">
        <f>+VLOOKUP(B542,'[1]master_prod_15todos(30-11-2 (2)'!$B$2:$AG$470,32,FALSE)</f>
        <v>#N/A</v>
      </c>
      <c r="M542" s="5">
        <v>0.4</v>
      </c>
      <c r="N542" s="5" t="s">
        <v>105</v>
      </c>
      <c r="O542" s="5" t="s">
        <v>30</v>
      </c>
      <c r="P542" s="5" t="s">
        <v>275</v>
      </c>
      <c r="Q542" s="5" t="s">
        <v>58</v>
      </c>
      <c r="T542" s="4">
        <v>1</v>
      </c>
      <c r="U542" s="4">
        <v>1</v>
      </c>
      <c r="V542" s="4">
        <v>1</v>
      </c>
      <c r="W542" s="4">
        <v>1</v>
      </c>
      <c r="X542" s="4">
        <v>1</v>
      </c>
      <c r="Y542" s="4">
        <v>1</v>
      </c>
      <c r="Z542" s="4">
        <v>0</v>
      </c>
      <c r="AA542" s="4">
        <v>1</v>
      </c>
      <c r="AB542" s="4">
        <v>0</v>
      </c>
      <c r="AC542" s="4">
        <v>0</v>
      </c>
    </row>
    <row r="543" spans="1:29" s="5" customFormat="1">
      <c r="A543" s="4">
        <v>784</v>
      </c>
      <c r="B543" s="4">
        <v>240550807</v>
      </c>
      <c r="C543" s="4">
        <v>240550807</v>
      </c>
      <c r="D543" s="5" t="s">
        <v>143</v>
      </c>
      <c r="F543" s="5" t="s">
        <v>141</v>
      </c>
      <c r="G543" s="6" t="e">
        <f>+VLOOKUP(B543,'[1]master_prod_15todos(30-11-2 (2)'!$B$2:$AF$470,31,FALSE)</f>
        <v>#N/A</v>
      </c>
      <c r="H543" s="4">
        <v>0</v>
      </c>
      <c r="I543" s="4">
        <v>0</v>
      </c>
      <c r="J543" s="4">
        <v>0</v>
      </c>
      <c r="K543" s="6" t="e">
        <f t="shared" si="17"/>
        <v>#N/A</v>
      </c>
      <c r="L543" s="7" t="e">
        <f>+VLOOKUP(B543,'[1]master_prod_15todos(30-11-2 (2)'!$B$2:$AG$470,32,FALSE)</f>
        <v>#N/A</v>
      </c>
      <c r="M543" s="5">
        <v>0.4</v>
      </c>
      <c r="N543" s="5" t="s">
        <v>51</v>
      </c>
      <c r="O543" s="5" t="s">
        <v>51</v>
      </c>
      <c r="P543" s="5" t="s">
        <v>345</v>
      </c>
      <c r="Q543" s="5" t="s">
        <v>237</v>
      </c>
      <c r="T543" s="4">
        <v>1</v>
      </c>
      <c r="U543" s="4">
        <v>100</v>
      </c>
      <c r="V543" s="4">
        <v>1</v>
      </c>
      <c r="W543" s="4">
        <v>1</v>
      </c>
      <c r="X543" s="4">
        <v>0</v>
      </c>
      <c r="Y543" s="4">
        <v>1</v>
      </c>
      <c r="Z543" s="4">
        <v>0</v>
      </c>
      <c r="AA543" s="4">
        <v>1</v>
      </c>
      <c r="AB543" s="4">
        <v>0</v>
      </c>
      <c r="AC543" s="4">
        <v>0</v>
      </c>
    </row>
    <row r="544" spans="1:29" s="5" customFormat="1">
      <c r="A544" s="4">
        <v>855</v>
      </c>
      <c r="B544" s="4">
        <v>240600099</v>
      </c>
      <c r="C544" s="4">
        <v>240600099</v>
      </c>
      <c r="D544" s="5" t="s">
        <v>151</v>
      </c>
      <c r="E544" s="5" t="s">
        <v>152</v>
      </c>
      <c r="F544" s="5" t="s">
        <v>85</v>
      </c>
      <c r="G544" s="6" t="e">
        <f>+VLOOKUP(B544,'[1]master_prod_15todos(30-11-2 (2)'!$B$2:$AF$470,31,FALSE)</f>
        <v>#N/A</v>
      </c>
      <c r="H544" s="4">
        <v>0</v>
      </c>
      <c r="I544" s="4">
        <v>0</v>
      </c>
      <c r="J544" s="4">
        <v>0</v>
      </c>
      <c r="K544" s="6" t="e">
        <f t="shared" si="17"/>
        <v>#N/A</v>
      </c>
      <c r="L544" s="7" t="e">
        <f>+VLOOKUP(B544,'[1]master_prod_15todos(30-11-2 (2)'!$B$2:$AG$470,32,FALSE)</f>
        <v>#N/A</v>
      </c>
      <c r="M544" s="5">
        <v>5.5818000000000003</v>
      </c>
      <c r="N544" s="5" t="s">
        <v>51</v>
      </c>
      <c r="O544" s="5" t="s">
        <v>51</v>
      </c>
      <c r="P544" s="5" t="s">
        <v>345</v>
      </c>
      <c r="Q544" s="5" t="s">
        <v>388</v>
      </c>
      <c r="T544" s="4">
        <v>1</v>
      </c>
      <c r="U544" s="4">
        <v>50</v>
      </c>
      <c r="V544" s="4">
        <v>1</v>
      </c>
      <c r="W544" s="4">
        <v>1</v>
      </c>
      <c r="X544" s="4">
        <v>0</v>
      </c>
      <c r="Y544" s="4">
        <v>1</v>
      </c>
      <c r="Z544" s="4">
        <v>0</v>
      </c>
      <c r="AA544" s="4">
        <v>1</v>
      </c>
      <c r="AB544" s="4">
        <v>0</v>
      </c>
      <c r="AC544" s="4">
        <v>0</v>
      </c>
    </row>
    <row r="545" spans="1:29" s="5" customFormat="1">
      <c r="A545" s="4">
        <v>369</v>
      </c>
      <c r="B545" s="4">
        <v>240600206</v>
      </c>
      <c r="C545" s="4">
        <v>240600206</v>
      </c>
      <c r="D545" s="5" t="s">
        <v>156</v>
      </c>
      <c r="E545" s="4">
        <v>11280045</v>
      </c>
      <c r="F545" s="5" t="s">
        <v>100</v>
      </c>
      <c r="G545" s="6" t="e">
        <f>+VLOOKUP(B545,'[1]master_prod_15todos(30-11-2 (2)'!$B$2:$AF$470,31,FALSE)</f>
        <v>#N/A</v>
      </c>
      <c r="H545" s="4">
        <v>0</v>
      </c>
      <c r="I545" s="4">
        <v>0</v>
      </c>
      <c r="J545" s="4">
        <v>0</v>
      </c>
      <c r="K545" s="6" t="e">
        <f t="shared" si="17"/>
        <v>#N/A</v>
      </c>
      <c r="L545" s="7" t="e">
        <f>+VLOOKUP(B545,'[1]master_prod_15todos(30-11-2 (2)'!$B$2:$AG$470,32,FALSE)</f>
        <v>#N/A</v>
      </c>
      <c r="M545" s="5">
        <v>6.7832999999999997</v>
      </c>
      <c r="N545" s="5" t="s">
        <v>29</v>
      </c>
      <c r="O545" s="5" t="s">
        <v>30</v>
      </c>
      <c r="P545" s="5" t="s">
        <v>275</v>
      </c>
      <c r="Q545" s="5" t="s">
        <v>94</v>
      </c>
      <c r="T545" s="4">
        <v>1</v>
      </c>
      <c r="U545" s="4">
        <v>1</v>
      </c>
      <c r="V545" s="4">
        <v>1</v>
      </c>
      <c r="W545" s="4">
        <v>1</v>
      </c>
      <c r="X545" s="4">
        <v>1</v>
      </c>
      <c r="Y545" s="4">
        <v>1</v>
      </c>
      <c r="Z545" s="4">
        <v>0</v>
      </c>
      <c r="AA545" s="4">
        <v>1</v>
      </c>
      <c r="AB545" s="4">
        <v>0</v>
      </c>
      <c r="AC545" s="4">
        <v>0</v>
      </c>
    </row>
    <row r="546" spans="1:29" s="5" customFormat="1">
      <c r="A546" s="4">
        <v>868</v>
      </c>
      <c r="B546" s="4">
        <v>240600223</v>
      </c>
      <c r="C546" s="4">
        <v>240600223</v>
      </c>
      <c r="D546" s="5" t="s">
        <v>169</v>
      </c>
      <c r="F546" s="5" t="s">
        <v>100</v>
      </c>
      <c r="G546" s="6" t="e">
        <f>+VLOOKUP(B546,'[1]master_prod_15todos(30-11-2 (2)'!$B$2:$AF$470,31,FALSE)</f>
        <v>#N/A</v>
      </c>
      <c r="H546" s="4">
        <v>0</v>
      </c>
      <c r="I546" s="4">
        <v>0</v>
      </c>
      <c r="J546" s="4">
        <v>0</v>
      </c>
      <c r="K546" s="6" t="e">
        <f t="shared" si="17"/>
        <v>#N/A</v>
      </c>
      <c r="L546" s="7" t="e">
        <f>+VLOOKUP(B546,'[1]master_prod_15todos(30-11-2 (2)'!$B$2:$AG$470,32,FALSE)</f>
        <v>#N/A</v>
      </c>
      <c r="M546" s="5">
        <v>5.5818000000000003</v>
      </c>
      <c r="N546" s="5" t="s">
        <v>29</v>
      </c>
      <c r="O546" s="5" t="s">
        <v>275</v>
      </c>
      <c r="P546" s="5" t="s">
        <v>29</v>
      </c>
      <c r="Q546" s="5" t="s">
        <v>842</v>
      </c>
      <c r="T546" s="4">
        <v>1</v>
      </c>
      <c r="U546" s="4">
        <v>34</v>
      </c>
      <c r="V546" s="4">
        <v>1</v>
      </c>
      <c r="W546" s="4">
        <v>1</v>
      </c>
      <c r="X546" s="4">
        <v>0</v>
      </c>
      <c r="Y546" s="4">
        <v>1</v>
      </c>
      <c r="Z546" s="4">
        <v>0</v>
      </c>
      <c r="AA546" s="4">
        <v>0</v>
      </c>
      <c r="AB546" s="4">
        <v>0</v>
      </c>
      <c r="AC546" s="4">
        <v>0</v>
      </c>
    </row>
    <row r="547" spans="1:29" s="5" customFormat="1">
      <c r="A547" s="4">
        <v>797</v>
      </c>
      <c r="B547" s="4">
        <v>240600224</v>
      </c>
      <c r="C547" s="4">
        <v>240600224</v>
      </c>
      <c r="D547" s="5" t="s">
        <v>170</v>
      </c>
      <c r="F547" s="5" t="s">
        <v>75</v>
      </c>
      <c r="G547" s="6" t="e">
        <f>+VLOOKUP(B547,'[1]master_prod_15todos(30-11-2 (2)'!$B$2:$AF$470,31,FALSE)</f>
        <v>#N/A</v>
      </c>
      <c r="H547" s="4">
        <v>0</v>
      </c>
      <c r="I547" s="4">
        <v>0</v>
      </c>
      <c r="J547" s="4">
        <v>0</v>
      </c>
      <c r="K547" s="6" t="e">
        <f t="shared" si="17"/>
        <v>#N/A</v>
      </c>
      <c r="L547" s="7" t="e">
        <f>+VLOOKUP(B547,'[1]master_prod_15todos(30-11-2 (2)'!$B$2:$AG$470,32,FALSE)</f>
        <v>#N/A</v>
      </c>
      <c r="M547" s="5">
        <v>240.625</v>
      </c>
      <c r="N547" s="5" t="s">
        <v>275</v>
      </c>
      <c r="O547" s="5" t="s">
        <v>841</v>
      </c>
      <c r="P547" s="5" t="s">
        <v>275</v>
      </c>
      <c r="Q547" s="5" t="s">
        <v>388</v>
      </c>
      <c r="T547" s="4">
        <v>1</v>
      </c>
      <c r="U547" s="4">
        <v>34</v>
      </c>
      <c r="V547" s="4">
        <v>1</v>
      </c>
      <c r="W547" s="4">
        <v>1</v>
      </c>
      <c r="X547" s="4">
        <v>0</v>
      </c>
      <c r="Y547" s="4">
        <v>1</v>
      </c>
      <c r="Z547" s="4">
        <v>0</v>
      </c>
      <c r="AA547" s="4">
        <v>0</v>
      </c>
      <c r="AB547" s="4">
        <v>0</v>
      </c>
      <c r="AC547" s="4">
        <v>0</v>
      </c>
    </row>
    <row r="548" spans="1:29" s="5" customFormat="1">
      <c r="A548" s="4">
        <v>798</v>
      </c>
      <c r="B548" s="4">
        <v>240600225</v>
      </c>
      <c r="C548" s="4">
        <v>240600225</v>
      </c>
      <c r="D548" s="5" t="s">
        <v>173</v>
      </c>
      <c r="F548" s="5" t="s">
        <v>75</v>
      </c>
      <c r="G548" s="6" t="e">
        <f>+VLOOKUP(B548,'[1]master_prod_15todos(30-11-2 (2)'!$B$2:$AF$470,31,FALSE)</f>
        <v>#N/A</v>
      </c>
      <c r="H548" s="4">
        <v>0</v>
      </c>
      <c r="I548" s="4">
        <v>0</v>
      </c>
      <c r="J548" s="4">
        <v>0</v>
      </c>
      <c r="K548" s="6" t="e">
        <f t="shared" si="17"/>
        <v>#N/A</v>
      </c>
      <c r="L548" s="7" t="e">
        <f>+VLOOKUP(B548,'[1]master_prod_15todos(30-11-2 (2)'!$B$2:$AG$470,32,FALSE)</f>
        <v>#N/A</v>
      </c>
      <c r="M548" s="5">
        <v>2.4062999999999999</v>
      </c>
      <c r="N548" s="5" t="s">
        <v>29</v>
      </c>
      <c r="O548" s="5" t="s">
        <v>523</v>
      </c>
      <c r="P548" s="5" t="s">
        <v>29</v>
      </c>
      <c r="Q548" s="5" t="s">
        <v>94</v>
      </c>
      <c r="T548" s="4">
        <v>1</v>
      </c>
      <c r="U548" s="4">
        <v>1</v>
      </c>
      <c r="V548" s="4">
        <v>1</v>
      </c>
      <c r="W548" s="4">
        <v>1</v>
      </c>
      <c r="X548" s="4">
        <v>0</v>
      </c>
      <c r="Y548" s="4">
        <v>1</v>
      </c>
      <c r="Z548" s="4">
        <v>0</v>
      </c>
      <c r="AA548" s="4">
        <v>1</v>
      </c>
      <c r="AB548" s="4">
        <v>0</v>
      </c>
      <c r="AC548" s="4">
        <v>0</v>
      </c>
    </row>
    <row r="549" spans="1:29" s="5" customFormat="1">
      <c r="A549" s="4">
        <v>391</v>
      </c>
      <c r="B549" s="4">
        <v>240600237</v>
      </c>
      <c r="C549" s="4">
        <v>240600237</v>
      </c>
      <c r="D549" s="5" t="s">
        <v>181</v>
      </c>
      <c r="E549" s="5" t="s">
        <v>182</v>
      </c>
      <c r="F549" s="5" t="s">
        <v>85</v>
      </c>
      <c r="G549" s="6" t="e">
        <f>+VLOOKUP(B549,'[1]master_prod_15todos(30-11-2 (2)'!$B$2:$AF$470,31,FALSE)</f>
        <v>#N/A</v>
      </c>
      <c r="H549" s="4">
        <v>0</v>
      </c>
      <c r="I549" s="4">
        <v>0</v>
      </c>
      <c r="J549" s="4">
        <v>0</v>
      </c>
      <c r="K549" s="6" t="e">
        <f t="shared" si="17"/>
        <v>#N/A</v>
      </c>
      <c r="L549" s="7" t="e">
        <f>+VLOOKUP(B549,'[1]master_prod_15todos(30-11-2 (2)'!$B$2:$AG$470,32,FALSE)</f>
        <v>#N/A</v>
      </c>
      <c r="M549" s="5">
        <v>5.1166999999999998</v>
      </c>
      <c r="N549" s="5" t="s">
        <v>105</v>
      </c>
      <c r="O549" s="5" t="s">
        <v>275</v>
      </c>
      <c r="P549" s="5" t="s">
        <v>29</v>
      </c>
      <c r="Q549" s="5" t="s">
        <v>1052</v>
      </c>
      <c r="T549" s="4">
        <v>1</v>
      </c>
      <c r="U549" s="4">
        <v>1</v>
      </c>
      <c r="V549" s="4">
        <v>1</v>
      </c>
      <c r="W549" s="4">
        <v>1</v>
      </c>
      <c r="X549" s="4">
        <v>0</v>
      </c>
      <c r="Y549" s="4">
        <v>1</v>
      </c>
      <c r="Z549" s="4">
        <v>0</v>
      </c>
      <c r="AA549" s="4">
        <v>1</v>
      </c>
      <c r="AB549" s="4">
        <v>0</v>
      </c>
      <c r="AC549" s="4">
        <v>0</v>
      </c>
    </row>
    <row r="550" spans="1:29" s="5" customFormat="1">
      <c r="A550" s="4">
        <v>806</v>
      </c>
      <c r="B550" s="4">
        <v>240600242</v>
      </c>
      <c r="C550" s="4">
        <v>240600242</v>
      </c>
      <c r="D550" s="5" t="s">
        <v>185</v>
      </c>
      <c r="E550" s="5" t="s">
        <v>182</v>
      </c>
      <c r="F550" s="5" t="s">
        <v>85</v>
      </c>
      <c r="G550" s="6" t="e">
        <f>+VLOOKUP(B550,'[1]master_prod_15todos(30-11-2 (2)'!$B$2:$AF$470,31,FALSE)</f>
        <v>#N/A</v>
      </c>
      <c r="H550" s="4">
        <v>0</v>
      </c>
      <c r="I550" s="4">
        <v>0</v>
      </c>
      <c r="J550" s="4">
        <v>0</v>
      </c>
      <c r="K550" s="6" t="e">
        <f t="shared" si="17"/>
        <v>#N/A</v>
      </c>
      <c r="L550" s="7" t="e">
        <f>+VLOOKUP(B550,'[1]master_prod_15todos(30-11-2 (2)'!$B$2:$AG$470,32,FALSE)</f>
        <v>#N/A</v>
      </c>
      <c r="M550" s="5">
        <v>5.5818000000000003</v>
      </c>
      <c r="N550" s="5" t="s">
        <v>275</v>
      </c>
      <c r="O550" s="5" t="s">
        <v>51</v>
      </c>
      <c r="P550" s="5" t="s">
        <v>275</v>
      </c>
      <c r="Q550" s="5" t="s">
        <v>1052</v>
      </c>
      <c r="T550" s="4">
        <v>1</v>
      </c>
      <c r="U550" s="4">
        <v>50</v>
      </c>
      <c r="V550" s="4">
        <v>1</v>
      </c>
      <c r="W550" s="4">
        <v>1</v>
      </c>
      <c r="X550" s="4">
        <v>1</v>
      </c>
      <c r="Y550" s="4">
        <v>1</v>
      </c>
      <c r="Z550" s="4">
        <v>0</v>
      </c>
      <c r="AA550" s="4">
        <v>1</v>
      </c>
      <c r="AB550" s="4">
        <v>0</v>
      </c>
      <c r="AC550" s="4">
        <v>0</v>
      </c>
    </row>
    <row r="551" spans="1:29" s="5" customFormat="1">
      <c r="A551" s="4">
        <v>630</v>
      </c>
      <c r="B551" s="4">
        <v>240600338</v>
      </c>
      <c r="C551" s="4">
        <v>240600338</v>
      </c>
      <c r="D551" s="5" t="s">
        <v>197</v>
      </c>
      <c r="E551" s="5" t="s">
        <v>198</v>
      </c>
      <c r="F551" s="5" t="s">
        <v>199</v>
      </c>
      <c r="G551" s="6" t="e">
        <f>+VLOOKUP(B551,'[1]master_prod_15todos(30-11-2 (2)'!$B$2:$AF$470,31,FALSE)</f>
        <v>#N/A</v>
      </c>
      <c r="H551" s="4">
        <v>0</v>
      </c>
      <c r="I551" s="4">
        <v>0</v>
      </c>
      <c r="J551" s="4">
        <v>0</v>
      </c>
      <c r="K551" s="6" t="e">
        <f t="shared" si="17"/>
        <v>#N/A</v>
      </c>
      <c r="L551" s="7" t="e">
        <f>+VLOOKUP(B551,'[1]master_prod_15todos(30-11-2 (2)'!$B$2:$AG$470,32,FALSE)</f>
        <v>#N/A</v>
      </c>
      <c r="M551" s="5">
        <v>5.5818000000000003</v>
      </c>
      <c r="N551" s="5" t="s">
        <v>275</v>
      </c>
      <c r="O551" s="5" t="s">
        <v>51</v>
      </c>
      <c r="P551" s="5" t="s">
        <v>275</v>
      </c>
      <c r="Q551" s="5" t="s">
        <v>1052</v>
      </c>
      <c r="T551" s="4">
        <v>1</v>
      </c>
      <c r="U551" s="4">
        <v>50</v>
      </c>
      <c r="V551" s="4">
        <v>1</v>
      </c>
      <c r="W551" s="4">
        <v>1</v>
      </c>
      <c r="X551" s="4">
        <v>1</v>
      </c>
      <c r="Y551" s="4">
        <v>1</v>
      </c>
      <c r="Z551" s="4">
        <v>0</v>
      </c>
      <c r="AA551" s="4">
        <v>1</v>
      </c>
      <c r="AB551" s="4">
        <v>0</v>
      </c>
      <c r="AC551" s="4">
        <v>0</v>
      </c>
    </row>
    <row r="552" spans="1:29" s="5" customFormat="1">
      <c r="A552" s="4">
        <v>362</v>
      </c>
      <c r="B552" s="4">
        <v>240600427</v>
      </c>
      <c r="C552" s="4">
        <v>240600427</v>
      </c>
      <c r="D552" s="5" t="s">
        <v>200</v>
      </c>
      <c r="E552" s="5" t="s">
        <v>201</v>
      </c>
      <c r="F552" s="5" t="s">
        <v>75</v>
      </c>
      <c r="G552" s="6" t="e">
        <f>+VLOOKUP(B552,'[1]master_prod_15todos(30-11-2 (2)'!$B$2:$AF$470,31,FALSE)</f>
        <v>#N/A</v>
      </c>
      <c r="H552" s="4">
        <v>0</v>
      </c>
      <c r="I552" s="4">
        <v>0</v>
      </c>
      <c r="J552" s="4">
        <v>0</v>
      </c>
      <c r="K552" s="6" t="e">
        <f t="shared" si="17"/>
        <v>#N/A</v>
      </c>
      <c r="L552" s="7" t="e">
        <f>+VLOOKUP(B552,'[1]master_prod_15todos(30-11-2 (2)'!$B$2:$AG$470,32,FALSE)</f>
        <v>#N/A</v>
      </c>
      <c r="M552" s="5">
        <v>119.10939999999999</v>
      </c>
      <c r="N552" s="5" t="s">
        <v>510</v>
      </c>
      <c r="O552" s="5" t="s">
        <v>71</v>
      </c>
      <c r="P552" s="5" t="s">
        <v>510</v>
      </c>
      <c r="Q552" s="5" t="s">
        <v>1052</v>
      </c>
      <c r="T552" s="4">
        <v>1</v>
      </c>
      <c r="U552" s="4">
        <v>1</v>
      </c>
      <c r="V552" s="4">
        <v>1</v>
      </c>
      <c r="W552" s="4">
        <v>1</v>
      </c>
      <c r="X552" s="4">
        <v>1</v>
      </c>
      <c r="Y552" s="4">
        <v>1</v>
      </c>
      <c r="Z552" s="4">
        <v>0</v>
      </c>
      <c r="AA552" s="4">
        <v>1</v>
      </c>
      <c r="AB552" s="4">
        <v>0</v>
      </c>
      <c r="AC552" s="4">
        <v>0</v>
      </c>
    </row>
    <row r="553" spans="1:29" s="5" customFormat="1">
      <c r="A553" s="4">
        <v>860</v>
      </c>
      <c r="B553" s="4">
        <v>240600727</v>
      </c>
      <c r="C553" s="4">
        <v>240600727</v>
      </c>
      <c r="D553" s="5" t="s">
        <v>206</v>
      </c>
      <c r="E553" s="5" t="s">
        <v>207</v>
      </c>
      <c r="F553" s="5" t="s">
        <v>75</v>
      </c>
      <c r="G553" s="6" t="e">
        <f>+VLOOKUP(B553,'[1]master_prod_15todos(30-11-2 (2)'!$B$2:$AF$470,31,FALSE)</f>
        <v>#N/A</v>
      </c>
      <c r="H553" s="4">
        <v>0</v>
      </c>
      <c r="I553" s="4">
        <v>0</v>
      </c>
      <c r="J553" s="4">
        <v>0</v>
      </c>
      <c r="K553" s="6" t="e">
        <f t="shared" si="17"/>
        <v>#N/A</v>
      </c>
      <c r="L553" s="7" t="e">
        <f>+VLOOKUP(B553,'[1]master_prod_15todos(30-11-2 (2)'!$B$2:$AG$470,32,FALSE)</f>
        <v>#N/A</v>
      </c>
      <c r="M553" s="5">
        <v>240.625</v>
      </c>
      <c r="N553" s="5" t="s">
        <v>105</v>
      </c>
      <c r="O553" s="5" t="s">
        <v>71</v>
      </c>
      <c r="P553" s="5" t="s">
        <v>29</v>
      </c>
      <c r="Q553" s="5" t="s">
        <v>1052</v>
      </c>
      <c r="T553" s="4">
        <v>1</v>
      </c>
      <c r="U553" s="4">
        <v>1</v>
      </c>
      <c r="V553" s="4">
        <v>1</v>
      </c>
      <c r="W553" s="4">
        <v>1</v>
      </c>
      <c r="X553" s="4">
        <v>1</v>
      </c>
      <c r="Y553" s="4">
        <v>1</v>
      </c>
      <c r="Z553" s="4">
        <v>0</v>
      </c>
      <c r="AA553" s="4">
        <v>1</v>
      </c>
      <c r="AB553" s="4">
        <v>0</v>
      </c>
      <c r="AC553" s="4">
        <v>0</v>
      </c>
    </row>
    <row r="554" spans="1:29" s="5" customFormat="1">
      <c r="A554" s="4">
        <v>373</v>
      </c>
      <c r="B554" s="4">
        <v>240601208</v>
      </c>
      <c r="C554" s="4">
        <v>240601208</v>
      </c>
      <c r="D554" s="5" t="s">
        <v>213</v>
      </c>
      <c r="E554" s="4">
        <v>11280055</v>
      </c>
      <c r="F554" s="5" t="s">
        <v>100</v>
      </c>
      <c r="G554" s="6" t="e">
        <f>+VLOOKUP(B554,'[1]master_prod_15todos(30-11-2 (2)'!$B$2:$AF$470,31,FALSE)</f>
        <v>#N/A</v>
      </c>
      <c r="H554" s="4">
        <v>0</v>
      </c>
      <c r="I554" s="4">
        <v>0</v>
      </c>
      <c r="J554" s="4">
        <v>0</v>
      </c>
      <c r="K554" s="6" t="e">
        <f t="shared" si="17"/>
        <v>#N/A</v>
      </c>
      <c r="L554" s="7" t="e">
        <f>+VLOOKUP(B554,'[1]master_prod_15todos(30-11-2 (2)'!$B$2:$AG$470,32,FALSE)</f>
        <v>#N/A</v>
      </c>
      <c r="M554" s="5">
        <v>6.7832999999999997</v>
      </c>
      <c r="N554" s="5" t="s">
        <v>275</v>
      </c>
      <c r="O554" s="5" t="s">
        <v>30</v>
      </c>
      <c r="P554" s="5" t="s">
        <v>275</v>
      </c>
      <c r="Q554" s="5" t="s">
        <v>94</v>
      </c>
      <c r="T554" s="4">
        <v>1</v>
      </c>
      <c r="U554" s="4">
        <v>1</v>
      </c>
      <c r="V554" s="4">
        <v>1</v>
      </c>
      <c r="W554" s="4">
        <v>1</v>
      </c>
      <c r="X554" s="4">
        <v>0</v>
      </c>
      <c r="Y554" s="4">
        <v>1</v>
      </c>
      <c r="Z554" s="4">
        <v>0</v>
      </c>
      <c r="AA554" s="4">
        <v>1</v>
      </c>
      <c r="AB554" s="4">
        <v>0</v>
      </c>
      <c r="AC554" s="4">
        <v>0</v>
      </c>
    </row>
    <row r="555" spans="1:29" s="5" customFormat="1">
      <c r="A555" s="4">
        <v>623</v>
      </c>
      <c r="B555" s="4">
        <v>240601308</v>
      </c>
      <c r="C555" s="4">
        <v>240601308</v>
      </c>
      <c r="D555" s="5" t="s">
        <v>214</v>
      </c>
      <c r="E555" s="4">
        <v>11290055</v>
      </c>
      <c r="F555" s="5" t="s">
        <v>100</v>
      </c>
      <c r="G555" s="6" t="e">
        <f>+VLOOKUP(B555,'[1]master_prod_15todos(30-11-2 (2)'!$B$2:$AF$470,31,FALSE)</f>
        <v>#N/A</v>
      </c>
      <c r="H555" s="4">
        <v>0</v>
      </c>
      <c r="I555" s="4">
        <v>0</v>
      </c>
      <c r="J555" s="4">
        <v>0</v>
      </c>
      <c r="K555" s="6" t="e">
        <f t="shared" si="17"/>
        <v>#N/A</v>
      </c>
      <c r="L555" s="7" t="e">
        <f>+VLOOKUP(B555,'[1]master_prod_15todos(30-11-2 (2)'!$B$2:$AG$470,32,FALSE)</f>
        <v>#N/A</v>
      </c>
      <c r="M555" s="5">
        <v>6.7832999999999997</v>
      </c>
      <c r="N555" s="5" t="s">
        <v>30</v>
      </c>
      <c r="O555" s="5" t="s">
        <v>30</v>
      </c>
      <c r="P555" s="5" t="s">
        <v>374</v>
      </c>
      <c r="Q555" s="5" t="s">
        <v>571</v>
      </c>
      <c r="R555" s="5" t="s">
        <v>37</v>
      </c>
      <c r="T555" s="4">
        <v>1</v>
      </c>
      <c r="U555" s="4">
        <v>1</v>
      </c>
      <c r="V555" s="4">
        <v>1</v>
      </c>
      <c r="W555" s="4">
        <v>1</v>
      </c>
      <c r="X555" s="4">
        <v>1</v>
      </c>
      <c r="Y555" s="4">
        <v>1</v>
      </c>
      <c r="Z555" s="4">
        <v>0</v>
      </c>
      <c r="AA555" s="4">
        <v>1</v>
      </c>
      <c r="AB555" s="6">
        <v>0.28000000000000003</v>
      </c>
      <c r="AC555" s="5">
        <v>23.214300000000001</v>
      </c>
    </row>
    <row r="556" spans="1:29" s="5" customFormat="1">
      <c r="A556" s="4">
        <v>248</v>
      </c>
      <c r="B556" s="4">
        <v>240650206</v>
      </c>
      <c r="C556" s="4">
        <v>240650206</v>
      </c>
      <c r="D556" s="5" t="s">
        <v>215</v>
      </c>
      <c r="E556" s="4">
        <v>190752</v>
      </c>
      <c r="F556" s="5" t="s">
        <v>219</v>
      </c>
      <c r="G556" s="6" t="e">
        <f>+VLOOKUP(B556,'[1]master_prod_15todos(30-11-2 (2)'!$B$2:$AF$470,31,FALSE)</f>
        <v>#N/A</v>
      </c>
      <c r="H556" s="4">
        <v>0</v>
      </c>
      <c r="I556" s="4">
        <v>0</v>
      </c>
      <c r="J556" s="4">
        <v>0</v>
      </c>
      <c r="K556" s="6" t="e">
        <f t="shared" si="17"/>
        <v>#N/A</v>
      </c>
      <c r="L556" s="7" t="e">
        <f>+VLOOKUP(B556,'[1]master_prod_15todos(30-11-2 (2)'!$B$2:$AG$470,32,FALSE)</f>
        <v>#N/A</v>
      </c>
      <c r="M556" s="5">
        <v>1.5573999999999999</v>
      </c>
      <c r="N556" s="5" t="s">
        <v>275</v>
      </c>
      <c r="O556" s="5" t="s">
        <v>30</v>
      </c>
      <c r="P556" s="5" t="s">
        <v>275</v>
      </c>
      <c r="Q556" s="5" t="s">
        <v>511</v>
      </c>
      <c r="T556" s="4">
        <v>1</v>
      </c>
      <c r="U556" s="4">
        <v>1</v>
      </c>
      <c r="V556" s="4">
        <v>1</v>
      </c>
      <c r="W556" s="4">
        <v>1</v>
      </c>
      <c r="X556" s="4">
        <v>0</v>
      </c>
      <c r="Y556" s="4">
        <v>1</v>
      </c>
      <c r="Z556" s="4">
        <v>0</v>
      </c>
      <c r="AA556" s="4">
        <v>0</v>
      </c>
      <c r="AB556" s="4">
        <v>0</v>
      </c>
      <c r="AC556" s="4">
        <v>0</v>
      </c>
    </row>
    <row r="557" spans="1:29" s="5" customFormat="1">
      <c r="A557" s="4">
        <v>354</v>
      </c>
      <c r="B557" s="4">
        <v>240850102</v>
      </c>
      <c r="C557" s="4">
        <v>240850102</v>
      </c>
      <c r="D557" s="5" t="s">
        <v>222</v>
      </c>
      <c r="E557" s="5" t="s">
        <v>223</v>
      </c>
      <c r="F557" s="5" t="s">
        <v>224</v>
      </c>
      <c r="G557" s="6" t="e">
        <f>+VLOOKUP(B557,'[1]master_prod_15todos(30-11-2 (2)'!$B$2:$AF$470,31,FALSE)</f>
        <v>#N/A</v>
      </c>
      <c r="H557" s="4">
        <v>0</v>
      </c>
      <c r="I557" s="4">
        <v>0</v>
      </c>
      <c r="J557" s="4">
        <v>0</v>
      </c>
      <c r="K557" s="6" t="e">
        <f t="shared" si="17"/>
        <v>#N/A</v>
      </c>
      <c r="L557" s="7" t="e">
        <f>+VLOOKUP(B557,'[1]master_prod_15todos(30-11-2 (2)'!$B$2:$AG$470,32,FALSE)</f>
        <v>#N/A</v>
      </c>
      <c r="M557" s="5">
        <v>25.390599999999999</v>
      </c>
      <c r="N557" s="5" t="s">
        <v>275</v>
      </c>
      <c r="O557" s="5" t="s">
        <v>30</v>
      </c>
      <c r="P557" s="5" t="s">
        <v>29</v>
      </c>
      <c r="Q557" s="5" t="s">
        <v>94</v>
      </c>
      <c r="T557" s="4">
        <v>1</v>
      </c>
      <c r="U557" s="4">
        <v>1</v>
      </c>
      <c r="V557" s="4">
        <v>1</v>
      </c>
      <c r="W557" s="4">
        <v>1</v>
      </c>
      <c r="X557" s="4">
        <v>0</v>
      </c>
      <c r="Y557" s="4">
        <v>1</v>
      </c>
      <c r="Z557" s="4">
        <v>0</v>
      </c>
      <c r="AA557" s="4">
        <v>1</v>
      </c>
      <c r="AB557" s="4">
        <v>0</v>
      </c>
      <c r="AC557" s="4">
        <v>0</v>
      </c>
    </row>
    <row r="558" spans="1:29" s="5" customFormat="1">
      <c r="A558" s="4">
        <v>684</v>
      </c>
      <c r="B558" s="4">
        <v>240850402</v>
      </c>
      <c r="C558" s="4">
        <v>240850402</v>
      </c>
      <c r="D558" s="5" t="s">
        <v>227</v>
      </c>
      <c r="F558" s="5" t="s">
        <v>228</v>
      </c>
      <c r="G558" s="6" t="e">
        <f>+VLOOKUP(B558,'[1]master_prod_15todos(30-11-2 (2)'!$B$2:$AF$470,31,FALSE)</f>
        <v>#N/A</v>
      </c>
      <c r="H558" s="4">
        <v>0</v>
      </c>
      <c r="I558" s="4">
        <v>0</v>
      </c>
      <c r="J558" s="4">
        <v>0</v>
      </c>
      <c r="K558" s="6" t="e">
        <f t="shared" si="17"/>
        <v>#N/A</v>
      </c>
      <c r="L558" s="7" t="e">
        <f>+VLOOKUP(B558,'[1]master_prod_15todos(30-11-2 (2)'!$B$2:$AG$470,32,FALSE)</f>
        <v>#N/A</v>
      </c>
      <c r="M558" s="5">
        <v>11.666700000000001</v>
      </c>
      <c r="N558" s="5" t="s">
        <v>275</v>
      </c>
      <c r="O558" s="5" t="s">
        <v>266</v>
      </c>
      <c r="P558" s="5" t="s">
        <v>275</v>
      </c>
      <c r="Q558" s="5" t="s">
        <v>94</v>
      </c>
      <c r="T558" s="4">
        <v>1</v>
      </c>
      <c r="U558" s="4">
        <v>1</v>
      </c>
      <c r="V558" s="4">
        <v>1</v>
      </c>
      <c r="W558" s="4">
        <v>1</v>
      </c>
      <c r="X558" s="4">
        <v>1</v>
      </c>
      <c r="Y558" s="4">
        <v>1</v>
      </c>
      <c r="Z558" s="4">
        <v>0</v>
      </c>
      <c r="AA558" s="4">
        <v>1</v>
      </c>
      <c r="AB558" s="5">
        <v>0.6</v>
      </c>
      <c r="AC558" s="5">
        <v>117.71980000000001</v>
      </c>
    </row>
    <row r="559" spans="1:29" s="5" customFormat="1">
      <c r="A559" s="4">
        <v>683</v>
      </c>
      <c r="B559" s="4">
        <v>240850403</v>
      </c>
      <c r="C559" s="4">
        <v>240850403</v>
      </c>
      <c r="D559" s="5" t="s">
        <v>232</v>
      </c>
      <c r="F559" s="5" t="s">
        <v>228</v>
      </c>
      <c r="G559" s="6" t="e">
        <f>+VLOOKUP(B559,'[1]master_prod_15todos(30-11-2 (2)'!$B$2:$AF$470,31,FALSE)</f>
        <v>#N/A</v>
      </c>
      <c r="H559" s="4">
        <v>0</v>
      </c>
      <c r="I559" s="4">
        <v>0</v>
      </c>
      <c r="J559" s="4">
        <v>0</v>
      </c>
      <c r="K559" s="6" t="e">
        <f t="shared" si="17"/>
        <v>#N/A</v>
      </c>
      <c r="L559" s="7" t="e">
        <f>+VLOOKUP(B559,'[1]master_prod_15todos(30-11-2 (2)'!$B$2:$AG$470,32,FALSE)</f>
        <v>#N/A</v>
      </c>
      <c r="M559" s="5">
        <v>8.8332999999999995</v>
      </c>
      <c r="N559" s="5" t="s">
        <v>29</v>
      </c>
      <c r="O559" s="5" t="s">
        <v>30</v>
      </c>
      <c r="P559" s="5" t="s">
        <v>275</v>
      </c>
      <c r="Q559" s="5" t="s">
        <v>119</v>
      </c>
      <c r="T559" s="4">
        <v>1</v>
      </c>
      <c r="U559" s="4">
        <v>1</v>
      </c>
      <c r="V559" s="4">
        <v>1</v>
      </c>
      <c r="W559" s="4">
        <v>1</v>
      </c>
      <c r="X559" s="4">
        <v>0</v>
      </c>
      <c r="Y559" s="4">
        <v>1</v>
      </c>
      <c r="Z559" s="4">
        <v>0</v>
      </c>
      <c r="AA559" s="4">
        <v>1</v>
      </c>
      <c r="AB559" s="4">
        <v>0</v>
      </c>
      <c r="AC559" s="4">
        <v>0</v>
      </c>
    </row>
    <row r="560" spans="1:29" s="5" customFormat="1">
      <c r="A560" s="4">
        <v>412</v>
      </c>
      <c r="B560" s="4">
        <v>240850902</v>
      </c>
      <c r="C560" s="4">
        <v>240850902</v>
      </c>
      <c r="D560" s="5" t="s">
        <v>238</v>
      </c>
      <c r="E560" s="5" t="s">
        <v>239</v>
      </c>
      <c r="F560" s="5" t="s">
        <v>240</v>
      </c>
      <c r="G560" s="6" t="e">
        <f>+VLOOKUP(B560,'[1]master_prod_15todos(30-11-2 (2)'!$B$2:$AF$470,31,FALSE)</f>
        <v>#N/A</v>
      </c>
      <c r="H560" s="4">
        <v>0</v>
      </c>
      <c r="I560" s="4">
        <v>0</v>
      </c>
      <c r="J560" s="4">
        <v>0</v>
      </c>
      <c r="K560" s="6" t="e">
        <f t="shared" si="17"/>
        <v>#N/A</v>
      </c>
      <c r="L560" s="7" t="e">
        <f>+VLOOKUP(B560,'[1]master_prod_15todos(30-11-2 (2)'!$B$2:$AG$470,32,FALSE)</f>
        <v>#N/A</v>
      </c>
      <c r="M560" s="5">
        <v>16.6615</v>
      </c>
      <c r="N560" s="5" t="s">
        <v>105</v>
      </c>
      <c r="O560" s="5" t="s">
        <v>510</v>
      </c>
      <c r="P560" s="5" t="s">
        <v>275</v>
      </c>
      <c r="Q560" s="5" t="s">
        <v>58</v>
      </c>
      <c r="T560" s="4">
        <v>1</v>
      </c>
      <c r="U560" s="4">
        <v>1</v>
      </c>
      <c r="V560" s="4">
        <v>1</v>
      </c>
      <c r="W560" s="4">
        <v>1</v>
      </c>
      <c r="X560" s="4">
        <v>0</v>
      </c>
      <c r="Y560" s="4">
        <v>1</v>
      </c>
      <c r="Z560" s="4">
        <v>0</v>
      </c>
      <c r="AA560" s="4">
        <v>1</v>
      </c>
      <c r="AB560" s="4">
        <v>0</v>
      </c>
      <c r="AC560" s="4">
        <v>0</v>
      </c>
    </row>
    <row r="561" spans="1:29" s="5" customFormat="1">
      <c r="A561" s="4">
        <v>679</v>
      </c>
      <c r="B561" s="4">
        <v>240900205</v>
      </c>
      <c r="C561" s="4">
        <v>240900205</v>
      </c>
      <c r="D561" s="5" t="s">
        <v>246</v>
      </c>
      <c r="F561" s="5" t="s">
        <v>89</v>
      </c>
      <c r="G561" s="6" t="e">
        <f>+VLOOKUP(B561,'[1]master_prod_15todos(30-11-2 (2)'!$B$2:$AF$470,31,FALSE)</f>
        <v>#N/A</v>
      </c>
      <c r="H561" s="4">
        <v>0</v>
      </c>
      <c r="I561" s="4">
        <v>0</v>
      </c>
      <c r="J561" s="4">
        <v>0</v>
      </c>
      <c r="K561" s="6" t="e">
        <f t="shared" si="17"/>
        <v>#N/A</v>
      </c>
      <c r="L561" s="7" t="e">
        <f>+VLOOKUP(B561,'[1]master_prod_15todos(30-11-2 (2)'!$B$2:$AG$470,32,FALSE)</f>
        <v>#N/A</v>
      </c>
      <c r="M561" s="5">
        <v>37.942900000000002</v>
      </c>
      <c r="N561" s="5" t="s">
        <v>29</v>
      </c>
      <c r="O561" s="5" t="s">
        <v>62</v>
      </c>
      <c r="P561" s="5" t="s">
        <v>275</v>
      </c>
      <c r="Q561" s="5" t="s">
        <v>58</v>
      </c>
      <c r="T561" s="4">
        <v>1</v>
      </c>
      <c r="U561" s="4">
        <v>36</v>
      </c>
      <c r="V561" s="4">
        <v>1</v>
      </c>
      <c r="W561" s="4">
        <v>1</v>
      </c>
      <c r="X561" s="4">
        <v>1</v>
      </c>
      <c r="Y561" s="4">
        <v>1</v>
      </c>
      <c r="Z561" s="4">
        <v>0</v>
      </c>
      <c r="AA561" s="4">
        <v>1</v>
      </c>
      <c r="AB561" s="4">
        <v>0</v>
      </c>
      <c r="AC561" s="4">
        <v>0</v>
      </c>
    </row>
    <row r="562" spans="1:29" s="5" customFormat="1">
      <c r="A562" s="4">
        <v>287</v>
      </c>
      <c r="B562" s="4">
        <v>241010903</v>
      </c>
      <c r="C562" s="4">
        <v>241010903</v>
      </c>
      <c r="D562" s="5" t="s">
        <v>254</v>
      </c>
      <c r="E562" s="5" t="s">
        <v>255</v>
      </c>
      <c r="F562" s="5" t="s">
        <v>256</v>
      </c>
      <c r="G562" s="6" t="e">
        <f>+VLOOKUP(B562,'[1]master_prod_15todos(30-11-2 (2)'!$B$2:$AF$470,31,FALSE)</f>
        <v>#N/A</v>
      </c>
      <c r="H562" s="4">
        <v>0</v>
      </c>
      <c r="I562" s="4">
        <v>0</v>
      </c>
      <c r="J562" s="4">
        <v>0</v>
      </c>
      <c r="K562" s="6" t="e">
        <f t="shared" si="17"/>
        <v>#N/A</v>
      </c>
      <c r="L562" s="7" t="e">
        <f>+VLOOKUP(B562,'[1]master_prod_15todos(30-11-2 (2)'!$B$2:$AG$470,32,FALSE)</f>
        <v>#N/A</v>
      </c>
      <c r="M562" s="5">
        <v>57.377800000000001</v>
      </c>
      <c r="N562" s="5" t="s">
        <v>62</v>
      </c>
      <c r="O562" s="5" t="s">
        <v>62</v>
      </c>
      <c r="P562" s="5" t="s">
        <v>62</v>
      </c>
      <c r="Q562" s="5" t="s">
        <v>58</v>
      </c>
      <c r="R562" s="5" t="s">
        <v>1165</v>
      </c>
      <c r="T562" s="4">
        <v>1</v>
      </c>
      <c r="U562" s="4">
        <v>36</v>
      </c>
      <c r="V562" s="4">
        <v>1</v>
      </c>
      <c r="W562" s="4">
        <v>1</v>
      </c>
      <c r="X562" s="4">
        <v>1</v>
      </c>
      <c r="Y562" s="4">
        <v>1</v>
      </c>
      <c r="Z562" s="4">
        <v>0</v>
      </c>
      <c r="AA562" s="4">
        <v>1</v>
      </c>
      <c r="AB562" s="4">
        <v>0</v>
      </c>
      <c r="AC562" s="4">
        <v>0</v>
      </c>
    </row>
    <row r="563" spans="1:29" s="5" customFormat="1">
      <c r="A563" s="4">
        <v>702</v>
      </c>
      <c r="B563" s="4">
        <v>241020102</v>
      </c>
      <c r="C563" s="4">
        <v>241020102</v>
      </c>
      <c r="D563" s="5" t="s">
        <v>257</v>
      </c>
      <c r="F563" s="5" t="s">
        <v>258</v>
      </c>
      <c r="G563" s="6" t="e">
        <f>+VLOOKUP(B563,'[1]master_prod_15todos(30-11-2 (2)'!$B$2:$AF$470,31,FALSE)</f>
        <v>#N/A</v>
      </c>
      <c r="H563" s="4">
        <v>0</v>
      </c>
      <c r="I563" s="4">
        <v>0</v>
      </c>
      <c r="J563" s="4">
        <v>0</v>
      </c>
      <c r="K563" s="6" t="e">
        <f t="shared" si="17"/>
        <v>#N/A</v>
      </c>
      <c r="L563" s="7" t="e">
        <f>+VLOOKUP(B563,'[1]master_prod_15todos(30-11-2 (2)'!$B$2:$AG$470,32,FALSE)</f>
        <v>#N/A</v>
      </c>
      <c r="M563" s="6">
        <v>3.15</v>
      </c>
      <c r="N563" s="5" t="s">
        <v>275</v>
      </c>
      <c r="O563" s="5" t="s">
        <v>30</v>
      </c>
      <c r="P563" s="5" t="s">
        <v>29</v>
      </c>
      <c r="Q563" s="5" t="s">
        <v>388</v>
      </c>
      <c r="R563" s="5" t="s">
        <v>1131</v>
      </c>
      <c r="T563" s="4">
        <v>1</v>
      </c>
      <c r="U563" s="4">
        <v>1</v>
      </c>
      <c r="V563" s="4">
        <v>1</v>
      </c>
      <c r="W563" s="4">
        <v>1</v>
      </c>
      <c r="X563" s="4">
        <v>0</v>
      </c>
      <c r="Y563" s="4">
        <v>1</v>
      </c>
      <c r="Z563" s="4">
        <v>0</v>
      </c>
      <c r="AA563" s="4">
        <v>0</v>
      </c>
      <c r="AB563" s="4">
        <v>0</v>
      </c>
      <c r="AC563" s="4">
        <v>0</v>
      </c>
    </row>
    <row r="564" spans="1:29" s="5" customFormat="1">
      <c r="A564" s="4">
        <v>673</v>
      </c>
      <c r="B564" s="4">
        <v>241020103</v>
      </c>
      <c r="C564" s="4">
        <v>241020103</v>
      </c>
      <c r="D564" s="5" t="s">
        <v>262</v>
      </c>
      <c r="F564" s="5" t="s">
        <v>263</v>
      </c>
      <c r="G564" s="6" t="e">
        <f>+VLOOKUP(B564,'[1]master_prod_15todos(30-11-2 (2)'!$B$2:$AF$470,31,FALSE)</f>
        <v>#N/A</v>
      </c>
      <c r="H564" s="4">
        <v>0</v>
      </c>
      <c r="I564" s="4">
        <v>0</v>
      </c>
      <c r="J564" s="4">
        <v>0</v>
      </c>
      <c r="K564" s="6" t="e">
        <f t="shared" si="17"/>
        <v>#N/A</v>
      </c>
      <c r="L564" s="7" t="e">
        <f>+VLOOKUP(B564,'[1]master_prod_15todos(30-11-2 (2)'!$B$2:$AG$470,32,FALSE)</f>
        <v>#N/A</v>
      </c>
      <c r="M564" s="5">
        <v>0.68330000000000002</v>
      </c>
      <c r="N564" s="5" t="s">
        <v>30</v>
      </c>
      <c r="O564" s="5" t="s">
        <v>30</v>
      </c>
      <c r="P564" s="5" t="s">
        <v>37</v>
      </c>
      <c r="Q564" s="5" t="s">
        <v>260</v>
      </c>
      <c r="T564" s="4">
        <v>1</v>
      </c>
      <c r="U564" s="4">
        <v>1</v>
      </c>
      <c r="V564" s="4">
        <v>1</v>
      </c>
      <c r="W564" s="4">
        <v>1</v>
      </c>
      <c r="X564" s="4">
        <v>0</v>
      </c>
      <c r="Y564" s="4">
        <v>1</v>
      </c>
      <c r="Z564" s="4">
        <v>0</v>
      </c>
      <c r="AA564" s="4">
        <v>1</v>
      </c>
      <c r="AB564" s="4">
        <v>0</v>
      </c>
      <c r="AC564" s="4">
        <v>0</v>
      </c>
    </row>
    <row r="565" spans="1:29" s="5" customFormat="1">
      <c r="A565" s="4">
        <v>675</v>
      </c>
      <c r="B565" s="4">
        <v>241020111</v>
      </c>
      <c r="C565" s="4">
        <v>241020111</v>
      </c>
      <c r="D565" s="5" t="s">
        <v>269</v>
      </c>
      <c r="F565" s="5" t="s">
        <v>263</v>
      </c>
      <c r="G565" s="6" t="e">
        <f>+VLOOKUP(B565,'[1]master_prod_15todos(30-11-2 (2)'!$B$2:$AF$470,31,FALSE)</f>
        <v>#N/A</v>
      </c>
      <c r="H565" s="4">
        <v>0</v>
      </c>
      <c r="I565" s="4">
        <v>0</v>
      </c>
      <c r="J565" s="4">
        <v>0</v>
      </c>
      <c r="K565" s="6" t="e">
        <f t="shared" si="17"/>
        <v>#N/A</v>
      </c>
      <c r="L565" s="7" t="e">
        <f>+VLOOKUP(B565,'[1]master_prod_15todos(30-11-2 (2)'!$B$2:$AG$470,32,FALSE)</f>
        <v>#N/A</v>
      </c>
      <c r="M565" s="5">
        <v>1.4337</v>
      </c>
      <c r="N565" s="5" t="s">
        <v>157</v>
      </c>
      <c r="O565" s="5" t="s">
        <v>30</v>
      </c>
      <c r="P565" s="5" t="s">
        <v>105</v>
      </c>
      <c r="Q565" s="5" t="s">
        <v>388</v>
      </c>
      <c r="T565" s="4">
        <v>1</v>
      </c>
      <c r="U565" s="4">
        <v>1</v>
      </c>
      <c r="V565" s="4">
        <v>1</v>
      </c>
      <c r="W565" s="4">
        <v>1</v>
      </c>
      <c r="X565" s="4">
        <v>0</v>
      </c>
      <c r="Y565" s="4">
        <v>1</v>
      </c>
      <c r="Z565" s="4">
        <v>0</v>
      </c>
      <c r="AA565" s="4">
        <v>1</v>
      </c>
      <c r="AB565" s="4">
        <v>0</v>
      </c>
      <c r="AC565" s="4">
        <v>0</v>
      </c>
    </row>
    <row r="566" spans="1:29" s="5" customFormat="1">
      <c r="A566" s="4">
        <v>717</v>
      </c>
      <c r="B566" s="4">
        <v>241050105</v>
      </c>
      <c r="C566" s="4">
        <v>241050105</v>
      </c>
      <c r="D566" s="5" t="s">
        <v>274</v>
      </c>
      <c r="F566" s="5" t="s">
        <v>272</v>
      </c>
      <c r="G566" s="6" t="e">
        <f>+VLOOKUP(B566,'[1]master_prod_15todos(30-11-2 (2)'!$B$2:$AF$470,31,FALSE)</f>
        <v>#N/A</v>
      </c>
      <c r="H566" s="4">
        <v>0</v>
      </c>
      <c r="I566" s="4">
        <v>0</v>
      </c>
      <c r="J566" s="4">
        <v>0</v>
      </c>
      <c r="K566" s="6" t="e">
        <f t="shared" si="17"/>
        <v>#N/A</v>
      </c>
      <c r="L566" s="7" t="e">
        <f>+VLOOKUP(B566,'[1]master_prod_15todos(30-11-2 (2)'!$B$2:$AG$470,32,FALSE)</f>
        <v>#N/A</v>
      </c>
      <c r="M566" s="5">
        <v>0.41820000000000002</v>
      </c>
      <c r="N566" s="5" t="s">
        <v>510</v>
      </c>
      <c r="O566" s="5" t="s">
        <v>35</v>
      </c>
      <c r="P566" s="5" t="s">
        <v>510</v>
      </c>
      <c r="Q566" s="5" t="s">
        <v>388</v>
      </c>
      <c r="T566" s="4">
        <v>1</v>
      </c>
      <c r="U566" s="4">
        <v>1</v>
      </c>
      <c r="V566" s="4">
        <v>1</v>
      </c>
      <c r="W566" s="4">
        <v>1</v>
      </c>
      <c r="X566" s="4">
        <v>0</v>
      </c>
      <c r="Y566" s="4">
        <v>1</v>
      </c>
      <c r="Z566" s="4">
        <v>0</v>
      </c>
      <c r="AA566" s="4">
        <v>0</v>
      </c>
      <c r="AB566" s="4">
        <v>0</v>
      </c>
      <c r="AC566" s="4">
        <v>0</v>
      </c>
    </row>
    <row r="567" spans="1:29" s="5" customFormat="1">
      <c r="A567" s="4">
        <v>913</v>
      </c>
      <c r="B567" s="4">
        <v>241260108</v>
      </c>
      <c r="C567" s="4">
        <v>241260108</v>
      </c>
      <c r="D567" s="5" t="s">
        <v>305</v>
      </c>
      <c r="E567" s="5" t="s">
        <v>306</v>
      </c>
      <c r="F567" s="5" t="s">
        <v>85</v>
      </c>
      <c r="G567" s="6" t="e">
        <f>+VLOOKUP(B567,'[1]master_prod_15todos(30-11-2 (2)'!$B$2:$AF$470,31,FALSE)</f>
        <v>#N/A</v>
      </c>
      <c r="H567" s="4">
        <v>0</v>
      </c>
      <c r="I567" s="4">
        <v>0</v>
      </c>
      <c r="J567" s="4">
        <v>0</v>
      </c>
      <c r="K567" s="6" t="e">
        <f t="shared" si="17"/>
        <v>#N/A</v>
      </c>
      <c r="L567" s="7" t="e">
        <f>+VLOOKUP(B567,'[1]master_prod_15todos(30-11-2 (2)'!$B$2:$AG$470,32,FALSE)</f>
        <v>#N/A</v>
      </c>
      <c r="M567" s="5">
        <v>7.2</v>
      </c>
      <c r="N567" s="5" t="s">
        <v>275</v>
      </c>
      <c r="O567" s="5" t="s">
        <v>30</v>
      </c>
      <c r="P567" s="5" t="s">
        <v>275</v>
      </c>
      <c r="Q567" s="5" t="s">
        <v>260</v>
      </c>
      <c r="T567" s="4">
        <v>1</v>
      </c>
      <c r="U567" s="4">
        <v>1</v>
      </c>
      <c r="V567" s="4">
        <v>1</v>
      </c>
      <c r="W567" s="4">
        <v>1</v>
      </c>
      <c r="X567" s="4">
        <v>0</v>
      </c>
      <c r="Y567" s="4">
        <v>1</v>
      </c>
      <c r="Z567" s="4">
        <v>0</v>
      </c>
      <c r="AA567" s="4">
        <v>0</v>
      </c>
      <c r="AB567" s="4">
        <v>0</v>
      </c>
      <c r="AC567" s="4">
        <v>0</v>
      </c>
    </row>
    <row r="568" spans="1:29" s="5" customFormat="1">
      <c r="A568" s="4">
        <v>763</v>
      </c>
      <c r="B568" s="4">
        <v>241270101</v>
      </c>
      <c r="C568" s="4">
        <v>241270101</v>
      </c>
      <c r="D568" s="5" t="s">
        <v>307</v>
      </c>
      <c r="F568" s="5" t="s">
        <v>100</v>
      </c>
      <c r="G568" s="6" t="e">
        <f>+VLOOKUP(B568,'[1]master_prod_15todos(30-11-2 (2)'!$B$2:$AF$470,31,FALSE)</f>
        <v>#N/A</v>
      </c>
      <c r="H568" s="4">
        <v>0</v>
      </c>
      <c r="I568" s="4">
        <v>0</v>
      </c>
      <c r="J568" s="4">
        <v>0</v>
      </c>
      <c r="K568" s="6" t="e">
        <f t="shared" si="17"/>
        <v>#N/A</v>
      </c>
      <c r="L568" s="7" t="e">
        <f>+VLOOKUP(B568,'[1]master_prod_15todos(30-11-2 (2)'!$B$2:$AG$470,32,FALSE)</f>
        <v>#N/A</v>
      </c>
      <c r="M568" s="6">
        <v>3.75</v>
      </c>
      <c r="N568" s="5" t="s">
        <v>29</v>
      </c>
      <c r="O568" s="5" t="s">
        <v>275</v>
      </c>
      <c r="P568" s="5" t="s">
        <v>275</v>
      </c>
      <c r="Q568" s="5" t="s">
        <v>36</v>
      </c>
      <c r="T568" s="4">
        <v>1</v>
      </c>
      <c r="U568" s="4">
        <v>1</v>
      </c>
      <c r="V568" s="4">
        <v>1</v>
      </c>
      <c r="W568" s="4">
        <v>1</v>
      </c>
      <c r="X568" s="4">
        <v>0</v>
      </c>
      <c r="Y568" s="4">
        <v>1</v>
      </c>
      <c r="Z568" s="4">
        <v>0</v>
      </c>
      <c r="AA568" s="4">
        <v>0</v>
      </c>
      <c r="AB568" s="4">
        <v>0</v>
      </c>
      <c r="AC568" s="4">
        <v>0</v>
      </c>
    </row>
    <row r="569" spans="1:29" s="5" customFormat="1">
      <c r="A569" s="4">
        <v>634</v>
      </c>
      <c r="B569" s="4">
        <v>241350105</v>
      </c>
      <c r="C569" s="4">
        <v>241350105</v>
      </c>
      <c r="D569" s="5" t="s">
        <v>322</v>
      </c>
      <c r="E569" s="5" t="s">
        <v>323</v>
      </c>
      <c r="F569" s="5" t="s">
        <v>100</v>
      </c>
      <c r="G569" s="6" t="e">
        <f>+VLOOKUP(B569,'[1]master_prod_15todos(30-11-2 (2)'!$B$2:$AF$470,31,FALSE)</f>
        <v>#N/A</v>
      </c>
      <c r="H569" s="4">
        <v>0</v>
      </c>
      <c r="I569" s="4">
        <v>0</v>
      </c>
      <c r="J569" s="4">
        <v>0</v>
      </c>
      <c r="K569" s="6" t="e">
        <f t="shared" si="17"/>
        <v>#N/A</v>
      </c>
      <c r="L569" s="7" t="e">
        <f>+VLOOKUP(B569,'[1]master_prod_15todos(30-11-2 (2)'!$B$2:$AG$470,32,FALSE)</f>
        <v>#N/A</v>
      </c>
      <c r="M569" s="5">
        <v>3.3050999999999999</v>
      </c>
      <c r="N569" s="5" t="s">
        <v>35</v>
      </c>
      <c r="O569" s="5" t="s">
        <v>30</v>
      </c>
      <c r="P569" s="5" t="s">
        <v>35</v>
      </c>
      <c r="Q569" s="5" t="s">
        <v>36</v>
      </c>
      <c r="R569" s="5" t="s">
        <v>37</v>
      </c>
      <c r="T569" s="4">
        <v>1</v>
      </c>
      <c r="U569" s="4">
        <v>1</v>
      </c>
      <c r="V569" s="4">
        <v>1</v>
      </c>
      <c r="W569" s="4">
        <v>1</v>
      </c>
      <c r="X569" s="4">
        <v>0</v>
      </c>
      <c r="Y569" s="4">
        <v>1</v>
      </c>
      <c r="Z569" s="4">
        <v>0</v>
      </c>
      <c r="AA569" s="4">
        <v>1</v>
      </c>
      <c r="AB569" s="4">
        <v>0</v>
      </c>
      <c r="AC569" s="4">
        <v>0</v>
      </c>
    </row>
    <row r="570" spans="1:29" s="5" customFormat="1">
      <c r="A570" s="4">
        <v>130</v>
      </c>
      <c r="B570" s="4">
        <v>241950103</v>
      </c>
      <c r="C570" s="4">
        <v>241950103</v>
      </c>
      <c r="D570" s="5" t="s">
        <v>342</v>
      </c>
      <c r="E570" s="4">
        <v>96034</v>
      </c>
      <c r="F570" s="5" t="s">
        <v>343</v>
      </c>
      <c r="G570" s="6" t="e">
        <f>+VLOOKUP(B570,'[1]master_prod_15todos(30-11-2 (2)'!$B$2:$AF$470,31,FALSE)</f>
        <v>#N/A</v>
      </c>
      <c r="H570" s="4">
        <v>0</v>
      </c>
      <c r="I570" s="4">
        <v>0</v>
      </c>
      <c r="J570" s="4">
        <v>0</v>
      </c>
      <c r="K570" s="6" t="e">
        <f t="shared" si="17"/>
        <v>#N/A</v>
      </c>
      <c r="L570" s="7" t="e">
        <f>+VLOOKUP(B570,'[1]master_prod_15todos(30-11-2 (2)'!$B$2:$AG$470,32,FALSE)</f>
        <v>#N/A</v>
      </c>
      <c r="M570" s="5">
        <v>24.767800000000001</v>
      </c>
      <c r="N570" s="5" t="s">
        <v>30</v>
      </c>
      <c r="O570" s="5" t="s">
        <v>30</v>
      </c>
      <c r="P570" s="5" t="s">
        <v>1173</v>
      </c>
      <c r="Q570" s="5" t="s">
        <v>1129</v>
      </c>
      <c r="T570" s="4">
        <v>1</v>
      </c>
      <c r="U570" s="4">
        <v>1</v>
      </c>
      <c r="V570" s="4">
        <v>1</v>
      </c>
      <c r="W570" s="4">
        <v>1</v>
      </c>
      <c r="X570" s="4">
        <v>0</v>
      </c>
      <c r="Y570" s="4">
        <v>1</v>
      </c>
      <c r="Z570" s="4">
        <v>0</v>
      </c>
      <c r="AA570" s="4">
        <v>1</v>
      </c>
      <c r="AB570" s="5">
        <v>0.6</v>
      </c>
      <c r="AC570" s="5">
        <v>5.2708000000000004</v>
      </c>
    </row>
    <row r="571" spans="1:29" s="5" customFormat="1">
      <c r="A571" s="4">
        <v>811</v>
      </c>
      <c r="B571" s="4">
        <v>241950204</v>
      </c>
      <c r="C571" s="4">
        <v>241950204</v>
      </c>
      <c r="D571" s="5" t="s">
        <v>344</v>
      </c>
      <c r="F571" s="5" t="s">
        <v>45</v>
      </c>
      <c r="G571" s="6" t="e">
        <f>+VLOOKUP(B571,'[1]master_prod_15todos(30-11-2 (2)'!$B$2:$AF$470,31,FALSE)</f>
        <v>#N/A</v>
      </c>
      <c r="H571" s="4">
        <v>0</v>
      </c>
      <c r="I571" s="4">
        <v>0</v>
      </c>
      <c r="J571" s="4">
        <v>0</v>
      </c>
      <c r="K571" s="6" t="e">
        <f t="shared" si="17"/>
        <v>#N/A</v>
      </c>
      <c r="L571" s="7" t="e">
        <f>+VLOOKUP(B571,'[1]master_prod_15todos(30-11-2 (2)'!$B$2:$AG$470,32,FALSE)</f>
        <v>#N/A</v>
      </c>
      <c r="M571" s="5">
        <v>0.28299999999999997</v>
      </c>
      <c r="N571" s="5" t="s">
        <v>29</v>
      </c>
      <c r="O571" s="5" t="s">
        <v>29</v>
      </c>
      <c r="P571" s="5" t="s">
        <v>29</v>
      </c>
      <c r="Q571" s="5" t="s">
        <v>1129</v>
      </c>
      <c r="R571" s="5" t="s">
        <v>1127</v>
      </c>
      <c r="T571" s="4">
        <v>1</v>
      </c>
      <c r="U571" s="4">
        <v>1</v>
      </c>
      <c r="V571" s="4">
        <v>1</v>
      </c>
      <c r="W571" s="4">
        <v>1</v>
      </c>
      <c r="X571" s="4">
        <v>0</v>
      </c>
      <c r="Y571" s="4">
        <v>1</v>
      </c>
      <c r="Z571" s="4">
        <v>0</v>
      </c>
      <c r="AA571" s="4">
        <v>0</v>
      </c>
      <c r="AB571" s="4">
        <v>0</v>
      </c>
      <c r="AC571" s="4">
        <v>0</v>
      </c>
    </row>
    <row r="572" spans="1:29" s="5" customFormat="1">
      <c r="A572" s="4">
        <v>813</v>
      </c>
      <c r="B572" s="4">
        <v>241950206</v>
      </c>
      <c r="C572" s="4">
        <v>241950206</v>
      </c>
      <c r="D572" s="5" t="s">
        <v>349</v>
      </c>
      <c r="F572" s="5" t="s">
        <v>45</v>
      </c>
      <c r="G572" s="6" t="e">
        <f>+VLOOKUP(B572,'[1]master_prod_15todos(30-11-2 (2)'!$B$2:$AF$470,31,FALSE)</f>
        <v>#N/A</v>
      </c>
      <c r="H572" s="4">
        <v>0</v>
      </c>
      <c r="I572" s="4">
        <v>0</v>
      </c>
      <c r="J572" s="4">
        <v>0</v>
      </c>
      <c r="K572" s="6" t="e">
        <f t="shared" si="17"/>
        <v>#N/A</v>
      </c>
      <c r="L572" s="7" t="e">
        <f>+VLOOKUP(B572,'[1]master_prod_15todos(30-11-2 (2)'!$B$2:$AG$470,32,FALSE)</f>
        <v>#N/A</v>
      </c>
      <c r="M572" s="5">
        <v>0.67689999999999995</v>
      </c>
      <c r="N572" s="5" t="s">
        <v>29</v>
      </c>
      <c r="O572" s="5" t="s">
        <v>275</v>
      </c>
      <c r="P572" s="5" t="s">
        <v>275</v>
      </c>
      <c r="Q572" s="5" t="s">
        <v>388</v>
      </c>
      <c r="T572" s="4">
        <v>10</v>
      </c>
      <c r="U572" s="4">
        <v>1</v>
      </c>
      <c r="V572" s="4">
        <v>1</v>
      </c>
      <c r="W572" s="4">
        <v>1</v>
      </c>
      <c r="X572" s="4">
        <v>0</v>
      </c>
      <c r="Y572" s="4">
        <v>0</v>
      </c>
      <c r="Z572" s="4">
        <v>0</v>
      </c>
      <c r="AA572" s="4">
        <v>1</v>
      </c>
      <c r="AB572" s="4">
        <v>0</v>
      </c>
      <c r="AC572" s="4">
        <v>0</v>
      </c>
    </row>
    <row r="573" spans="1:29" s="5" customFormat="1">
      <c r="A573" s="4">
        <v>810</v>
      </c>
      <c r="B573" s="4">
        <v>241950207</v>
      </c>
      <c r="C573" s="4">
        <v>241950207</v>
      </c>
      <c r="D573" s="5" t="s">
        <v>350</v>
      </c>
      <c r="F573" s="5" t="s">
        <v>45</v>
      </c>
      <c r="G573" s="6" t="e">
        <f>+VLOOKUP(B573,'[1]master_prod_15todos(30-11-2 (2)'!$B$2:$AF$470,31,FALSE)</f>
        <v>#N/A</v>
      </c>
      <c r="H573" s="4">
        <v>0</v>
      </c>
      <c r="I573" s="4">
        <v>0</v>
      </c>
      <c r="J573" s="4">
        <v>0</v>
      </c>
      <c r="K573" s="6" t="e">
        <f t="shared" si="17"/>
        <v>#N/A</v>
      </c>
      <c r="L573" s="7" t="e">
        <f>+VLOOKUP(B573,'[1]master_prod_15todos(30-11-2 (2)'!$B$2:$AG$470,32,FALSE)</f>
        <v>#N/A</v>
      </c>
      <c r="M573" s="5">
        <v>0.67689999999999995</v>
      </c>
      <c r="N573" s="5" t="s">
        <v>29</v>
      </c>
      <c r="O573" s="5" t="s">
        <v>35</v>
      </c>
      <c r="P573" s="5" t="s">
        <v>29</v>
      </c>
      <c r="Q573" s="5" t="s">
        <v>529</v>
      </c>
      <c r="R573" s="5" t="s">
        <v>1175</v>
      </c>
      <c r="T573" s="4">
        <v>1</v>
      </c>
      <c r="U573" s="4">
        <v>1</v>
      </c>
      <c r="V573" s="4">
        <v>1</v>
      </c>
      <c r="W573" s="4">
        <v>1</v>
      </c>
      <c r="X573" s="4">
        <v>1</v>
      </c>
      <c r="Y573" s="4">
        <v>0</v>
      </c>
      <c r="Z573" s="4">
        <v>0</v>
      </c>
      <c r="AA573" s="4">
        <v>1</v>
      </c>
      <c r="AB573" s="4">
        <v>0</v>
      </c>
      <c r="AC573" s="4">
        <v>0</v>
      </c>
    </row>
    <row r="574" spans="1:29" s="5" customFormat="1">
      <c r="A574" s="4">
        <v>681</v>
      </c>
      <c r="B574" s="4">
        <v>241950209</v>
      </c>
      <c r="C574" s="4">
        <v>241950209</v>
      </c>
      <c r="D574" s="5" t="s">
        <v>352</v>
      </c>
      <c r="F574" s="5" t="s">
        <v>353</v>
      </c>
      <c r="G574" s="6" t="e">
        <f>+VLOOKUP(B574,'[1]master_prod_15todos(30-11-2 (2)'!$B$2:$AF$470,31,FALSE)</f>
        <v>#N/A</v>
      </c>
      <c r="H574" s="4">
        <v>0</v>
      </c>
      <c r="I574" s="4">
        <v>0</v>
      </c>
      <c r="J574" s="4">
        <v>0</v>
      </c>
      <c r="K574" s="6" t="e">
        <f t="shared" si="17"/>
        <v>#N/A</v>
      </c>
      <c r="L574" s="7" t="e">
        <f>+VLOOKUP(B574,'[1]master_prod_15todos(30-11-2 (2)'!$B$2:$AG$470,32,FALSE)</f>
        <v>#N/A</v>
      </c>
      <c r="M574" s="5">
        <v>64.666700000000006</v>
      </c>
      <c r="N574" s="5" t="s">
        <v>105</v>
      </c>
      <c r="O574" s="5" t="s">
        <v>30</v>
      </c>
      <c r="P574" s="5" t="s">
        <v>29</v>
      </c>
      <c r="Q574" s="5" t="s">
        <v>81</v>
      </c>
      <c r="T574" s="4">
        <v>1</v>
      </c>
      <c r="U574" s="4">
        <v>1</v>
      </c>
      <c r="V574" s="4">
        <v>1</v>
      </c>
      <c r="W574" s="4">
        <v>1</v>
      </c>
      <c r="X574" s="4">
        <v>0</v>
      </c>
      <c r="Y574" s="4">
        <v>1</v>
      </c>
      <c r="Z574" s="4">
        <v>0</v>
      </c>
      <c r="AA574" s="4">
        <v>1</v>
      </c>
      <c r="AB574" s="5">
        <v>0.6</v>
      </c>
      <c r="AC574" s="5">
        <v>0.2167</v>
      </c>
    </row>
    <row r="575" spans="1:29" s="5" customFormat="1">
      <c r="A575" s="4">
        <v>812</v>
      </c>
      <c r="B575" s="4">
        <v>241950213</v>
      </c>
      <c r="C575" s="4">
        <v>241950213</v>
      </c>
      <c r="D575" s="5" t="s">
        <v>355</v>
      </c>
      <c r="E575" s="4">
        <v>4050</v>
      </c>
      <c r="F575" s="5" t="s">
        <v>45</v>
      </c>
      <c r="G575" s="6" t="e">
        <f>+VLOOKUP(B575,'[1]master_prod_15todos(30-11-2 (2)'!$B$2:$AF$470,31,FALSE)</f>
        <v>#N/A</v>
      </c>
      <c r="H575" s="4">
        <v>0</v>
      </c>
      <c r="I575" s="4">
        <v>0</v>
      </c>
      <c r="J575" s="4">
        <v>0</v>
      </c>
      <c r="K575" s="6" t="e">
        <f t="shared" si="17"/>
        <v>#N/A</v>
      </c>
      <c r="L575" s="7" t="e">
        <f>+VLOOKUP(B575,'[1]master_prod_15todos(30-11-2 (2)'!$B$2:$AG$470,32,FALSE)</f>
        <v>#N/A</v>
      </c>
      <c r="M575" s="5">
        <v>2.0385</v>
      </c>
      <c r="N575" s="5" t="s">
        <v>29</v>
      </c>
      <c r="O575" s="5" t="s">
        <v>275</v>
      </c>
      <c r="P575" s="5" t="s">
        <v>29</v>
      </c>
      <c r="Q575" s="5" t="s">
        <v>388</v>
      </c>
      <c r="T575" s="4">
        <v>10</v>
      </c>
      <c r="U575" s="4">
        <v>1</v>
      </c>
      <c r="V575" s="4">
        <v>1</v>
      </c>
      <c r="W575" s="4">
        <v>1</v>
      </c>
      <c r="X575" s="4">
        <v>0</v>
      </c>
      <c r="Y575" s="4">
        <v>0</v>
      </c>
      <c r="Z575" s="4">
        <v>0</v>
      </c>
      <c r="AA575" s="4">
        <v>1</v>
      </c>
      <c r="AB575" s="4">
        <v>0</v>
      </c>
      <c r="AC575" s="4">
        <v>0</v>
      </c>
    </row>
    <row r="576" spans="1:29" s="5" customFormat="1">
      <c r="A576" s="4">
        <v>690</v>
      </c>
      <c r="B576" s="4">
        <v>241950227</v>
      </c>
      <c r="C576" s="4">
        <v>241950227</v>
      </c>
      <c r="D576" s="5" t="s">
        <v>358</v>
      </c>
      <c r="F576" s="5" t="s">
        <v>340</v>
      </c>
      <c r="G576" s="6" t="e">
        <f>+VLOOKUP(B576,'[1]master_prod_15todos(30-11-2 (2)'!$B$2:$AF$470,31,FALSE)</f>
        <v>#N/A</v>
      </c>
      <c r="H576" s="4">
        <v>0</v>
      </c>
      <c r="I576" s="4">
        <v>0</v>
      </c>
      <c r="J576" s="4">
        <v>0</v>
      </c>
      <c r="K576" s="6" t="e">
        <f t="shared" si="17"/>
        <v>#N/A</v>
      </c>
      <c r="L576" s="7" t="e">
        <f>+VLOOKUP(B576,'[1]master_prod_15todos(30-11-2 (2)'!$B$2:$AG$470,32,FALSE)</f>
        <v>#N/A</v>
      </c>
      <c r="M576" s="5">
        <v>169.0909</v>
      </c>
      <c r="N576" s="5" t="s">
        <v>510</v>
      </c>
      <c r="O576" s="5" t="s">
        <v>57</v>
      </c>
      <c r="P576" s="5" t="s">
        <v>275</v>
      </c>
      <c r="Q576" s="5" t="s">
        <v>388</v>
      </c>
      <c r="T576" s="4">
        <v>1</v>
      </c>
      <c r="U576" s="4">
        <v>12</v>
      </c>
      <c r="V576" s="4">
        <v>1</v>
      </c>
      <c r="W576" s="4">
        <v>30</v>
      </c>
      <c r="X576" s="4">
        <v>1</v>
      </c>
      <c r="Y576" s="4">
        <v>1</v>
      </c>
      <c r="Z576" s="4">
        <v>0</v>
      </c>
      <c r="AA576" s="4">
        <v>1</v>
      </c>
      <c r="AB576" s="6">
        <v>0.65</v>
      </c>
      <c r="AC576" s="4">
        <v>0</v>
      </c>
    </row>
    <row r="577" spans="1:29" s="5" customFormat="1">
      <c r="A577" s="4">
        <v>129</v>
      </c>
      <c r="B577" s="4">
        <v>241950904</v>
      </c>
      <c r="C577" s="4">
        <v>241950904</v>
      </c>
      <c r="D577" s="5" t="s">
        <v>363</v>
      </c>
      <c r="F577" s="5" t="s">
        <v>141</v>
      </c>
      <c r="G577" s="6" t="e">
        <f>+VLOOKUP(B577,'[1]master_prod_15todos(30-11-2 (2)'!$B$2:$AF$470,31,FALSE)</f>
        <v>#N/A</v>
      </c>
      <c r="H577" s="4">
        <v>0</v>
      </c>
      <c r="I577" s="4">
        <v>0</v>
      </c>
      <c r="J577" s="4">
        <v>0</v>
      </c>
      <c r="K577" s="6" t="e">
        <f t="shared" si="17"/>
        <v>#N/A</v>
      </c>
      <c r="L577" s="7" t="e">
        <f>+VLOOKUP(B577,'[1]master_prod_15todos(30-11-2 (2)'!$B$2:$AG$470,32,FALSE)</f>
        <v>#N/A</v>
      </c>
      <c r="M577" s="5">
        <v>26.666699999999999</v>
      </c>
      <c r="N577" s="5" t="s">
        <v>29</v>
      </c>
      <c r="O577" s="5" t="s">
        <v>30</v>
      </c>
      <c r="P577" s="5" t="s">
        <v>29</v>
      </c>
      <c r="Q577" s="5" t="s">
        <v>94</v>
      </c>
      <c r="R577" s="5" t="s">
        <v>1178</v>
      </c>
      <c r="T577" s="4">
        <v>1</v>
      </c>
      <c r="U577" s="4">
        <v>1</v>
      </c>
      <c r="V577" s="4">
        <v>1</v>
      </c>
      <c r="W577" s="4">
        <v>1</v>
      </c>
      <c r="X577" s="4">
        <v>1</v>
      </c>
      <c r="Y577" s="4">
        <v>0</v>
      </c>
      <c r="Z577" s="4">
        <v>0</v>
      </c>
      <c r="AA577" s="4">
        <v>1</v>
      </c>
      <c r="AB577" s="4">
        <v>0</v>
      </c>
      <c r="AC577" s="4">
        <v>0</v>
      </c>
    </row>
    <row r="578" spans="1:29" s="5" customFormat="1">
      <c r="A578" s="4">
        <v>286</v>
      </c>
      <c r="B578" s="4">
        <v>242000803</v>
      </c>
      <c r="C578" s="4">
        <v>242000803</v>
      </c>
      <c r="D578" s="5" t="s">
        <v>379</v>
      </c>
      <c r="E578" s="5" t="s">
        <v>380</v>
      </c>
      <c r="F578" s="5" t="s">
        <v>381</v>
      </c>
      <c r="G578" s="6" t="e">
        <f>+VLOOKUP(B578,'[1]master_prod_15todos(30-11-2 (2)'!$B$2:$AF$470,31,FALSE)</f>
        <v>#N/A</v>
      </c>
      <c r="H578" s="4">
        <v>0</v>
      </c>
      <c r="I578" s="4">
        <v>0</v>
      </c>
      <c r="J578" s="4">
        <v>0</v>
      </c>
      <c r="K578" s="6" t="e">
        <f t="shared" si="17"/>
        <v>#N/A</v>
      </c>
      <c r="L578" s="7" t="e">
        <f>+VLOOKUP(B578,'[1]master_prod_15todos(30-11-2 (2)'!$B$2:$AG$470,32,FALSE)</f>
        <v>#N/A</v>
      </c>
      <c r="M578" s="5">
        <v>15.2364</v>
      </c>
      <c r="N578" s="5" t="s">
        <v>275</v>
      </c>
      <c r="O578" s="5" t="s">
        <v>105</v>
      </c>
      <c r="P578" s="5" t="s">
        <v>105</v>
      </c>
      <c r="Q578" s="5" t="s">
        <v>511</v>
      </c>
      <c r="T578" s="4">
        <v>1</v>
      </c>
      <c r="U578" s="4">
        <v>1</v>
      </c>
      <c r="V578" s="4">
        <v>10</v>
      </c>
      <c r="W578" s="4">
        <v>1</v>
      </c>
      <c r="X578" s="4">
        <v>1</v>
      </c>
      <c r="Y578" s="4">
        <v>0</v>
      </c>
      <c r="Z578" s="4">
        <v>0</v>
      </c>
      <c r="AA578" s="4">
        <v>1</v>
      </c>
      <c r="AB578" s="4">
        <v>0</v>
      </c>
      <c r="AC578" s="4">
        <v>0</v>
      </c>
    </row>
    <row r="579" spans="1:29" s="5" customFormat="1">
      <c r="A579" s="4">
        <v>241</v>
      </c>
      <c r="B579" s="4">
        <v>242001408</v>
      </c>
      <c r="C579" s="4">
        <v>242001408</v>
      </c>
      <c r="D579" s="5" t="s">
        <v>391</v>
      </c>
      <c r="E579" s="5" t="s">
        <v>392</v>
      </c>
      <c r="F579" s="5" t="s">
        <v>85</v>
      </c>
      <c r="G579" s="6" t="e">
        <f>+VLOOKUP(B579,'[1]master_prod_15todos(30-11-2 (2)'!$B$2:$AF$470,31,FALSE)</f>
        <v>#N/A</v>
      </c>
      <c r="H579" s="4">
        <v>0</v>
      </c>
      <c r="I579" s="4">
        <v>0</v>
      </c>
      <c r="J579" s="4">
        <v>0</v>
      </c>
      <c r="K579" s="6" t="e">
        <f t="shared" ref="K579:K642" si="19">SUM(G579:J579)</f>
        <v>#N/A</v>
      </c>
      <c r="L579" s="7" t="e">
        <f>+VLOOKUP(B579,'[1]master_prod_15todos(30-11-2 (2)'!$B$2:$AG$470,32,FALSE)</f>
        <v>#N/A</v>
      </c>
      <c r="M579" s="5">
        <v>4.1166999999999998</v>
      </c>
      <c r="N579" s="5" t="s">
        <v>275</v>
      </c>
      <c r="O579" s="5" t="s">
        <v>30</v>
      </c>
      <c r="P579" s="5" t="s">
        <v>29</v>
      </c>
      <c r="Q579" s="5" t="s">
        <v>94</v>
      </c>
      <c r="T579" s="4">
        <v>1</v>
      </c>
      <c r="U579" s="4">
        <v>1</v>
      </c>
      <c r="V579" s="4">
        <v>10</v>
      </c>
      <c r="W579" s="4">
        <v>1</v>
      </c>
      <c r="X579" s="4">
        <v>1</v>
      </c>
      <c r="Y579" s="4">
        <v>0</v>
      </c>
      <c r="Z579" s="4">
        <v>0</v>
      </c>
      <c r="AA579" s="4">
        <v>1</v>
      </c>
      <c r="AB579" s="4">
        <v>0</v>
      </c>
      <c r="AC579" s="4">
        <v>0</v>
      </c>
    </row>
    <row r="580" spans="1:29" s="5" customFormat="1">
      <c r="A580" s="4">
        <v>271</v>
      </c>
      <c r="B580" s="4">
        <v>242020702</v>
      </c>
      <c r="C580" s="4">
        <v>242020702</v>
      </c>
      <c r="D580" s="5" t="s">
        <v>395</v>
      </c>
      <c r="E580" s="5" t="s">
        <v>396</v>
      </c>
      <c r="F580" s="5" t="s">
        <v>397</v>
      </c>
      <c r="G580" s="6" t="e">
        <f>+VLOOKUP(B580,'[1]master_prod_15todos(30-11-2 (2)'!$B$2:$AF$470,31,FALSE)</f>
        <v>#N/A</v>
      </c>
      <c r="H580" s="4">
        <v>0</v>
      </c>
      <c r="I580" s="4">
        <v>0</v>
      </c>
      <c r="J580" s="4">
        <v>0</v>
      </c>
      <c r="K580" s="6" t="e">
        <f t="shared" si="19"/>
        <v>#N/A</v>
      </c>
      <c r="L580" s="7" t="e">
        <f>+VLOOKUP(B580,'[1]master_prod_15todos(30-11-2 (2)'!$B$2:$AG$470,32,FALSE)</f>
        <v>#N/A</v>
      </c>
      <c r="M580" s="5">
        <v>2.3635999999999999</v>
      </c>
      <c r="N580" s="5" t="s">
        <v>105</v>
      </c>
      <c r="O580" s="5" t="s">
        <v>30</v>
      </c>
      <c r="P580" s="5" t="s">
        <v>275</v>
      </c>
      <c r="Q580" s="5" t="s">
        <v>511</v>
      </c>
      <c r="T580" s="4">
        <v>1</v>
      </c>
      <c r="U580" s="4">
        <v>1</v>
      </c>
      <c r="V580" s="4">
        <v>1</v>
      </c>
      <c r="W580" s="4">
        <v>1</v>
      </c>
      <c r="X580" s="4">
        <v>1</v>
      </c>
      <c r="Y580" s="4">
        <v>0</v>
      </c>
      <c r="Z580" s="4">
        <v>0</v>
      </c>
      <c r="AA580" s="4">
        <v>1</v>
      </c>
      <c r="AB580" s="4">
        <v>0</v>
      </c>
      <c r="AC580" s="4">
        <v>0</v>
      </c>
    </row>
    <row r="581" spans="1:29" s="5" customFormat="1">
      <c r="A581" s="4">
        <v>753</v>
      </c>
      <c r="B581" s="4">
        <v>242201007</v>
      </c>
      <c r="C581" s="4">
        <v>242201007</v>
      </c>
      <c r="D581" s="5" t="s">
        <v>419</v>
      </c>
      <c r="E581" s="4">
        <v>1729</v>
      </c>
      <c r="F581" s="5" t="s">
        <v>403</v>
      </c>
      <c r="G581" s="6" t="e">
        <f>+VLOOKUP(B581,'[1]master_prod_15todos(30-11-2 (2)'!$B$2:$AF$470,31,FALSE)</f>
        <v>#N/A</v>
      </c>
      <c r="H581" s="4">
        <v>0</v>
      </c>
      <c r="I581" s="4">
        <v>0</v>
      </c>
      <c r="J581" s="4">
        <v>0</v>
      </c>
      <c r="K581" s="6" t="e">
        <f t="shared" si="19"/>
        <v>#N/A</v>
      </c>
      <c r="L581" s="7" t="e">
        <f>+VLOOKUP(B581,'[1]master_prod_15todos(30-11-2 (2)'!$B$2:$AG$470,32,FALSE)</f>
        <v>#N/A</v>
      </c>
      <c r="M581" s="5">
        <v>25.454499999999999</v>
      </c>
      <c r="N581" s="5" t="s">
        <v>275</v>
      </c>
      <c r="O581" s="5" t="s">
        <v>30</v>
      </c>
      <c r="P581" s="5" t="s">
        <v>275</v>
      </c>
      <c r="Q581" s="5" t="s">
        <v>58</v>
      </c>
      <c r="T581" s="4">
        <v>1</v>
      </c>
      <c r="U581" s="4">
        <v>1</v>
      </c>
      <c r="V581" s="4">
        <v>10</v>
      </c>
      <c r="W581" s="4">
        <v>1</v>
      </c>
      <c r="X581" s="4">
        <v>1</v>
      </c>
      <c r="Y581" s="4">
        <v>0</v>
      </c>
      <c r="Z581" s="4">
        <v>0</v>
      </c>
      <c r="AA581" s="4">
        <v>1</v>
      </c>
      <c r="AB581" s="4">
        <v>0</v>
      </c>
      <c r="AC581" s="4">
        <v>0</v>
      </c>
    </row>
    <row r="582" spans="1:29" s="5" customFormat="1">
      <c r="A582" s="4">
        <v>593</v>
      </c>
      <c r="B582" s="4">
        <v>242201266</v>
      </c>
      <c r="C582" s="4">
        <v>242201266</v>
      </c>
      <c r="D582" s="5" t="s">
        <v>421</v>
      </c>
      <c r="E582" s="4">
        <v>1901</v>
      </c>
      <c r="F582" s="5" t="s">
        <v>403</v>
      </c>
      <c r="G582" s="6" t="e">
        <f>+VLOOKUP(B582,'[1]master_prod_15todos(30-11-2 (2)'!$B$2:$AF$470,31,FALSE)</f>
        <v>#N/A</v>
      </c>
      <c r="H582" s="4">
        <v>0</v>
      </c>
      <c r="I582" s="4">
        <v>0</v>
      </c>
      <c r="J582" s="4">
        <v>0</v>
      </c>
      <c r="K582" s="6" t="e">
        <f t="shared" si="19"/>
        <v>#N/A</v>
      </c>
      <c r="L582" s="7" t="e">
        <f>+VLOOKUP(B582,'[1]master_prod_15todos(30-11-2 (2)'!$B$2:$AG$470,32,FALSE)</f>
        <v>#N/A</v>
      </c>
      <c r="M582" s="5">
        <v>15.686299999999999</v>
      </c>
      <c r="N582" s="5" t="s">
        <v>29</v>
      </c>
      <c r="O582" s="5" t="s">
        <v>30</v>
      </c>
      <c r="P582" s="5" t="s">
        <v>275</v>
      </c>
      <c r="Q582" s="5" t="s">
        <v>94</v>
      </c>
      <c r="T582" s="4">
        <v>1</v>
      </c>
      <c r="U582" s="4">
        <v>1</v>
      </c>
      <c r="V582" s="4">
        <v>1</v>
      </c>
      <c r="W582" s="4">
        <v>1</v>
      </c>
      <c r="X582" s="4">
        <v>1</v>
      </c>
      <c r="Y582" s="4">
        <v>0</v>
      </c>
      <c r="Z582" s="4">
        <v>0</v>
      </c>
      <c r="AA582" s="4">
        <v>1</v>
      </c>
      <c r="AB582" s="4">
        <v>0</v>
      </c>
      <c r="AC582" s="4">
        <v>0</v>
      </c>
    </row>
    <row r="583" spans="1:29" s="5" customFormat="1">
      <c r="A583" s="4">
        <v>581</v>
      </c>
      <c r="B583" s="4">
        <v>242201303</v>
      </c>
      <c r="C583" s="4">
        <v>242201303</v>
      </c>
      <c r="D583" s="5" t="s">
        <v>425</v>
      </c>
      <c r="E583" s="4">
        <v>7281941</v>
      </c>
      <c r="F583" s="5" t="s">
        <v>50</v>
      </c>
      <c r="G583" s="6" t="e">
        <f>+VLOOKUP(B583,'[1]master_prod_15todos(30-11-2 (2)'!$B$2:$AF$470,31,FALSE)</f>
        <v>#N/A</v>
      </c>
      <c r="H583" s="4">
        <v>0</v>
      </c>
      <c r="I583" s="4">
        <v>0</v>
      </c>
      <c r="J583" s="4">
        <v>0</v>
      </c>
      <c r="K583" s="6" t="e">
        <f t="shared" si="19"/>
        <v>#N/A</v>
      </c>
      <c r="L583" s="7" t="e">
        <f>+VLOOKUP(B583,'[1]master_prod_15todos(30-11-2 (2)'!$B$2:$AG$470,32,FALSE)</f>
        <v>#N/A</v>
      </c>
      <c r="M583" s="5">
        <v>8.8000000000000007</v>
      </c>
      <c r="N583" s="5" t="s">
        <v>29</v>
      </c>
      <c r="O583" s="5" t="s">
        <v>30</v>
      </c>
      <c r="P583" s="5" t="s">
        <v>275</v>
      </c>
      <c r="Q583" s="5" t="s">
        <v>94</v>
      </c>
      <c r="T583" s="4">
        <v>1</v>
      </c>
      <c r="U583" s="4">
        <v>1</v>
      </c>
      <c r="V583" s="4">
        <v>1</v>
      </c>
      <c r="W583" s="4">
        <v>1</v>
      </c>
      <c r="X583" s="4">
        <v>0</v>
      </c>
      <c r="Y583" s="4">
        <v>0</v>
      </c>
      <c r="Z583" s="4">
        <v>0</v>
      </c>
      <c r="AA583" s="4">
        <v>1</v>
      </c>
      <c r="AB583" s="4">
        <v>0</v>
      </c>
      <c r="AC583" s="4">
        <v>0</v>
      </c>
    </row>
    <row r="584" spans="1:29" s="5" customFormat="1">
      <c r="A584" s="4">
        <v>585</v>
      </c>
      <c r="B584" s="4">
        <v>242201308</v>
      </c>
      <c r="C584" s="4">
        <v>242201308</v>
      </c>
      <c r="D584" s="5" t="s">
        <v>429</v>
      </c>
      <c r="E584" s="4">
        <v>7455620</v>
      </c>
      <c r="F584" s="5" t="s">
        <v>50</v>
      </c>
      <c r="G584" s="6" t="e">
        <f>+VLOOKUP(B584,'[1]master_prod_15todos(30-11-2 (2)'!$B$2:$AF$470,31,FALSE)</f>
        <v>#N/A</v>
      </c>
      <c r="H584" s="4">
        <v>0</v>
      </c>
      <c r="I584" s="4">
        <v>0</v>
      </c>
      <c r="J584" s="4">
        <v>0</v>
      </c>
      <c r="K584" s="6" t="e">
        <f t="shared" si="19"/>
        <v>#N/A</v>
      </c>
      <c r="L584" s="7" t="e">
        <f>+VLOOKUP(B584,'[1]master_prod_15todos(30-11-2 (2)'!$B$2:$AG$470,32,FALSE)</f>
        <v>#N/A</v>
      </c>
      <c r="M584" s="5">
        <v>26.315799999999999</v>
      </c>
      <c r="N584" s="5" t="s">
        <v>275</v>
      </c>
      <c r="O584" s="5" t="s">
        <v>30</v>
      </c>
      <c r="P584" s="5" t="s">
        <v>29</v>
      </c>
      <c r="Q584" s="5" t="s">
        <v>94</v>
      </c>
      <c r="T584" s="4">
        <v>1</v>
      </c>
      <c r="U584" s="4">
        <v>1</v>
      </c>
      <c r="V584" s="4">
        <v>10</v>
      </c>
      <c r="W584" s="4">
        <v>1</v>
      </c>
      <c r="X584" s="4">
        <v>1</v>
      </c>
      <c r="Y584" s="4">
        <v>0</v>
      </c>
      <c r="Z584" s="4">
        <v>0</v>
      </c>
      <c r="AA584" s="4">
        <v>1</v>
      </c>
      <c r="AB584" s="4">
        <v>0</v>
      </c>
      <c r="AC584" s="4">
        <v>0</v>
      </c>
    </row>
    <row r="585" spans="1:29" s="5" customFormat="1">
      <c r="A585" s="4">
        <v>102</v>
      </c>
      <c r="B585" s="4">
        <v>242201309</v>
      </c>
      <c r="C585" s="4">
        <v>242201309</v>
      </c>
      <c r="D585" s="5" t="s">
        <v>431</v>
      </c>
      <c r="E585" s="4">
        <v>7281965</v>
      </c>
      <c r="F585" s="5" t="s">
        <v>50</v>
      </c>
      <c r="G585" s="6" t="e">
        <f>+VLOOKUP(B585,'[1]master_prod_15todos(30-11-2 (2)'!$B$2:$AF$470,31,FALSE)</f>
        <v>#N/A</v>
      </c>
      <c r="H585" s="4">
        <v>0</v>
      </c>
      <c r="I585" s="4">
        <v>0</v>
      </c>
      <c r="J585" s="4">
        <v>0</v>
      </c>
      <c r="K585" s="6" t="e">
        <f t="shared" si="19"/>
        <v>#N/A</v>
      </c>
      <c r="L585" s="7" t="e">
        <f>+VLOOKUP(B585,'[1]master_prod_15todos(30-11-2 (2)'!$B$2:$AG$470,32,FALSE)</f>
        <v>#N/A</v>
      </c>
      <c r="M585" s="5">
        <v>8.8000000000000007</v>
      </c>
      <c r="N585" s="5" t="s">
        <v>275</v>
      </c>
      <c r="O585" s="5" t="s">
        <v>30</v>
      </c>
      <c r="P585" s="5" t="s">
        <v>29</v>
      </c>
      <c r="Q585" s="5" t="s">
        <v>388</v>
      </c>
      <c r="T585" s="4">
        <v>1</v>
      </c>
      <c r="U585" s="4">
        <v>1</v>
      </c>
      <c r="V585" s="4">
        <v>10</v>
      </c>
      <c r="W585" s="4">
        <v>1</v>
      </c>
      <c r="X585" s="4">
        <v>1</v>
      </c>
      <c r="Y585" s="4">
        <v>0</v>
      </c>
      <c r="Z585" s="4">
        <v>0</v>
      </c>
      <c r="AA585" s="4">
        <v>1</v>
      </c>
      <c r="AB585" s="4">
        <v>0</v>
      </c>
      <c r="AC585" s="4">
        <v>0</v>
      </c>
    </row>
    <row r="586" spans="1:29" s="5" customFormat="1">
      <c r="A586" s="4">
        <v>583</v>
      </c>
      <c r="B586" s="4">
        <v>242201310</v>
      </c>
      <c r="C586" s="4">
        <v>242201310</v>
      </c>
      <c r="D586" s="5" t="s">
        <v>432</v>
      </c>
      <c r="E586" s="4">
        <v>7281966</v>
      </c>
      <c r="F586" s="5" t="s">
        <v>50</v>
      </c>
      <c r="G586" s="6" t="e">
        <f>+VLOOKUP(B586,'[1]master_prod_15todos(30-11-2 (2)'!$B$2:$AF$470,31,FALSE)</f>
        <v>#N/A</v>
      </c>
      <c r="H586" s="4">
        <v>0</v>
      </c>
      <c r="I586" s="4">
        <v>0</v>
      </c>
      <c r="J586" s="4">
        <v>0</v>
      </c>
      <c r="K586" s="6" t="e">
        <f t="shared" si="19"/>
        <v>#N/A</v>
      </c>
      <c r="L586" s="7" t="e">
        <f>+VLOOKUP(B586,'[1]master_prod_15todos(30-11-2 (2)'!$B$2:$AG$470,32,FALSE)</f>
        <v>#N/A</v>
      </c>
      <c r="M586" s="5">
        <v>8.8000000000000007</v>
      </c>
      <c r="N586" s="5" t="s">
        <v>29</v>
      </c>
      <c r="O586" s="5" t="s">
        <v>30</v>
      </c>
      <c r="P586" s="5" t="s">
        <v>29</v>
      </c>
      <c r="Q586" s="5" t="s">
        <v>94</v>
      </c>
      <c r="T586" s="4">
        <v>1</v>
      </c>
      <c r="U586" s="4">
        <v>1</v>
      </c>
      <c r="V586" s="4">
        <v>1</v>
      </c>
      <c r="W586" s="4">
        <v>1</v>
      </c>
      <c r="X586" s="4">
        <v>1</v>
      </c>
      <c r="Y586" s="4">
        <v>0</v>
      </c>
      <c r="Z586" s="4">
        <v>0</v>
      </c>
      <c r="AA586" s="4">
        <v>1</v>
      </c>
      <c r="AB586" s="4">
        <v>0</v>
      </c>
      <c r="AC586" s="4">
        <v>0</v>
      </c>
    </row>
    <row r="587" spans="1:29" s="5" customFormat="1">
      <c r="A587" s="4">
        <v>582</v>
      </c>
      <c r="B587" s="4">
        <v>242201311</v>
      </c>
      <c r="C587" s="4">
        <v>242201311</v>
      </c>
      <c r="D587" s="5" t="s">
        <v>433</v>
      </c>
      <c r="E587" s="4">
        <v>7281967</v>
      </c>
      <c r="F587" s="5" t="s">
        <v>50</v>
      </c>
      <c r="G587" s="6" t="e">
        <f>+VLOOKUP(B587,'[1]master_prod_15todos(30-11-2 (2)'!$B$2:$AF$470,31,FALSE)</f>
        <v>#N/A</v>
      </c>
      <c r="H587" s="4">
        <v>0</v>
      </c>
      <c r="I587" s="4">
        <v>0</v>
      </c>
      <c r="J587" s="4">
        <v>0</v>
      </c>
      <c r="K587" s="6" t="e">
        <f t="shared" si="19"/>
        <v>#N/A</v>
      </c>
      <c r="L587" s="7" t="e">
        <f>+VLOOKUP(B587,'[1]master_prod_15todos(30-11-2 (2)'!$B$2:$AG$470,32,FALSE)</f>
        <v>#N/A</v>
      </c>
      <c r="M587" s="5">
        <v>10.1538</v>
      </c>
      <c r="N587" s="5" t="s">
        <v>275</v>
      </c>
      <c r="O587" s="5" t="s">
        <v>266</v>
      </c>
      <c r="P587" s="5" t="s">
        <v>29</v>
      </c>
      <c r="Q587" s="5" t="s">
        <v>94</v>
      </c>
      <c r="T587" s="4">
        <v>1</v>
      </c>
      <c r="U587" s="4">
        <v>1</v>
      </c>
      <c r="V587" s="4">
        <v>1</v>
      </c>
      <c r="W587" s="4">
        <v>1</v>
      </c>
      <c r="X587" s="4">
        <v>1</v>
      </c>
      <c r="Y587" s="4">
        <v>0</v>
      </c>
      <c r="Z587" s="4">
        <v>0</v>
      </c>
      <c r="AA587" s="4">
        <v>1</v>
      </c>
      <c r="AB587" s="4">
        <v>0</v>
      </c>
      <c r="AC587" s="4">
        <v>0</v>
      </c>
    </row>
    <row r="588" spans="1:29" s="5" customFormat="1">
      <c r="A588" s="4">
        <v>733</v>
      </c>
      <c r="B588" s="4">
        <v>242201345</v>
      </c>
      <c r="C588" s="4">
        <v>242201345</v>
      </c>
      <c r="D588" s="5" t="s">
        <v>444</v>
      </c>
      <c r="E588" s="4">
        <v>9016</v>
      </c>
      <c r="F588" s="5" t="s">
        <v>403</v>
      </c>
      <c r="G588" s="6" t="e">
        <f>+VLOOKUP(B588,'[1]master_prod_15todos(30-11-2 (2)'!$B$2:$AF$470,31,FALSE)</f>
        <v>#N/A</v>
      </c>
      <c r="H588" s="4">
        <v>0</v>
      </c>
      <c r="I588" s="4">
        <v>0</v>
      </c>
      <c r="J588" s="4">
        <v>0</v>
      </c>
      <c r="K588" s="6" t="e">
        <f t="shared" si="19"/>
        <v>#N/A</v>
      </c>
      <c r="L588" s="7" t="e">
        <f>+VLOOKUP(B588,'[1]master_prod_15todos(30-11-2 (2)'!$B$2:$AG$470,32,FALSE)</f>
        <v>#N/A</v>
      </c>
      <c r="M588" s="4">
        <v>8</v>
      </c>
      <c r="N588" s="5" t="s">
        <v>29</v>
      </c>
      <c r="O588" s="5" t="s">
        <v>30</v>
      </c>
      <c r="P588" s="5" t="s">
        <v>29</v>
      </c>
      <c r="Q588" s="5" t="s">
        <v>119</v>
      </c>
      <c r="T588" s="4">
        <v>1</v>
      </c>
      <c r="U588" s="4">
        <v>1</v>
      </c>
      <c r="V588" s="4">
        <v>1</v>
      </c>
      <c r="W588" s="4">
        <v>1</v>
      </c>
      <c r="X588" s="4">
        <v>1</v>
      </c>
      <c r="Y588" s="4">
        <v>0</v>
      </c>
      <c r="Z588" s="4">
        <v>0</v>
      </c>
      <c r="AA588" s="4">
        <v>1</v>
      </c>
      <c r="AB588" s="4">
        <v>0</v>
      </c>
      <c r="AC588" s="4">
        <v>0</v>
      </c>
    </row>
    <row r="589" spans="1:29" s="5" customFormat="1">
      <c r="A589" s="4">
        <v>313</v>
      </c>
      <c r="B589" s="4">
        <v>242201363</v>
      </c>
      <c r="C589" s="4">
        <v>242201363</v>
      </c>
      <c r="D589" s="5" t="s">
        <v>448</v>
      </c>
      <c r="F589" s="5" t="s">
        <v>449</v>
      </c>
      <c r="G589" s="6" t="e">
        <f>+VLOOKUP(B589,'[1]master_prod_15todos(30-11-2 (2)'!$B$2:$AF$470,31,FALSE)</f>
        <v>#N/A</v>
      </c>
      <c r="H589" s="4">
        <v>0</v>
      </c>
      <c r="I589" s="4">
        <v>0</v>
      </c>
      <c r="J589" s="4">
        <v>0</v>
      </c>
      <c r="K589" s="6" t="e">
        <f t="shared" si="19"/>
        <v>#N/A</v>
      </c>
      <c r="L589" s="7" t="e">
        <f>+VLOOKUP(B589,'[1]master_prod_15todos(30-11-2 (2)'!$B$2:$AG$470,32,FALSE)</f>
        <v>#N/A</v>
      </c>
      <c r="M589" s="5">
        <v>6.1</v>
      </c>
      <c r="N589" s="5" t="s">
        <v>105</v>
      </c>
      <c r="O589" s="5" t="s">
        <v>30</v>
      </c>
      <c r="P589" s="5" t="s">
        <v>275</v>
      </c>
      <c r="Q589" s="5" t="s">
        <v>119</v>
      </c>
      <c r="T589" s="4">
        <v>1</v>
      </c>
      <c r="U589" s="4">
        <v>1</v>
      </c>
      <c r="V589" s="4">
        <v>1</v>
      </c>
      <c r="W589" s="4">
        <v>1</v>
      </c>
      <c r="X589" s="4">
        <v>0</v>
      </c>
      <c r="Y589" s="4">
        <v>0</v>
      </c>
      <c r="Z589" s="4">
        <v>0</v>
      </c>
      <c r="AA589" s="4">
        <v>1</v>
      </c>
      <c r="AB589" s="4">
        <v>0</v>
      </c>
      <c r="AC589" s="4">
        <v>0</v>
      </c>
    </row>
    <row r="590" spans="1:29" s="5" customFormat="1">
      <c r="A590" s="4">
        <v>786</v>
      </c>
      <c r="B590" s="4">
        <v>242201406</v>
      </c>
      <c r="C590" s="4">
        <v>242201406</v>
      </c>
      <c r="D590" s="5" t="s">
        <v>454</v>
      </c>
      <c r="E590" s="4">
        <v>1905</v>
      </c>
      <c r="F590" s="5" t="s">
        <v>403</v>
      </c>
      <c r="G590" s="6" t="e">
        <f>+VLOOKUP(B590,'[1]master_prod_15todos(30-11-2 (2)'!$B$2:$AF$470,31,FALSE)</f>
        <v>#N/A</v>
      </c>
      <c r="H590" s="4">
        <v>0</v>
      </c>
      <c r="I590" s="4">
        <v>0</v>
      </c>
      <c r="J590" s="4">
        <v>0</v>
      </c>
      <c r="K590" s="6" t="e">
        <f t="shared" si="19"/>
        <v>#N/A</v>
      </c>
      <c r="L590" s="7" t="e">
        <f>+VLOOKUP(B590,'[1]master_prod_15todos(30-11-2 (2)'!$B$2:$AG$470,32,FALSE)</f>
        <v>#N/A</v>
      </c>
      <c r="M590" s="5">
        <v>18.181799999999999</v>
      </c>
      <c r="N590" s="5" t="s">
        <v>29</v>
      </c>
      <c r="O590" s="5" t="s">
        <v>62</v>
      </c>
      <c r="P590" s="5" t="s">
        <v>275</v>
      </c>
      <c r="Q590" s="5" t="s">
        <v>58</v>
      </c>
      <c r="T590" s="4">
        <v>1</v>
      </c>
      <c r="U590" s="4">
        <v>36</v>
      </c>
      <c r="V590" s="4">
        <v>1</v>
      </c>
      <c r="W590" s="4">
        <v>1</v>
      </c>
      <c r="X590" s="4">
        <v>1</v>
      </c>
      <c r="Y590" s="4">
        <v>0</v>
      </c>
      <c r="Z590" s="4">
        <v>0</v>
      </c>
      <c r="AA590" s="4">
        <v>1</v>
      </c>
      <c r="AB590" s="4">
        <v>0</v>
      </c>
      <c r="AC590" s="4">
        <v>0</v>
      </c>
    </row>
    <row r="591" spans="1:29" s="5" customFormat="1">
      <c r="A591" s="4">
        <v>734</v>
      </c>
      <c r="B591" s="4">
        <v>242201444</v>
      </c>
      <c r="C591" s="4">
        <v>242201444</v>
      </c>
      <c r="D591" s="5" t="s">
        <v>455</v>
      </c>
      <c r="E591" s="4">
        <v>9015</v>
      </c>
      <c r="F591" s="5" t="s">
        <v>403</v>
      </c>
      <c r="G591" s="6" t="e">
        <f>+VLOOKUP(B591,'[1]master_prod_15todos(30-11-2 (2)'!$B$2:$AF$470,31,FALSE)</f>
        <v>#N/A</v>
      </c>
      <c r="H591" s="4">
        <v>0</v>
      </c>
      <c r="I591" s="4">
        <v>0</v>
      </c>
      <c r="J591" s="4">
        <v>0</v>
      </c>
      <c r="K591" s="6" t="e">
        <f t="shared" si="19"/>
        <v>#N/A</v>
      </c>
      <c r="L591" s="7" t="e">
        <f>+VLOOKUP(B591,'[1]master_prod_15todos(30-11-2 (2)'!$B$2:$AG$470,32,FALSE)</f>
        <v>#N/A</v>
      </c>
      <c r="M591" s="4">
        <v>6</v>
      </c>
      <c r="N591" s="5" t="s">
        <v>275</v>
      </c>
      <c r="O591" s="5" t="s">
        <v>30</v>
      </c>
      <c r="P591" s="5" t="s">
        <v>275</v>
      </c>
      <c r="Q591" s="5" t="s">
        <v>260</v>
      </c>
      <c r="T591" s="4">
        <v>1</v>
      </c>
      <c r="U591" s="4">
        <v>1</v>
      </c>
      <c r="V591" s="4">
        <v>10</v>
      </c>
      <c r="W591" s="4">
        <v>1</v>
      </c>
      <c r="X591" s="4">
        <v>0</v>
      </c>
      <c r="Y591" s="4">
        <v>0</v>
      </c>
      <c r="Z591" s="4">
        <v>0</v>
      </c>
      <c r="AA591" s="4">
        <v>1</v>
      </c>
      <c r="AB591" s="4">
        <v>0</v>
      </c>
      <c r="AC591" s="4">
        <v>0</v>
      </c>
    </row>
    <row r="592" spans="1:29" s="5" customFormat="1">
      <c r="A592" s="4">
        <v>787</v>
      </c>
      <c r="B592" s="4">
        <v>242201499</v>
      </c>
      <c r="C592" s="4">
        <v>242201499</v>
      </c>
      <c r="D592" s="5" t="s">
        <v>460</v>
      </c>
      <c r="E592" s="4">
        <v>1906</v>
      </c>
      <c r="F592" s="5" t="s">
        <v>403</v>
      </c>
      <c r="G592" s="6" t="e">
        <f>+VLOOKUP(B592,'[1]master_prod_15todos(30-11-2 (2)'!$B$2:$AF$470,31,FALSE)</f>
        <v>#N/A</v>
      </c>
      <c r="H592" s="4">
        <v>0</v>
      </c>
      <c r="I592" s="4">
        <v>0</v>
      </c>
      <c r="J592" s="4">
        <v>0</v>
      </c>
      <c r="K592" s="6" t="e">
        <f t="shared" si="19"/>
        <v>#N/A</v>
      </c>
      <c r="L592" s="7" t="e">
        <f>+VLOOKUP(B592,'[1]master_prod_15todos(30-11-2 (2)'!$B$2:$AG$470,32,FALSE)</f>
        <v>#N/A</v>
      </c>
      <c r="M592" s="5">
        <v>36.363599999999998</v>
      </c>
      <c r="N592" s="5" t="s">
        <v>30</v>
      </c>
      <c r="O592" s="5" t="s">
        <v>30</v>
      </c>
      <c r="P592" s="5" t="s">
        <v>37</v>
      </c>
      <c r="Q592" s="5" t="s">
        <v>511</v>
      </c>
      <c r="T592" s="4">
        <v>1</v>
      </c>
      <c r="U592" s="4">
        <v>1</v>
      </c>
      <c r="V592" s="4">
        <v>1</v>
      </c>
      <c r="W592" s="4">
        <v>1</v>
      </c>
      <c r="X592" s="4">
        <v>0</v>
      </c>
      <c r="Y592" s="4">
        <v>0</v>
      </c>
      <c r="Z592" s="4">
        <v>0</v>
      </c>
      <c r="AA592" s="4">
        <v>1</v>
      </c>
      <c r="AB592" s="4">
        <v>0</v>
      </c>
      <c r="AC592" s="4">
        <v>0</v>
      </c>
    </row>
    <row r="593" spans="1:29" s="5" customFormat="1">
      <c r="A593" s="4">
        <v>788</v>
      </c>
      <c r="B593" s="4">
        <v>242201500</v>
      </c>
      <c r="C593" s="4">
        <v>242201500</v>
      </c>
      <c r="D593" s="5" t="s">
        <v>461</v>
      </c>
      <c r="E593" s="4">
        <v>1956</v>
      </c>
      <c r="F593" s="5" t="s">
        <v>403</v>
      </c>
      <c r="G593" s="6" t="e">
        <f>+VLOOKUP(B593,'[1]master_prod_15todos(30-11-2 (2)'!$B$2:$AF$470,31,FALSE)</f>
        <v>#N/A</v>
      </c>
      <c r="H593" s="4">
        <v>0</v>
      </c>
      <c r="I593" s="4">
        <v>0</v>
      </c>
      <c r="J593" s="4">
        <v>0</v>
      </c>
      <c r="K593" s="6" t="e">
        <f t="shared" si="19"/>
        <v>#N/A</v>
      </c>
      <c r="L593" s="7" t="e">
        <f>+VLOOKUP(B593,'[1]master_prod_15todos(30-11-2 (2)'!$B$2:$AG$470,32,FALSE)</f>
        <v>#N/A</v>
      </c>
      <c r="M593" s="5">
        <v>54.545499999999997</v>
      </c>
      <c r="N593" s="5" t="s">
        <v>105</v>
      </c>
      <c r="O593" s="5" t="s">
        <v>105</v>
      </c>
      <c r="P593" s="5" t="s">
        <v>275</v>
      </c>
      <c r="Q593" s="5" t="s">
        <v>36</v>
      </c>
      <c r="T593" s="4">
        <v>1</v>
      </c>
      <c r="U593" s="4">
        <v>1</v>
      </c>
      <c r="V593" s="4">
        <v>1</v>
      </c>
      <c r="W593" s="4">
        <v>1</v>
      </c>
      <c r="X593" s="4">
        <v>1</v>
      </c>
      <c r="Y593" s="4">
        <v>0</v>
      </c>
      <c r="Z593" s="4">
        <v>0</v>
      </c>
      <c r="AA593" s="4">
        <v>1</v>
      </c>
      <c r="AB593" s="4">
        <v>0</v>
      </c>
      <c r="AC593" s="4">
        <v>0</v>
      </c>
    </row>
    <row r="594" spans="1:29" s="5" customFormat="1">
      <c r="A594" s="4">
        <v>752</v>
      </c>
      <c r="B594" s="4">
        <v>242201503</v>
      </c>
      <c r="C594" s="4">
        <v>242201503</v>
      </c>
      <c r="D594" s="5" t="s">
        <v>462</v>
      </c>
      <c r="E594" s="4">
        <v>1729</v>
      </c>
      <c r="F594" s="5" t="s">
        <v>403</v>
      </c>
      <c r="G594" s="6" t="e">
        <f>+VLOOKUP(B594,'[1]master_prod_15todos(30-11-2 (2)'!$B$2:$AF$470,31,FALSE)</f>
        <v>#N/A</v>
      </c>
      <c r="H594" s="4">
        <v>0</v>
      </c>
      <c r="I594" s="4">
        <v>0</v>
      </c>
      <c r="J594" s="4">
        <v>0</v>
      </c>
      <c r="K594" s="6" t="e">
        <f t="shared" si="19"/>
        <v>#N/A</v>
      </c>
      <c r="L594" s="7" t="e">
        <f>+VLOOKUP(B594,'[1]master_prod_15todos(30-11-2 (2)'!$B$2:$AG$470,32,FALSE)</f>
        <v>#N/A</v>
      </c>
      <c r="M594" s="5">
        <v>25.454499999999999</v>
      </c>
      <c r="N594" s="5" t="s">
        <v>275</v>
      </c>
      <c r="O594" s="5" t="s">
        <v>30</v>
      </c>
      <c r="P594" s="5" t="s">
        <v>105</v>
      </c>
      <c r="Q594" s="5" t="s">
        <v>511</v>
      </c>
      <c r="T594" s="4">
        <v>1</v>
      </c>
      <c r="U594" s="4">
        <v>1</v>
      </c>
      <c r="V594" s="4">
        <v>10</v>
      </c>
      <c r="W594" s="4">
        <v>1</v>
      </c>
      <c r="X594" s="4">
        <v>1</v>
      </c>
      <c r="Y594" s="4">
        <v>0</v>
      </c>
      <c r="Z594" s="4">
        <v>0</v>
      </c>
      <c r="AA594" s="4">
        <v>1</v>
      </c>
      <c r="AB594" s="4">
        <v>0</v>
      </c>
      <c r="AC594" s="4">
        <v>0</v>
      </c>
    </row>
    <row r="595" spans="1:29" s="5" customFormat="1">
      <c r="A595" s="4">
        <v>755</v>
      </c>
      <c r="B595" s="4">
        <v>242201506</v>
      </c>
      <c r="C595" s="4">
        <v>242201506</v>
      </c>
      <c r="D595" s="5" t="s">
        <v>463</v>
      </c>
      <c r="E595" s="4">
        <v>1729</v>
      </c>
      <c r="F595" s="5" t="s">
        <v>403</v>
      </c>
      <c r="G595" s="6" t="e">
        <f>+VLOOKUP(B595,'[1]master_prod_15todos(30-11-2 (2)'!$B$2:$AF$470,31,FALSE)</f>
        <v>#N/A</v>
      </c>
      <c r="H595" s="4">
        <v>0</v>
      </c>
      <c r="I595" s="4">
        <v>0</v>
      </c>
      <c r="J595" s="4">
        <v>0</v>
      </c>
      <c r="K595" s="6" t="e">
        <f t="shared" si="19"/>
        <v>#N/A</v>
      </c>
      <c r="L595" s="7" t="e">
        <f>+VLOOKUP(B595,'[1]master_prod_15todos(30-11-2 (2)'!$B$2:$AG$470,32,FALSE)</f>
        <v>#N/A</v>
      </c>
      <c r="M595" s="5">
        <v>25.454499999999999</v>
      </c>
      <c r="N595" s="5" t="s">
        <v>30</v>
      </c>
      <c r="O595" s="5" t="s">
        <v>30</v>
      </c>
      <c r="P595" s="5" t="s">
        <v>30</v>
      </c>
      <c r="Q595" s="5" t="s">
        <v>94</v>
      </c>
      <c r="R595" s="5" t="s">
        <v>1187</v>
      </c>
      <c r="T595" s="4">
        <v>1</v>
      </c>
      <c r="U595" s="4">
        <v>1</v>
      </c>
      <c r="V595" s="4">
        <v>1</v>
      </c>
      <c r="W595" s="4">
        <v>1</v>
      </c>
      <c r="X595" s="4">
        <v>0</v>
      </c>
      <c r="Y595" s="4">
        <v>0</v>
      </c>
      <c r="Z595" s="4">
        <v>0</v>
      </c>
      <c r="AA595" s="4">
        <v>1</v>
      </c>
      <c r="AB595" s="4">
        <v>0</v>
      </c>
      <c r="AC595" s="4">
        <v>0</v>
      </c>
    </row>
    <row r="596" spans="1:29" s="5" customFormat="1">
      <c r="A596" s="4">
        <v>754</v>
      </c>
      <c r="B596" s="4">
        <v>242201507</v>
      </c>
      <c r="C596" s="4">
        <v>242201507</v>
      </c>
      <c r="D596" s="5" t="s">
        <v>464</v>
      </c>
      <c r="E596" s="4">
        <v>1729</v>
      </c>
      <c r="F596" s="5" t="s">
        <v>403</v>
      </c>
      <c r="G596" s="6" t="e">
        <f>+VLOOKUP(B596,'[1]master_prod_15todos(30-11-2 (2)'!$B$2:$AF$470,31,FALSE)</f>
        <v>#N/A</v>
      </c>
      <c r="H596" s="4">
        <v>0</v>
      </c>
      <c r="I596" s="4">
        <v>0</v>
      </c>
      <c r="J596" s="4">
        <v>0</v>
      </c>
      <c r="K596" s="6" t="e">
        <f t="shared" si="19"/>
        <v>#N/A</v>
      </c>
      <c r="L596" s="7" t="e">
        <f>+VLOOKUP(B596,'[1]master_prod_15todos(30-11-2 (2)'!$B$2:$AG$470,32,FALSE)</f>
        <v>#N/A</v>
      </c>
      <c r="M596" s="5">
        <v>25.454499999999999</v>
      </c>
      <c r="N596" s="5" t="s">
        <v>30</v>
      </c>
      <c r="O596" s="5" t="s">
        <v>30</v>
      </c>
      <c r="P596" s="5" t="s">
        <v>30</v>
      </c>
      <c r="Q596" s="5" t="s">
        <v>94</v>
      </c>
      <c r="R596" s="5" t="s">
        <v>1188</v>
      </c>
      <c r="T596" s="4">
        <v>1</v>
      </c>
      <c r="U596" s="4">
        <v>1</v>
      </c>
      <c r="V596" s="4">
        <v>1</v>
      </c>
      <c r="W596" s="4">
        <v>1</v>
      </c>
      <c r="X596" s="4">
        <v>1</v>
      </c>
      <c r="Y596" s="4">
        <v>1</v>
      </c>
      <c r="Z596" s="4">
        <v>0</v>
      </c>
      <c r="AA596" s="4">
        <v>1</v>
      </c>
      <c r="AB596" s="4">
        <v>0</v>
      </c>
      <c r="AC596" s="4">
        <v>0</v>
      </c>
    </row>
    <row r="597" spans="1:29" s="5" customFormat="1">
      <c r="A597" s="4">
        <v>817</v>
      </c>
      <c r="B597" s="4">
        <v>242201526</v>
      </c>
      <c r="C597" s="4">
        <v>242201526</v>
      </c>
      <c r="D597" s="5" t="s">
        <v>466</v>
      </c>
      <c r="E597" s="4">
        <v>1719</v>
      </c>
      <c r="F597" s="5" t="s">
        <v>403</v>
      </c>
      <c r="G597" s="6" t="e">
        <f>+VLOOKUP(B597,'[1]master_prod_15todos(30-11-2 (2)'!$B$2:$AF$470,31,FALSE)</f>
        <v>#N/A</v>
      </c>
      <c r="H597" s="4">
        <v>0</v>
      </c>
      <c r="I597" s="4">
        <v>0</v>
      </c>
      <c r="J597" s="4">
        <v>0</v>
      </c>
      <c r="K597" s="6" t="e">
        <f t="shared" si="19"/>
        <v>#N/A</v>
      </c>
      <c r="L597" s="7" t="e">
        <f>+VLOOKUP(B597,'[1]master_prod_15todos(30-11-2 (2)'!$B$2:$AG$470,32,FALSE)</f>
        <v>#N/A</v>
      </c>
      <c r="M597" s="5">
        <v>16.666699999999999</v>
      </c>
      <c r="N597" s="5" t="s">
        <v>37</v>
      </c>
      <c r="O597" s="5" t="s">
        <v>30</v>
      </c>
      <c r="P597" s="5" t="s">
        <v>37</v>
      </c>
      <c r="Q597" s="5" t="s">
        <v>401</v>
      </c>
      <c r="R597" s="5" t="s">
        <v>1189</v>
      </c>
      <c r="T597" s="4">
        <v>1</v>
      </c>
      <c r="U597" s="4">
        <v>1</v>
      </c>
      <c r="V597" s="4">
        <v>1</v>
      </c>
      <c r="W597" s="4">
        <v>1</v>
      </c>
      <c r="X597" s="4">
        <v>1</v>
      </c>
      <c r="Y597" s="4">
        <v>1</v>
      </c>
      <c r="Z597" s="4">
        <v>0</v>
      </c>
      <c r="AA597" s="4">
        <v>1</v>
      </c>
      <c r="AB597" s="4">
        <v>0</v>
      </c>
      <c r="AC597" s="4">
        <v>0</v>
      </c>
    </row>
    <row r="598" spans="1:29" s="5" customFormat="1">
      <c r="A598" s="4">
        <v>293</v>
      </c>
      <c r="B598" s="4">
        <v>242201545</v>
      </c>
      <c r="C598" s="4">
        <v>242201545</v>
      </c>
      <c r="D598" s="5" t="s">
        <v>467</v>
      </c>
      <c r="E598" s="4">
        <v>460802</v>
      </c>
      <c r="F598" s="5" t="s">
        <v>75</v>
      </c>
      <c r="G598" s="6" t="e">
        <f>+VLOOKUP(B598,'[1]master_prod_15todos(30-11-2 (2)'!$B$2:$AF$470,31,FALSE)</f>
        <v>#N/A</v>
      </c>
      <c r="H598" s="4">
        <v>0</v>
      </c>
      <c r="I598" s="4">
        <v>0</v>
      </c>
      <c r="J598" s="4">
        <v>0</v>
      </c>
      <c r="K598" s="6" t="e">
        <f t="shared" si="19"/>
        <v>#N/A</v>
      </c>
      <c r="L598" s="7" t="e">
        <f>+VLOOKUP(B598,'[1]master_prod_15todos(30-11-2 (2)'!$B$2:$AG$470,32,FALSE)</f>
        <v>#N/A</v>
      </c>
      <c r="M598" s="5">
        <v>7.8226000000000004</v>
      </c>
      <c r="N598" s="5" t="s">
        <v>57</v>
      </c>
      <c r="O598" s="5" t="s">
        <v>57</v>
      </c>
      <c r="P598" s="5" t="s">
        <v>57</v>
      </c>
      <c r="Q598" s="5" t="s">
        <v>58</v>
      </c>
      <c r="R598" s="5" t="s">
        <v>59</v>
      </c>
      <c r="T598" s="4">
        <v>1</v>
      </c>
      <c r="U598" s="4">
        <v>1</v>
      </c>
      <c r="V598" s="4">
        <v>1</v>
      </c>
      <c r="W598" s="4">
        <v>1</v>
      </c>
      <c r="X598" s="4">
        <v>1</v>
      </c>
      <c r="Y598" s="4">
        <v>1</v>
      </c>
      <c r="Z598" s="4">
        <v>0</v>
      </c>
      <c r="AA598" s="4">
        <v>1</v>
      </c>
      <c r="AB598" s="4">
        <v>0</v>
      </c>
      <c r="AC598" s="4">
        <v>0</v>
      </c>
    </row>
    <row r="599" spans="1:29" s="5" customFormat="1">
      <c r="A599" s="4">
        <v>920</v>
      </c>
      <c r="B599" s="4">
        <v>242201553</v>
      </c>
      <c r="C599" s="4">
        <v>242201553</v>
      </c>
      <c r="D599" s="5" t="s">
        <v>468</v>
      </c>
      <c r="E599" s="4">
        <v>1720</v>
      </c>
      <c r="F599" s="5" t="s">
        <v>403</v>
      </c>
      <c r="H599" s="4">
        <v>0</v>
      </c>
      <c r="I599" s="4">
        <v>0</v>
      </c>
      <c r="J599" s="4">
        <v>0</v>
      </c>
      <c r="K599" s="6">
        <f t="shared" si="19"/>
        <v>0</v>
      </c>
      <c r="L599" s="7"/>
      <c r="N599" s="5" t="s">
        <v>30</v>
      </c>
      <c r="O599" s="5" t="s">
        <v>30</v>
      </c>
      <c r="P599" s="5" t="s">
        <v>30</v>
      </c>
      <c r="Q599" s="5" t="s">
        <v>119</v>
      </c>
      <c r="R599" s="5" t="s">
        <v>119</v>
      </c>
      <c r="T599" s="4">
        <v>1</v>
      </c>
      <c r="U599" s="4">
        <v>1</v>
      </c>
      <c r="V599" s="4">
        <v>1</v>
      </c>
      <c r="W599" s="4">
        <v>1</v>
      </c>
      <c r="X599" s="4">
        <v>0</v>
      </c>
      <c r="Y599" s="4">
        <v>0</v>
      </c>
      <c r="Z599" s="4">
        <v>0</v>
      </c>
      <c r="AA599" s="4">
        <v>1</v>
      </c>
      <c r="AB599" s="4">
        <v>0</v>
      </c>
      <c r="AC599" s="4">
        <v>0</v>
      </c>
    </row>
  </sheetData>
  <autoFilter ref="A2:AC599" xr:uid="{00000000-0001-0000-0000-000000000000}"/>
  <sortState xmlns:xlrd2="http://schemas.microsoft.com/office/spreadsheetml/2017/richdata2" ref="A4:M599">
    <sortCondition ref="G3:G59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1878c-52b4-4574-ac8e-fdcf25904a2b">
      <Terms xmlns="http://schemas.microsoft.com/office/infopath/2007/PartnerControls"/>
    </lcf76f155ced4ddcb4097134ff3c332f>
    <TaxCatchAll xmlns="e3ad3912-799d-4c84-8d28-ee902b7464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6AACC1FF3A5B4DA700ABA3E03054D6" ma:contentTypeVersion="14" ma:contentTypeDescription="Crear nuevo documento." ma:contentTypeScope="" ma:versionID="d9cac0b107996ccc0aaa65f6899b26f9">
  <xsd:schema xmlns:xsd="http://www.w3.org/2001/XMLSchema" xmlns:xs="http://www.w3.org/2001/XMLSchema" xmlns:p="http://schemas.microsoft.com/office/2006/metadata/properties" xmlns:ns2="fff1878c-52b4-4574-ac8e-fdcf25904a2b" xmlns:ns3="e3ad3912-799d-4c84-8d28-ee902b7464c8" targetNamespace="http://schemas.microsoft.com/office/2006/metadata/properties" ma:root="true" ma:fieldsID="5a83e0799332009eaab1fdbd18b3d450" ns2:_="" ns3:_="">
    <xsd:import namespace="fff1878c-52b4-4574-ac8e-fdcf25904a2b"/>
    <xsd:import namespace="e3ad3912-799d-4c84-8d28-ee902b746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878c-52b4-4574-ac8e-fdcf25904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bd9b833-2baa-4412-8019-25e83684b1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d3912-799d-4c84-8d28-ee902b7464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704301-fc95-47c3-a177-27c8490869ac}" ma:internalName="TaxCatchAll" ma:showField="CatchAllData" ma:web="e3ad3912-799d-4c84-8d28-ee902b7464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929274-5FC3-4BDE-92E0-EC6D11159716}">
  <ds:schemaRefs>
    <ds:schemaRef ds:uri="http://schemas.microsoft.com/office/2006/metadata/properties"/>
    <ds:schemaRef ds:uri="http://schemas.microsoft.com/office/infopath/2007/PartnerControls"/>
    <ds:schemaRef ds:uri="fff1878c-52b4-4574-ac8e-fdcf25904a2b"/>
    <ds:schemaRef ds:uri="e3ad3912-799d-4c84-8d28-ee902b7464c8"/>
  </ds:schemaRefs>
</ds:datastoreItem>
</file>

<file path=customXml/itemProps2.xml><?xml version="1.0" encoding="utf-8"?>
<ds:datastoreItem xmlns:ds="http://schemas.openxmlformats.org/officeDocument/2006/customXml" ds:itemID="{A27E31EA-BCC4-47F4-A7C9-6632A0C2D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557C0-762F-405F-86AA-1610CD1C1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1878c-52b4-4574-ac8e-fdcf25904a2b"/>
    <ds:schemaRef ds:uri="e3ad3912-799d-4c84-8d28-ee902b746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Jose Vargas</cp:lastModifiedBy>
  <dcterms:created xsi:type="dcterms:W3CDTF">2024-11-30T15:32:21Z</dcterms:created>
  <dcterms:modified xsi:type="dcterms:W3CDTF">2024-11-30T15:50:51Z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0x010100386AACC1FF3A5B4DA700ABA3E03054D6</vt:lpwstr>
  </property>
</Properties>
</file>